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comments/comment7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omments/comment8.xml" ContentType="application/vnd.openxmlformats-officedocument.spreadsheetml.comments+xml"/>
  <Override PartName="/xl/worksheets/sheet16.xml" ContentType="application/vnd.openxmlformats-officedocument.spreadsheetml.worksheet+xml"/>
  <Override PartName="/xl/comments/comment9.xml" ContentType="application/vnd.openxmlformats-officedocument.spreadsheetml.comment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omments/comment10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829" firstSheet="0" activeTab="0" autoFilterDateGrouping="1"/>
  </bookViews>
  <sheets>
    <sheet xmlns:r="http://schemas.openxmlformats.org/officeDocument/2006/relationships" name="Orçam-Realiza" sheetId="1" state="visible" r:id="rId1"/>
    <sheet xmlns:r="http://schemas.openxmlformats.org/officeDocument/2006/relationships" name="Orçamento Resumo" sheetId="2" state="visible" r:id="rId2"/>
    <sheet xmlns:r="http://schemas.openxmlformats.org/officeDocument/2006/relationships" name="Combust. Lubrif" sheetId="3" state="visible" r:id="rId3"/>
    <sheet xmlns:r="http://schemas.openxmlformats.org/officeDocument/2006/relationships" name="peças " sheetId="4" state="visible" r:id="rId4"/>
    <sheet xmlns:r="http://schemas.openxmlformats.org/officeDocument/2006/relationships" name="Alimentação " sheetId="5" state="visible" r:id="rId5"/>
    <sheet xmlns:r="http://schemas.openxmlformats.org/officeDocument/2006/relationships" name="Utilidades e Veiculos" sheetId="6" state="visible" r:id="rId6"/>
    <sheet xmlns:r="http://schemas.openxmlformats.org/officeDocument/2006/relationships" name="Supriment-Ser Profiss" sheetId="7" state="visible" r:id="rId7"/>
    <sheet xmlns:r="http://schemas.openxmlformats.org/officeDocument/2006/relationships" name="Folha pagamento " sheetId="8" state="visible" r:id="rId8"/>
    <sheet xmlns:r="http://schemas.openxmlformats.org/officeDocument/2006/relationships" name="Quimi. Fert. Semente" sheetId="9" state="visible" r:id="rId9"/>
    <sheet xmlns:r="http://schemas.openxmlformats.org/officeDocument/2006/relationships" name="Contratação serviç." sheetId="10" state="visible" r:id="rId10"/>
    <sheet xmlns:r="http://schemas.openxmlformats.org/officeDocument/2006/relationships" name="Avião" sheetId="11" state="visible" r:id="rId11"/>
    <sheet xmlns:r="http://schemas.openxmlformats.org/officeDocument/2006/relationships" name="Deprecisação " sheetId="12" state="visible" r:id="rId12"/>
    <sheet xmlns:r="http://schemas.openxmlformats.org/officeDocument/2006/relationships" name="Compras " sheetId="13" state="visible" r:id="rId13"/>
    <sheet xmlns:r="http://schemas.openxmlformats.org/officeDocument/2006/relationships" name="Pedro" sheetId="14" state="visible" r:id="rId14"/>
    <sheet xmlns:r="http://schemas.openxmlformats.org/officeDocument/2006/relationships" name="RH" sheetId="15" state="visible" r:id="rId15"/>
    <sheet xmlns:r="http://schemas.openxmlformats.org/officeDocument/2006/relationships" name="Tecnico" sheetId="16" state="visible" r:id="rId16"/>
    <sheet xmlns:r="http://schemas.openxmlformats.org/officeDocument/2006/relationships" name="Oficina" sheetId="17" state="visible" r:id="rId17"/>
    <sheet xmlns:r="http://schemas.openxmlformats.org/officeDocument/2006/relationships" name="Angelo" sheetId="18" state="visible" r:id="rId18"/>
  </sheets>
  <externalReferences>
    <externalReference xmlns:r="http://schemas.openxmlformats.org/officeDocument/2006/relationships" r:id="rId19"/>
  </externalReferences>
  <definedNames>
    <definedName name="_xlnm._FilterDatabase" localSheetId="5" hidden="1">'Utilidades e Veiculos'!$A$19:$P$58</definedName>
  </definedNames>
  <calcPr calcId="181029" fullCalcOnLoad="1"/>
</workbook>
</file>

<file path=xl/styles.xml><?xml version="1.0" encoding="utf-8"?>
<styleSheet xmlns="http://schemas.openxmlformats.org/spreadsheetml/2006/main">
  <numFmts count="42">
    <numFmt numFmtId="164" formatCode="_-&quot;R$&quot;\ * #,##0.00_-;\-&quot;R$&quot;\ * #,##0.00_-;_-&quot;R$&quot;\ * &quot;-&quot;??_-;_-@_-"/>
    <numFmt numFmtId="165" formatCode="_-[$R$-416]\ * #,##0.00_-;\-[$R$-416]\ * #,##0.00_-;_-[$R$-416]\ * &quot;-&quot;??_-;_-@_-"/>
    <numFmt numFmtId="166" formatCode="_(&quot;R$ &quot;* #,##0.00_);_(&quot;R$ &quot;* \(#,##0.00\);_(&quot;R$ &quot;* &quot;-&quot;??_);_(@_)"/>
    <numFmt numFmtId="167" formatCode="&quot;R$&quot;#,##0.00"/>
    <numFmt numFmtId="168" formatCode="_-&quot;R$&quot;* #,##0.00_-;\-&quot;R$&quot;* #,##0.00_-;_-&quot;R$&quot;* &quot;-&quot;??_-;_-@_-"/>
    <numFmt numFmtId="169" formatCode="_-[$R$-416]* #,##0.00_-;\-[$R$-416]* #,##0.00_-;_-[$R$-416]* &quot;-&quot;??_-;_-@_-"/>
    <numFmt numFmtId="170" formatCode="&quot;$&quot;#,##0.00"/>
    <numFmt numFmtId="171" formatCode="_-* #,##0.00_-;\-* #,##0.00_-;_-* &quot;-&quot;??_-;_-@_-"/>
    <numFmt numFmtId="172" formatCode="_-[$$-409]* #,##0.00_ ;_-[$$-409]* \-#,##0.00\ ;_-[$$-409]* &quot;-&quot;??_ ;_-@_ "/>
    <numFmt numFmtId="173" formatCode="&quot;R$&quot;\ #,##0.00"/>
    <numFmt numFmtId="174" formatCode="[$R$ -416]#,##0_);\([$R$ -416]#,##0\)"/>
    <numFmt numFmtId="175" formatCode="[$R$-416]\ #,##0"/>
    <numFmt numFmtId="176" formatCode="0.0"/>
    <numFmt numFmtId="177" formatCode="[$R$ -416]#,##0"/>
    <numFmt numFmtId="178" formatCode="_(* #,##0_);_(* \(#,##0\);_(* &quot;-&quot;??_);_(@_)"/>
    <numFmt numFmtId="179" formatCode="0.0%"/>
    <numFmt numFmtId="180" formatCode="_(* #,##0.0_);_(* \(#,##0.0\);_(* &quot;-&quot;??_);_(@_)"/>
    <numFmt numFmtId="181" formatCode="#,##0.0_);\(#,##0.0\)"/>
    <numFmt numFmtId="182" formatCode="_(&quot;$&quot;* #,##0.000_);_(&quot;$&quot;* \(#,##0.000\);_(&quot;$&quot;* &quot;-&quot;??_);_(@_)"/>
    <numFmt numFmtId="183" formatCode="_(&quot;$&quot;* #,##0.00_);_(&quot;$&quot;* \(#,##0.00\);_(&quot;$&quot;* &quot;-&quot;??_);_(@_)"/>
    <numFmt numFmtId="184" formatCode="[$R$ -416]#,##0.00"/>
    <numFmt numFmtId="185" formatCode="[$R$ -416]#,##0.00_);\([$R$ -416]#,##0.00\)"/>
    <numFmt numFmtId="186" formatCode="#,##0.0000"/>
    <numFmt numFmtId="187" formatCode="&quot;$&quot;#,##0"/>
    <numFmt numFmtId="188" formatCode="_(&quot;$&quot;* #,##0_);_(&quot;$&quot;* \(#,##0\);_(&quot;$&quot;* &quot;-&quot;??_);_(@_)"/>
    <numFmt numFmtId="189" formatCode="&quot;$&quot;#,##0.000"/>
    <numFmt numFmtId="190" formatCode="[$R$-416]\ #,##0.00;\-[$R$-416]\ #,##0.00"/>
    <numFmt numFmtId="191" formatCode="[$R$-416]\ #,##0.00"/>
    <numFmt numFmtId="192" formatCode="0.0%;\(0.0%\)"/>
    <numFmt numFmtId="193" formatCode="&quot;$&quot;#,##0.00_);\(&quot;$&quot;#,##0.00\)"/>
    <numFmt numFmtId="194" formatCode="_-* #,##0_-;\-* #,##0_-;_-* &quot;-&quot;??_-;_-@_-"/>
    <numFmt numFmtId="195" formatCode="&quot;R$&quot;\ #,##0.0000"/>
    <numFmt numFmtId="196" formatCode="[$R$ -416]#,##0.000_);\([$R$ -416]#,##0.000\)"/>
    <numFmt numFmtId="197" formatCode="&quot;R$&quot;\ #,##0.00;[Red]&quot;R$&quot;\ #,##0.00"/>
    <numFmt numFmtId="198" formatCode="[$-F800]dddd\,\ mmmm\ dd\,\ yyyy"/>
    <numFmt numFmtId="199" formatCode="&quot;R$&quot;\ #,##0.00;[Red]\-&quot;R$&quot;\ #,##0.00"/>
    <numFmt numFmtId="200" formatCode="&quot;R$&quot;\ #,##0;[Red]\-&quot;R$&quot;\ #,##0"/>
    <numFmt numFmtId="201" formatCode="[$-10409]#,##0.00;\(#,##0.00\);#,##0.00"/>
    <numFmt numFmtId="202" formatCode="[$-10409]\$#,##0.00;\(\$#,##0.00\);\$#,##0.00"/>
    <numFmt numFmtId="203" formatCode="_-&quot;R$&quot;\ * #,##0.0_-;\-&quot;R$&quot;\ * #,##0.0_-;_-&quot;R$&quot;\ * &quot;-&quot;??_-;_-@_-"/>
    <numFmt numFmtId="204" formatCode="[$-10409]m/d/yyyy"/>
    <numFmt numFmtId="205" formatCode="yyyy-mm-dd h:mm:ss"/>
  </numFmts>
  <fonts count="10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color theme="1"/>
      <sz val="8"/>
      <scheme val="minor"/>
    </font>
    <font>
      <name val="Segoe UI"/>
      <family val="2"/>
      <b val="1"/>
      <color indexed="81"/>
      <sz val="9"/>
    </font>
    <font>
      <name val="Segoe UI"/>
      <family val="2"/>
      <color indexed="81"/>
      <sz val="9"/>
    </font>
    <font>
      <name val="Calibri"/>
      <family val="2"/>
      <color theme="1"/>
      <sz val="11"/>
    </font>
    <font>
      <name val="Calibri"/>
      <family val="2"/>
      <sz val="11"/>
    </font>
    <font>
      <name val="Calibri"/>
      <family val="2"/>
      <b val="1"/>
      <color theme="1"/>
      <sz val="16"/>
      <scheme val="minor"/>
    </font>
    <font>
      <name val="Calibri"/>
      <family val="2"/>
      <color indexed="8"/>
      <sz val="11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color theme="1"/>
      <sz val="12"/>
      <scheme val="minor"/>
    </font>
    <font>
      <name val="Times New Roman"/>
      <family val="1"/>
      <b val="1"/>
      <color theme="1"/>
      <sz val="14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Verdana"/>
      <family val="2"/>
      <sz val="10"/>
    </font>
    <font>
      <name val="Arial"/>
      <family val="2"/>
      <sz val="10"/>
    </font>
    <font>
      <name val="Arial"/>
      <family val="2"/>
      <color indexed="0"/>
      <sz val="10"/>
    </font>
    <font>
      <name val="Arial"/>
      <family val="2"/>
      <sz val="9"/>
    </font>
    <font>
      <name val="Calibri"/>
      <family val="2"/>
      <b val="1"/>
      <color theme="1"/>
      <sz val="12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indexed="0"/>
      <sz val="10"/>
    </font>
    <font>
      <name val="Arial"/>
      <family val="2"/>
      <b val="1"/>
      <sz val="10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Arial"/>
      <family val="2"/>
      <b val="1"/>
      <color indexed="10"/>
      <sz val="10"/>
      <u val="single"/>
    </font>
    <font>
      <name val="Calibri"/>
      <family val="2"/>
      <color rgb="FFFFFF00"/>
      <sz val="11"/>
      <scheme val="minor"/>
    </font>
    <font>
      <name val="Calibri"/>
      <family val="2"/>
      <b val="1"/>
      <color rgb="FFFFFF00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sz val="10"/>
      <scheme val="minor"/>
    </font>
    <font>
      <name val="Arial"/>
      <family val="2"/>
      <color theme="1"/>
      <sz val="10"/>
    </font>
    <font>
      <name val="Arial"/>
      <family val="2"/>
      <b val="1"/>
      <sz val="11"/>
    </font>
    <font>
      <name val="Arial"/>
      <family val="2"/>
      <b val="1"/>
      <sz val="10"/>
      <u val="single"/>
    </font>
    <font>
      <name val="Arial"/>
      <family val="2"/>
      <color rgb="FFFF0000"/>
      <sz val="10"/>
    </font>
    <font>
      <name val="Arial"/>
      <family val="2"/>
      <b val="1"/>
      <color rgb="FF0000FF"/>
      <sz val="11"/>
    </font>
    <font>
      <name val="Arial"/>
      <family val="2"/>
      <color rgb="FF0000FF"/>
      <sz val="11"/>
    </font>
    <font>
      <name val="Arial"/>
      <family val="2"/>
      <color rgb="FF0000FF"/>
      <sz val="10"/>
    </font>
    <font>
      <name val="Arial"/>
      <family val="2"/>
      <sz val="10"/>
      <u val="single"/>
    </font>
    <font>
      <name val="Arial"/>
      <family val="2"/>
      <sz val="11"/>
    </font>
    <font>
      <name val="Arial"/>
      <family val="2"/>
      <b val="1"/>
      <sz val="9"/>
    </font>
    <font>
      <name val="Calibri"/>
      <family val="2"/>
      <b val="1"/>
      <color theme="1"/>
      <sz val="20"/>
      <scheme val="minor"/>
    </font>
    <font>
      <name val="Arial"/>
      <family val="2"/>
      <b val="1"/>
      <sz val="16"/>
    </font>
    <font>
      <name val="Calibri"/>
      <family val="2"/>
      <color theme="1"/>
      <sz val="16"/>
      <scheme val="minor"/>
    </font>
    <font>
      <name val="Arial"/>
      <family val="2"/>
      <b val="1"/>
      <sz val="12"/>
    </font>
    <font>
      <name val="Arial"/>
      <family val="2"/>
      <sz val="16"/>
    </font>
    <font>
      <name val="Arial"/>
      <family val="2"/>
      <sz val="12"/>
    </font>
    <font>
      <name val="Arial"/>
      <family val="2"/>
      <b val="1"/>
      <color theme="1"/>
      <sz val="14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b val="1"/>
      <color theme="1"/>
      <sz val="12"/>
    </font>
    <font>
      <name val="Calibri"/>
      <family val="2"/>
      <b val="1"/>
      <sz val="11"/>
      <scheme val="minor"/>
    </font>
    <font>
      <name val="Calibri"/>
      <family val="2"/>
      <color rgb="FFFF0000"/>
      <sz val="10"/>
      <scheme val="minor"/>
    </font>
    <font>
      <name val="Calibri"/>
      <family val="2"/>
      <b val="1"/>
      <sz val="14"/>
      <scheme val="minor"/>
    </font>
    <font>
      <name val="Calibri"/>
      <family val="2"/>
      <b val="1"/>
      <sz val="12"/>
      <scheme val="minor"/>
    </font>
    <font>
      <name val="Calibri"/>
      <family val="2"/>
      <sz val="12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FF0000"/>
      <sz val="8"/>
      <scheme val="minor"/>
    </font>
    <font>
      <name val="Calibri"/>
      <family val="2"/>
      <b val="1"/>
      <color rgb="FFFF0000"/>
      <sz val="8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0000"/>
      <sz val="16"/>
      <scheme val="minor"/>
    </font>
    <font>
      <name val="Calibri"/>
      <family val="2"/>
      <b val="1"/>
      <color rgb="FF7030A0"/>
      <sz val="11"/>
      <scheme val="minor"/>
    </font>
    <font>
      <name val="Calibri"/>
      <family val="2"/>
      <b val="1"/>
      <color theme="4" tint="-0.249977111117893"/>
      <sz val="14"/>
      <scheme val="minor"/>
    </font>
    <font>
      <name val="Calibri"/>
      <family val="2"/>
      <b val="1"/>
      <color rgb="FFFF0000"/>
      <sz val="14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4" tint="-0.249977111117893"/>
      <sz val="12"/>
      <scheme val="minor"/>
    </font>
    <font>
      <name val="Calibri"/>
      <family val="2"/>
      <color rgb="FF000000"/>
      <sz val="11"/>
    </font>
    <font>
      <name val="Calibri"/>
      <family val="2"/>
      <b val="1"/>
      <color rgb="FF0070C0"/>
      <sz val="10"/>
      <scheme val="minor"/>
    </font>
    <font>
      <name val="Calibri"/>
      <family val="2"/>
      <b val="1"/>
      <color rgb="FFFF0000"/>
      <sz val="10"/>
      <scheme val="minor"/>
    </font>
    <font>
      <name val="Arial Black"/>
      <family val="2"/>
      <b val="1"/>
      <color theme="1"/>
      <sz val="11"/>
    </font>
    <font>
      <name val="Calibri"/>
      <family val="2"/>
      <sz val="12"/>
    </font>
    <font>
      <name val="Calibri"/>
      <family val="2"/>
      <b val="1"/>
      <color theme="1"/>
      <sz val="11"/>
    </font>
    <font>
      <name val="Calibri"/>
      <family val="2"/>
      <color theme="1"/>
      <sz val="12"/>
    </font>
    <font>
      <name val="Calibri"/>
      <family val="2"/>
      <color rgb="FF000000"/>
      <sz val="11"/>
      <scheme val="minor"/>
    </font>
    <font>
      <name val="Calibri"/>
      <family val="2"/>
      <color theme="1"/>
      <sz val="10"/>
    </font>
    <font>
      <name val="Calibri"/>
      <family val="2"/>
      <color rgb="FF000000"/>
      <sz val="10"/>
      <scheme val="minor"/>
    </font>
    <font>
      <name val="Tahoma"/>
      <family val="2"/>
      <b val="1"/>
      <color rgb="FF323232"/>
      <sz val="10"/>
    </font>
    <font>
      <name val="Tahoma"/>
      <family val="2"/>
      <color rgb="FF323232"/>
      <sz val="10"/>
    </font>
    <font>
      <name val="Arial"/>
      <family val="2"/>
      <color rgb="FF000000"/>
      <sz val="8"/>
    </font>
    <font>
      <name val="Calibri"/>
      <family val="2"/>
      <color rgb="FF000000"/>
      <sz val="12"/>
    </font>
    <font>
      <name val="Calibri"/>
      <family val="2"/>
      <color rgb="FF000000"/>
      <sz val="12"/>
      <scheme val="minor"/>
    </font>
    <font>
      <name val="Calibri"/>
      <family val="2"/>
      <b val="1"/>
      <color rgb="FF00B050"/>
      <sz val="14"/>
      <scheme val="minor"/>
    </font>
    <font>
      <name val="Calibri Light"/>
      <family val="2"/>
      <b val="1"/>
      <color theme="1"/>
      <sz val="10"/>
      <scheme val="major"/>
    </font>
    <font>
      <name val="Arial"/>
      <family val="2"/>
      <color rgb="FF222222"/>
      <sz val="12"/>
      <u val="single"/>
    </font>
    <font>
      <name val="Segoe UI"/>
      <charset val="1"/>
      <color indexed="81"/>
      <sz val="9"/>
    </font>
    <font>
      <name val="Segoe UI"/>
      <charset val="1"/>
      <b val="1"/>
      <color indexed="81"/>
      <sz val="9"/>
    </font>
    <font>
      <name val="Arial"/>
      <family val="2"/>
      <color rgb="FF000000"/>
      <sz val="10"/>
    </font>
    <font>
      <name val="Tahoma"/>
      <family val="2"/>
      <b val="1"/>
      <color rgb="FF000000"/>
      <sz val="10"/>
    </font>
    <font>
      <name val="Tahoma"/>
      <family val="2"/>
      <color rgb="FF000000"/>
      <sz val="8"/>
    </font>
    <font>
      <name val="Tahoma"/>
      <family val="2"/>
      <b val="1"/>
      <color rgb="FF000000"/>
      <sz val="8"/>
    </font>
    <font>
      <name val="Calibri"/>
      <family val="2"/>
      <b val="1"/>
      <sz val="11"/>
    </font>
    <font>
      <name val="Calibri"/>
      <family val="2"/>
      <b val="1"/>
      <sz val="11"/>
      <u val="single"/>
    </font>
    <font>
      <name val="Calibri"/>
      <family val="2"/>
      <color theme="1"/>
      <sz val="20"/>
      <scheme val="minor"/>
    </font>
    <font>
      <name val="Tahoma"/>
      <family val="2"/>
      <b val="1"/>
      <color rgb="FF000000"/>
      <sz val="11.95"/>
    </font>
    <font>
      <name val="Tahoma"/>
      <family val="2"/>
      <b val="1"/>
      <color rgb="FF000000"/>
      <sz val="11"/>
    </font>
    <font>
      <name val="Tahoma"/>
      <family val="2"/>
      <b val="1"/>
      <color rgb="FF000000"/>
      <sz val="9"/>
    </font>
    <font>
      <name val="Tahoma"/>
      <family val="2"/>
      <i val="1"/>
      <color rgb="FF000000"/>
      <sz val="8"/>
    </font>
  </fonts>
  <fills count="4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/>
        <bgColor theme="0" tint="-0.1499984740745262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8" tint="0.399975585192419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8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D4D4D4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227ACB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auto="1"/>
      </bottom>
      <diagonal/>
    </border>
    <border>
      <left style="medium">
        <color indexed="64"/>
      </left>
      <right/>
      <top/>
      <bottom style="medium">
        <color auto="1"/>
      </bottom>
      <diagonal/>
    </border>
  </borders>
  <cellStyleXfs count="14">
    <xf numFmtId="0" fontId="1" fillId="0" borderId="0"/>
    <xf numFmtId="43" fontId="1" fillId="0" borderId="0"/>
    <xf numFmtId="44" fontId="1" fillId="0" borderId="0"/>
    <xf numFmtId="166" fontId="10" fillId="0" borderId="0"/>
    <xf numFmtId="166" fontId="10" fillId="0" borderId="0"/>
    <xf numFmtId="168" fontId="1" fillId="0" borderId="0"/>
    <xf numFmtId="0" fontId="21" fillId="0" borderId="0"/>
    <xf numFmtId="0" fontId="23" fillId="0" borderId="0"/>
    <xf numFmtId="0" fontId="26" fillId="0" borderId="0"/>
    <xf numFmtId="0" fontId="23" fillId="0" borderId="0"/>
    <xf numFmtId="9" fontId="1" fillId="0" borderId="0"/>
    <xf numFmtId="183" fontId="22" fillId="0" borderId="0"/>
    <xf numFmtId="9" fontId="22" fillId="0" borderId="0"/>
    <xf numFmtId="43" fontId="22" fillId="0" borderId="0"/>
  </cellStyleXfs>
  <cellXfs count="1680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164" fontId="0" fillId="0" borderId="0" pivotButton="0" quotePrefix="0" xfId="2"/>
    <xf numFmtId="164" fontId="4" fillId="0" borderId="0" pivotButton="0" quotePrefix="0" xfId="2"/>
    <xf numFmtId="0" fontId="4" fillId="0" borderId="0" pivotButton="0" quotePrefix="0" xfId="0"/>
    <xf numFmtId="0" fontId="9" fillId="0" borderId="6" pivotButton="0" quotePrefix="0" xfId="0"/>
    <xf numFmtId="0" fontId="2" fillId="0" borderId="7" applyAlignment="1" pivotButton="0" quotePrefix="0" xfId="0">
      <alignment wrapText="1"/>
    </xf>
    <xf numFmtId="165" fontId="3" fillId="0" borderId="8" applyAlignment="1" pivotButton="0" quotePrefix="0" xfId="0">
      <alignment horizontal="center"/>
    </xf>
    <xf numFmtId="166" fontId="11" fillId="0" borderId="9" pivotButton="0" quotePrefix="0" xfId="3"/>
    <xf numFmtId="0" fontId="0" fillId="0" borderId="0" applyAlignment="1" pivotButton="0" quotePrefix="0" xfId="0">
      <alignment horizontal="center" vertical="center"/>
    </xf>
    <xf numFmtId="166" fontId="0" fillId="0" borderId="10" pivotButton="0" quotePrefix="0" xfId="3"/>
    <xf numFmtId="0" fontId="0" fillId="0" borderId="11" pivotButton="0" quotePrefix="0" xfId="0"/>
    <xf numFmtId="165" fontId="2" fillId="0" borderId="8" pivotButton="0" quotePrefix="0" xfId="0"/>
    <xf numFmtId="14" fontId="0" fillId="0" borderId="14" pivotButton="0" quotePrefix="0" xfId="0"/>
    <xf numFmtId="165" fontId="0" fillId="0" borderId="15" pivotButton="0" quotePrefix="0" xfId="0"/>
    <xf numFmtId="14" fontId="0" fillId="0" borderId="16" pivotButton="0" quotePrefix="0" xfId="0"/>
    <xf numFmtId="14" fontId="0" fillId="0" borderId="1" pivotButton="0" quotePrefix="0" xfId="0"/>
    <xf numFmtId="14" fontId="0" fillId="0" borderId="0" pivotButton="0" quotePrefix="0" xfId="0"/>
    <xf numFmtId="0" fontId="14" fillId="5" borderId="1" applyAlignment="1" pivotButton="0" quotePrefix="0" xfId="0">
      <alignment horizontal="center"/>
    </xf>
    <xf numFmtId="0" fontId="13" fillId="0" borderId="0" applyAlignment="1" pivotButton="0" quotePrefix="0" xfId="0">
      <alignment horizontal="center" wrapText="1"/>
    </xf>
    <xf numFmtId="0" fontId="2" fillId="5" borderId="2" pivotButton="0" quotePrefix="0" xfId="0"/>
    <xf numFmtId="0" fontId="0" fillId="5" borderId="19" applyAlignment="1" pivotButton="0" quotePrefix="0" xfId="0">
      <alignment horizontal="center"/>
    </xf>
    <xf numFmtId="0" fontId="2" fillId="5" borderId="21" pivotButton="0" quotePrefix="0" xfId="0"/>
    <xf numFmtId="0" fontId="2" fillId="5" borderId="22" applyAlignment="1" pivotButton="0" quotePrefix="0" xfId="0">
      <alignment horizontal="center"/>
    </xf>
    <xf numFmtId="0" fontId="0" fillId="5" borderId="0" applyAlignment="1" pivotButton="0" quotePrefix="0" xfId="0">
      <alignment horizontal="left"/>
    </xf>
    <xf numFmtId="0" fontId="2" fillId="5" borderId="0" applyAlignment="1" pivotButton="0" quotePrefix="0" xfId="0">
      <alignment horizontal="center"/>
    </xf>
    <xf numFmtId="164" fontId="1" fillId="5" borderId="0" applyAlignment="1" pivotButton="0" quotePrefix="0" xfId="2">
      <alignment horizontal="center"/>
    </xf>
    <xf numFmtId="0" fontId="0" fillId="5" borderId="0" pivotButton="0" quotePrefix="0" xfId="0"/>
    <xf numFmtId="164" fontId="0" fillId="5" borderId="0" applyAlignment="1" pivotButton="0" quotePrefix="0" xfId="2">
      <alignment horizontal="center"/>
    </xf>
    <xf numFmtId="164" fontId="0" fillId="5" borderId="0" pivotButton="0" quotePrefix="0" xfId="2"/>
    <xf numFmtId="164" fontId="0" fillId="0" borderId="0" pivotButton="0" quotePrefix="0" xfId="2"/>
    <xf numFmtId="0" fontId="2" fillId="9" borderId="2" pivotButton="0" quotePrefix="0" xfId="0"/>
    <xf numFmtId="0" fontId="2" fillId="9" borderId="19" applyAlignment="1" pivotButton="0" quotePrefix="0" xfId="0">
      <alignment horizontal="center"/>
    </xf>
    <xf numFmtId="164" fontId="0" fillId="9" borderId="0" pivotButton="0" quotePrefix="0" xfId="0"/>
    <xf numFmtId="0" fontId="0" fillId="9" borderId="0" pivotButton="0" quotePrefix="0" xfId="0"/>
    <xf numFmtId="0" fontId="0" fillId="9" borderId="0" applyAlignment="1" pivotButton="0" quotePrefix="0" xfId="0">
      <alignment horizontal="center"/>
    </xf>
    <xf numFmtId="167" fontId="0" fillId="9" borderId="0" applyAlignment="1" pivotButton="0" quotePrefix="0" xfId="0">
      <alignment horizontal="center"/>
    </xf>
    <xf numFmtId="0" fontId="0" fillId="9" borderId="0" applyAlignment="1" pivotButton="0" quotePrefix="0" xfId="0">
      <alignment horizontal="right"/>
    </xf>
    <xf numFmtId="0" fontId="15" fillId="9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2" fontId="0" fillId="9" borderId="0" applyAlignment="1" pivotButton="0" quotePrefix="0" xfId="0">
      <alignment horizontal="center"/>
    </xf>
    <xf numFmtId="0" fontId="2" fillId="0" borderId="21" pivotButton="0" quotePrefix="0" xfId="0"/>
    <xf numFmtId="0" fontId="0" fillId="0" borderId="22" applyAlignment="1" pivotButton="0" quotePrefix="0" xfId="0">
      <alignment horizontal="center"/>
    </xf>
    <xf numFmtId="0" fontId="4" fillId="9" borderId="0" applyAlignment="1" pivotButton="0" quotePrefix="0" xfId="0">
      <alignment horizontal="right"/>
    </xf>
    <xf numFmtId="167" fontId="4" fillId="9" borderId="0" applyAlignment="1" pivotButton="0" quotePrefix="0" xfId="2">
      <alignment horizontal="center"/>
    </xf>
    <xf numFmtId="0" fontId="2" fillId="5" borderId="6" pivotButton="0" quotePrefix="0" xfId="0"/>
    <xf numFmtId="0" fontId="0" fillId="5" borderId="7" applyAlignment="1" pivotButton="0" quotePrefix="0" xfId="0">
      <alignment horizontal="center"/>
    </xf>
    <xf numFmtId="164" fontId="0" fillId="5" borderId="8" pivotButton="0" quotePrefix="0" xfId="2"/>
    <xf numFmtId="0" fontId="2" fillId="5" borderId="25" pivotButton="0" quotePrefix="0" xfId="0"/>
    <xf numFmtId="167" fontId="0" fillId="2" borderId="24" pivotButton="0" quotePrefix="0" xfId="2"/>
    <xf numFmtId="0" fontId="0" fillId="5" borderId="9" pivotButton="0" quotePrefix="0" xfId="0"/>
    <xf numFmtId="164" fontId="0" fillId="5" borderId="10" pivotButton="0" quotePrefix="0" xfId="2"/>
    <xf numFmtId="0" fontId="2" fillId="5" borderId="26" pivotButton="0" quotePrefix="0" xfId="0"/>
    <xf numFmtId="0" fontId="2" fillId="5" borderId="27" applyAlignment="1" pivotButton="0" quotePrefix="0" xfId="0">
      <alignment horizontal="center"/>
    </xf>
    <xf numFmtId="0" fontId="12" fillId="5" borderId="9" pivotButton="0" quotePrefix="0" xfId="0"/>
    <xf numFmtId="0" fontId="12" fillId="5" borderId="0" applyAlignment="1" pivotButton="0" quotePrefix="0" xfId="0">
      <alignment horizontal="center"/>
    </xf>
    <xf numFmtId="164" fontId="12" fillId="5" borderId="10" pivotButton="0" quotePrefix="0" xfId="2"/>
    <xf numFmtId="0" fontId="2" fillId="0" borderId="26" pivotButton="0" quotePrefix="0" xfId="0"/>
    <xf numFmtId="0" fontId="2" fillId="0" borderId="27" applyAlignment="1" pivotButton="0" quotePrefix="0" xfId="0">
      <alignment horizontal="center"/>
    </xf>
    <xf numFmtId="165" fontId="0" fillId="0" borderId="0" pivotButton="0" quotePrefix="0" xfId="0"/>
    <xf numFmtId="0" fontId="0" fillId="5" borderId="27" applyAlignment="1" pivotButton="0" quotePrefix="0" xfId="0">
      <alignment horizontal="center"/>
    </xf>
    <xf numFmtId="0" fontId="2" fillId="5" borderId="29" applyAlignment="1" pivotButton="0" quotePrefix="0" xfId="0">
      <alignment horizontal="center"/>
    </xf>
    <xf numFmtId="167" fontId="2" fillId="5" borderId="29" applyAlignment="1" pivotButton="0" quotePrefix="0" xfId="2">
      <alignment horizontal="center"/>
    </xf>
    <xf numFmtId="168" fontId="0" fillId="0" borderId="0" pivotButton="0" quotePrefix="0" xfId="0"/>
    <xf numFmtId="0" fontId="0" fillId="0" borderId="9" pivotButton="0" quotePrefix="0" xfId="0"/>
    <xf numFmtId="164" fontId="0" fillId="0" borderId="10" pivotButton="0" quotePrefix="0" xfId="2"/>
    <xf numFmtId="167" fontId="0" fillId="5" borderId="0" pivotButton="0" quotePrefix="0" xfId="0"/>
    <xf numFmtId="164" fontId="0" fillId="0" borderId="0" pivotButton="0" quotePrefix="0" xfId="0"/>
    <xf numFmtId="0" fontId="0" fillId="5" borderId="11" pivotButton="0" quotePrefix="0" xfId="0"/>
    <xf numFmtId="0" fontId="0" fillId="5" borderId="12" applyAlignment="1" pivotButton="0" quotePrefix="0" xfId="0">
      <alignment horizontal="center"/>
    </xf>
    <xf numFmtId="0" fontId="2" fillId="5" borderId="7" applyAlignment="1" pivotButton="0" quotePrefix="0" xfId="0">
      <alignment horizontal="center"/>
    </xf>
    <xf numFmtId="167" fontId="0" fillId="0" borderId="8" pivotButton="0" quotePrefix="0" xfId="2"/>
    <xf numFmtId="0" fontId="16" fillId="5" borderId="0" applyAlignment="1" pivotButton="0" quotePrefix="0" xfId="0">
      <alignment horizontal="center"/>
    </xf>
    <xf numFmtId="0" fontId="17" fillId="5" borderId="0" pivotButton="0" quotePrefix="0" xfId="0"/>
    <xf numFmtId="167" fontId="0" fillId="0" borderId="10" pivotButton="0" quotePrefix="0" xfId="2"/>
    <xf numFmtId="0" fontId="2" fillId="5" borderId="11" pivotButton="0" quotePrefix="0" xfId="0"/>
    <xf numFmtId="0" fontId="2" fillId="5" borderId="12" applyAlignment="1" pivotButton="0" quotePrefix="0" xfId="0">
      <alignment horizontal="center"/>
    </xf>
    <xf numFmtId="0" fontId="2" fillId="2" borderId="25" pivotButton="0" quotePrefix="0" xfId="0"/>
    <xf numFmtId="0" fontId="2" fillId="2" borderId="0" applyAlignment="1" pivotButton="0" quotePrefix="0" xfId="0">
      <alignment horizontal="center"/>
    </xf>
    <xf numFmtId="0" fontId="2" fillId="0" borderId="2" pivotButton="0" quotePrefix="0" xfId="0"/>
    <xf numFmtId="0" fontId="2" fillId="0" borderId="19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165" fontId="0" fillId="5" borderId="0" pivotButton="0" quotePrefix="0" xfId="0"/>
    <xf numFmtId="167" fontId="0" fillId="0" borderId="24" pivotButton="0" quotePrefix="0" xfId="2"/>
    <xf numFmtId="0" fontId="0" fillId="5" borderId="25" pivotButton="0" quotePrefix="0" xfId="0"/>
    <xf numFmtId="167" fontId="0" fillId="0" borderId="23" pivotButton="0" quotePrefix="0" xfId="2"/>
    <xf numFmtId="0" fontId="0" fillId="2" borderId="0" pivotButton="0" quotePrefix="0" xfId="0"/>
    <xf numFmtId="2" fontId="0" fillId="5" borderId="0" applyAlignment="1" pivotButton="0" quotePrefix="0" xfId="0">
      <alignment horizontal="center"/>
    </xf>
    <xf numFmtId="1" fontId="0" fillId="5" borderId="0" applyAlignment="1" pivotButton="0" quotePrefix="0" xfId="0">
      <alignment horizontal="center"/>
    </xf>
    <xf numFmtId="164" fontId="0" fillId="0" borderId="20" pivotButton="0" quotePrefix="0" xfId="0"/>
    <xf numFmtId="164" fontId="0" fillId="5" borderId="23" pivotButton="0" quotePrefix="0" xfId="2"/>
    <xf numFmtId="164" fontId="1" fillId="5" borderId="24" pivotButton="0" quotePrefix="0" xfId="2"/>
    <xf numFmtId="0" fontId="18" fillId="0" borderId="0" applyAlignment="1" pivotButton="0" quotePrefix="0" xfId="0">
      <alignment horizontal="center"/>
    </xf>
    <xf numFmtId="0" fontId="0" fillId="0" borderId="25" pivotButton="0" quotePrefix="0" xfId="0"/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" fillId="5" borderId="30" pivotButton="0" quotePrefix="0" xfId="0"/>
    <xf numFmtId="0" fontId="2" fillId="5" borderId="31" applyAlignment="1" pivotButton="0" quotePrefix="0" xfId="0">
      <alignment horizontal="center"/>
    </xf>
    <xf numFmtId="168" fontId="20" fillId="0" borderId="0" applyAlignment="1" pivotButton="0" quotePrefix="0" xfId="5">
      <alignment horizontal="center" vertical="center"/>
    </xf>
    <xf numFmtId="0" fontId="2" fillId="5" borderId="19" applyAlignment="1" pivotButton="0" quotePrefix="0" xfId="0">
      <alignment horizontal="center"/>
    </xf>
    <xf numFmtId="0" fontId="0" fillId="5" borderId="30" pivotButton="0" quotePrefix="0" xfId="0"/>
    <xf numFmtId="0" fontId="0" fillId="5" borderId="31" applyAlignment="1" pivotButton="0" quotePrefix="0" xfId="0">
      <alignment horizontal="center"/>
    </xf>
    <xf numFmtId="0" fontId="0" fillId="0" borderId="19" applyAlignment="1" pivotButton="0" quotePrefix="0" xfId="0">
      <alignment horizontal="center"/>
    </xf>
    <xf numFmtId="169" fontId="0" fillId="0" borderId="0" pivotButton="0" quotePrefix="0" xfId="0"/>
    <xf numFmtId="0" fontId="4" fillId="0" borderId="1" applyAlignment="1" applyProtection="1" pivotButton="0" quotePrefix="0" xfId="0">
      <alignment horizontal="left" vertical="top"/>
      <protection locked="0" hidden="0"/>
    </xf>
    <xf numFmtId="0" fontId="4" fillId="2" borderId="1" applyAlignment="1" pivotButton="0" quotePrefix="0" xfId="0">
      <alignment horizontal="center"/>
    </xf>
    <xf numFmtId="164" fontId="0" fillId="0" borderId="0" pivotButton="0" quotePrefix="0" xfId="2"/>
    <xf numFmtId="0" fontId="4" fillId="2" borderId="1" applyAlignment="1" applyProtection="1" pivotButton="0" quotePrefix="0" xfId="0">
      <alignment horizontal="left" vertical="top"/>
      <protection locked="0" hidden="0"/>
    </xf>
    <xf numFmtId="0" fontId="22" fillId="0" borderId="0" applyAlignment="1" pivotButton="0" quotePrefix="0" xfId="6">
      <alignment horizontal="left" vertical="top"/>
    </xf>
    <xf numFmtId="0" fontId="21" fillId="0" borderId="0" applyAlignment="1" pivotButton="0" quotePrefix="0" xfId="6">
      <alignment horizontal="left" vertical="top"/>
    </xf>
    <xf numFmtId="0" fontId="3" fillId="7" borderId="1" pivotButton="0" quotePrefix="0" xfId="0"/>
    <xf numFmtId="0" fontId="3" fillId="7" borderId="1" applyAlignment="1" pivotButton="0" quotePrefix="0" xfId="2">
      <alignment horizontal="center"/>
    </xf>
    <xf numFmtId="164" fontId="3" fillId="7" borderId="1" pivotButton="0" quotePrefix="0" xfId="2"/>
    <xf numFmtId="0" fontId="3" fillId="7" borderId="1" applyAlignment="1" applyProtection="1" pivotButton="0" quotePrefix="0" xfId="0">
      <alignment horizontal="left" vertical="top"/>
      <protection locked="0" hidden="0"/>
    </xf>
    <xf numFmtId="0" fontId="3" fillId="2" borderId="0" pivotButton="0" quotePrefix="0" xfId="0"/>
    <xf numFmtId="164" fontId="0" fillId="2" borderId="13" pivotButton="0" quotePrefix="0" xfId="2"/>
    <xf numFmtId="0" fontId="0" fillId="0" borderId="12" applyAlignment="1" pivotButton="0" quotePrefix="0" xfId="0">
      <alignment horizontal="center"/>
    </xf>
    <xf numFmtId="0" fontId="0" fillId="6" borderId="1" pivotButton="0" quotePrefix="0" xfId="0"/>
    <xf numFmtId="0" fontId="0" fillId="0" borderId="1" pivotButton="0" quotePrefix="0" xfId="0"/>
    <xf numFmtId="164" fontId="0" fillId="0" borderId="1" pivotButton="0" quotePrefix="0" xfId="2"/>
    <xf numFmtId="0" fontId="0" fillId="0" borderId="1" applyAlignment="1" pivotButton="0" quotePrefix="0" xfId="0">
      <alignment horizontal="center"/>
    </xf>
    <xf numFmtId="0" fontId="0" fillId="12" borderId="1" pivotButton="0" quotePrefix="0" xfId="0"/>
    <xf numFmtId="0" fontId="0" fillId="5" borderId="1" pivotButton="0" quotePrefix="0" xfId="0"/>
    <xf numFmtId="0" fontId="11" fillId="0" borderId="0" applyAlignment="1" pivotButton="0" quotePrefix="0" xfId="0">
      <alignment horizontal="center"/>
    </xf>
    <xf numFmtId="0" fontId="11" fillId="0" borderId="0" pivotButton="0" quotePrefix="0" xfId="0"/>
    <xf numFmtId="164" fontId="11" fillId="0" borderId="0" pivotButton="0" quotePrefix="0" xfId="0"/>
    <xf numFmtId="164" fontId="11" fillId="0" borderId="0" pivotButton="0" quotePrefix="0" xfId="2"/>
    <xf numFmtId="170" fontId="31" fillId="0" borderId="0" pivotButton="0" quotePrefix="0" xfId="0"/>
    <xf numFmtId="170" fontId="0" fillId="0" borderId="0" pivotButton="0" quotePrefix="0" xfId="0"/>
    <xf numFmtId="171" fontId="0" fillId="0" borderId="0" pivotButton="0" quotePrefix="0" xfId="1"/>
    <xf numFmtId="10" fontId="0" fillId="0" borderId="0" pivotButton="0" quotePrefix="0" xfId="0"/>
    <xf numFmtId="0" fontId="0" fillId="0" borderId="12" pivotButton="0" quotePrefix="0" xfId="0"/>
    <xf numFmtId="172" fontId="0" fillId="0" borderId="0" pivotButton="0" quotePrefix="0" xfId="0"/>
    <xf numFmtId="172" fontId="2" fillId="11" borderId="0" pivotButton="0" quotePrefix="0" xfId="0"/>
    <xf numFmtId="172" fontId="0" fillId="11" borderId="0" pivotButton="0" quotePrefix="0" xfId="0"/>
    <xf numFmtId="172" fontId="2" fillId="14" borderId="0" pivotButton="0" quotePrefix="0" xfId="0"/>
    <xf numFmtId="172" fontId="0" fillId="14" borderId="0" pivotButton="0" quotePrefix="0" xfId="0"/>
    <xf numFmtId="0" fontId="0" fillId="11" borderId="0" pivotButton="0" quotePrefix="0" xfId="0"/>
    <xf numFmtId="172" fontId="0" fillId="11" borderId="0" pivotButton="0" quotePrefix="0" xfId="1"/>
    <xf numFmtId="172" fontId="0" fillId="14" borderId="0" pivotButton="0" quotePrefix="0" xfId="2"/>
    <xf numFmtId="172" fontId="0" fillId="0" borderId="10" pivotButton="0" quotePrefix="0" xfId="0"/>
    <xf numFmtId="172" fontId="0" fillId="5" borderId="0" pivotButton="0" quotePrefix="0" xfId="0"/>
    <xf numFmtId="2" fontId="0" fillId="0" borderId="0" pivotButton="0" quotePrefix="0" xfId="0"/>
    <xf numFmtId="165" fontId="0" fillId="0" borderId="10" pivotButton="0" quotePrefix="0" xfId="0"/>
    <xf numFmtId="0" fontId="12" fillId="0" borderId="0" applyAlignment="1" pivotButton="0" quotePrefix="0" xfId="0">
      <alignment horizontal="center"/>
    </xf>
    <xf numFmtId="0" fontId="0" fillId="4" borderId="21" pivotButton="0" quotePrefix="0" xfId="0"/>
    <xf numFmtId="0" fontId="0" fillId="4" borderId="22" applyAlignment="1" pivotButton="0" quotePrefix="0" xfId="8">
      <alignment horizontal="center"/>
    </xf>
    <xf numFmtId="164" fontId="32" fillId="4" borderId="22" applyAlignment="1" pivotButton="0" quotePrefix="0" xfId="2">
      <alignment horizontal="center"/>
    </xf>
    <xf numFmtId="0" fontId="0" fillId="4" borderId="23" pivotButton="0" quotePrefix="0" xfId="0"/>
    <xf numFmtId="0" fontId="0" fillId="4" borderId="25" pivotButton="0" quotePrefix="0" xfId="0"/>
    <xf numFmtId="0" fontId="0" fillId="4" borderId="0" applyAlignment="1" pivotButton="0" quotePrefix="0" xfId="0">
      <alignment horizontal="center"/>
    </xf>
    <xf numFmtId="164" fontId="12" fillId="2" borderId="24" pivotButton="0" quotePrefix="0" xfId="2"/>
    <xf numFmtId="0" fontId="0" fillId="4" borderId="6" pivotButton="0" quotePrefix="0" xfId="0"/>
    <xf numFmtId="164" fontId="33" fillId="4" borderId="33" pivotButton="0" quotePrefix="0" xfId="2"/>
    <xf numFmtId="0" fontId="0" fillId="0" borderId="1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" fontId="0" fillId="0" borderId="9" pivotButton="0" quotePrefix="0" xfId="0"/>
    <xf numFmtId="3" fontId="0" fillId="0" borderId="34" applyAlignment="1" pivotButton="0" quotePrefix="0" xfId="0">
      <alignment horizontal="center"/>
    </xf>
    <xf numFmtId="164" fontId="0" fillId="5" borderId="13" pivotButton="0" quotePrefix="0" xfId="0"/>
    <xf numFmtId="0" fontId="0" fillId="0" borderId="9" applyAlignment="1" pivotButton="0" quotePrefix="0" xfId="0">
      <alignment horizontal="center"/>
    </xf>
    <xf numFmtId="164" fontId="0" fillId="0" borderId="10" pivotButton="0" quotePrefix="0" xfId="0"/>
    <xf numFmtId="164" fontId="0" fillId="0" borderId="0" applyAlignment="1" pivotButton="0" quotePrefix="0" xfId="2">
      <alignment horizontal="center"/>
    </xf>
    <xf numFmtId="3" fontId="0" fillId="0" borderId="11" applyAlignment="1" pivotButton="0" quotePrefix="0" xfId="0">
      <alignment horizontal="center"/>
    </xf>
    <xf numFmtId="168" fontId="0" fillId="0" borderId="13" pivotButton="0" quotePrefix="0" xfId="0"/>
    <xf numFmtId="0" fontId="0" fillId="15" borderId="0" applyAlignment="1" pivotButton="0" quotePrefix="0" xfId="0">
      <alignment horizontal="center"/>
    </xf>
    <xf numFmtId="168" fontId="0" fillId="15" borderId="0" applyAlignment="1" pivotButton="0" quotePrefix="0" xfId="0">
      <alignment horizontal="center"/>
    </xf>
    <xf numFmtId="0" fontId="33" fillId="16" borderId="0" pivotButton="0" quotePrefix="0" xfId="0"/>
    <xf numFmtId="164" fontId="33" fillId="16" borderId="0" pivotButton="0" quotePrefix="0" xfId="0"/>
    <xf numFmtId="0" fontId="11" fillId="0" borderId="1" pivotButton="0" quotePrefix="0" xfId="0"/>
    <xf numFmtId="164" fontId="11" fillId="0" borderId="1" pivotButton="0" quotePrefix="0" xfId="2"/>
    <xf numFmtId="165" fontId="0" fillId="2" borderId="0" pivotButton="0" quotePrefix="0" xfId="0"/>
    <xf numFmtId="172" fontId="2" fillId="17" borderId="0" pivotButton="0" quotePrefix="0" xfId="0"/>
    <xf numFmtId="172" fontId="0" fillId="17" borderId="0" pivotButton="0" quotePrefix="0" xfId="0"/>
    <xf numFmtId="172" fontId="0" fillId="17" borderId="0" pivotButton="0" quotePrefix="0" xfId="2"/>
    <xf numFmtId="172" fontId="0" fillId="17" borderId="0" applyAlignment="1" pivotButton="0" quotePrefix="0" xfId="2">
      <alignment horizontal="right"/>
    </xf>
    <xf numFmtId="172" fontId="0" fillId="17" borderId="0" pivotButton="0" quotePrefix="0" xfId="1"/>
    <xf numFmtId="0" fontId="0" fillId="0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3" borderId="0" pivotButton="0" quotePrefix="0" xfId="0"/>
    <xf numFmtId="173" fontId="0" fillId="3" borderId="0" pivotButton="0" quotePrefix="0" xfId="0"/>
    <xf numFmtId="0" fontId="34" fillId="0" borderId="0" applyAlignment="1" pivotButton="0" quotePrefix="0" xfId="0">
      <alignment horizontal="center" vertical="center" wrapText="1"/>
    </xf>
    <xf numFmtId="0" fontId="34" fillId="0" borderId="2" applyAlignment="1" pivotButton="0" quotePrefix="0" xfId="0">
      <alignment horizontal="center" vertical="center"/>
    </xf>
    <xf numFmtId="164" fontId="34" fillId="2" borderId="0" applyAlignment="1" pivotButton="0" quotePrefix="0" xfId="2">
      <alignment horizontal="center" vertical="center"/>
    </xf>
    <xf numFmtId="164" fontId="34" fillId="2" borderId="0" pivotButton="0" quotePrefix="0" xfId="2"/>
    <xf numFmtId="164" fontId="11" fillId="0" borderId="0" pivotButton="0" quotePrefix="0" xfId="2"/>
    <xf numFmtId="167" fontId="11" fillId="0" borderId="0" pivotButton="0" quotePrefix="0" xfId="2"/>
    <xf numFmtId="167" fontId="11" fillId="0" borderId="0" pivotButton="0" quotePrefix="0" xfId="2"/>
    <xf numFmtId="165" fontId="11" fillId="0" borderId="0" pivotButton="0" quotePrefix="0" xfId="0"/>
    <xf numFmtId="174" fontId="35" fillId="0" borderId="0" applyAlignment="1" pivotButton="0" quotePrefix="0" xfId="7">
      <alignment horizontal="right" indent="1"/>
    </xf>
    <xf numFmtId="168" fontId="11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right"/>
    </xf>
    <xf numFmtId="0" fontId="37" fillId="0" borderId="7" applyAlignment="1" pivotButton="0" quotePrefix="0" xfId="7">
      <alignment horizontal="center"/>
    </xf>
    <xf numFmtId="0" fontId="23" fillId="0" borderId="8" pivotButton="0" quotePrefix="0" xfId="7"/>
    <xf numFmtId="0" fontId="23" fillId="0" borderId="0" pivotButton="0" quotePrefix="0" xfId="7"/>
    <xf numFmtId="0" fontId="23" fillId="0" borderId="0" pivotButton="0" quotePrefix="0" xfId="7"/>
    <xf numFmtId="0" fontId="37" fillId="0" borderId="0" applyAlignment="1" pivotButton="0" quotePrefix="0" xfId="7">
      <alignment horizontal="center"/>
    </xf>
    <xf numFmtId="0" fontId="23" fillId="0" borderId="10" pivotButton="0" quotePrefix="0" xfId="7"/>
    <xf numFmtId="175" fontId="23" fillId="0" borderId="0" pivotButton="0" quotePrefix="0" xfId="7"/>
    <xf numFmtId="9" fontId="23" fillId="0" borderId="0" pivotButton="0" quotePrefix="0" xfId="7"/>
    <xf numFmtId="176" fontId="22" fillId="0" borderId="0" pivotButton="0" quotePrefix="0" xfId="7"/>
    <xf numFmtId="0" fontId="38" fillId="0" borderId="9" applyAlignment="1" pivotButton="0" quotePrefix="0" xfId="7">
      <alignment horizontal="left"/>
    </xf>
    <xf numFmtId="0" fontId="22" fillId="0" borderId="0" applyAlignment="1" pivotButton="0" quotePrefix="0" xfId="7">
      <alignment horizontal="center"/>
    </xf>
    <xf numFmtId="177" fontId="22" fillId="0" borderId="0" pivotButton="0" quotePrefix="0" xfId="7"/>
    <xf numFmtId="10" fontId="22" fillId="0" borderId="0" pivotButton="0" quotePrefix="0" xfId="12"/>
    <xf numFmtId="175" fontId="39" fillId="0" borderId="0" pivotButton="0" quotePrefix="0" xfId="7"/>
    <xf numFmtId="9" fontId="39" fillId="0" borderId="0" pivotButton="0" quotePrefix="0" xfId="7"/>
    <xf numFmtId="176" fontId="39" fillId="0" borderId="0" pivotButton="0" quotePrefix="0" xfId="7"/>
    <xf numFmtId="0" fontId="22" fillId="0" borderId="9" pivotButton="0" quotePrefix="0" xfId="7"/>
    <xf numFmtId="0" fontId="22" fillId="0" borderId="0" pivotButton="0" quotePrefix="0" xfId="7"/>
    <xf numFmtId="0" fontId="28" fillId="0" borderId="31" applyAlignment="1" pivotButton="0" quotePrefix="0" xfId="7">
      <alignment horizontal="center"/>
    </xf>
    <xf numFmtId="177" fontId="28" fillId="0" borderId="0" applyAlignment="1" pivotButton="0" quotePrefix="0" xfId="7">
      <alignment horizontal="right" indent="1"/>
    </xf>
    <xf numFmtId="0" fontId="28" fillId="0" borderId="0" applyAlignment="1" pivotButton="0" quotePrefix="0" xfId="7">
      <alignment horizontal="center"/>
    </xf>
    <xf numFmtId="0" fontId="22" fillId="0" borderId="0" applyAlignment="1" pivotButton="0" quotePrefix="0" xfId="7">
      <alignment horizontal="right" indent="1"/>
    </xf>
    <xf numFmtId="0" fontId="28" fillId="0" borderId="31" applyAlignment="1" pivotButton="0" quotePrefix="0" xfId="7">
      <alignment horizontal="right" indent="1"/>
    </xf>
    <xf numFmtId="0" fontId="28" fillId="0" borderId="0" applyAlignment="1" pivotButton="0" quotePrefix="0" xfId="7">
      <alignment horizontal="right" indent="1"/>
    </xf>
    <xf numFmtId="9" fontId="23" fillId="0" borderId="0" applyAlignment="1" pivotButton="0" quotePrefix="0" xfId="7">
      <alignment horizontal="right"/>
    </xf>
    <xf numFmtId="176" fontId="23" fillId="0" borderId="0" pivotButton="0" quotePrefix="0" xfId="7"/>
    <xf numFmtId="9" fontId="22" fillId="0" borderId="0" pivotButton="0" quotePrefix="0" xfId="10"/>
    <xf numFmtId="0" fontId="36" fillId="0" borderId="0" pivotButton="0" quotePrefix="0" xfId="0"/>
    <xf numFmtId="37" fontId="28" fillId="0" borderId="0" applyAlignment="1" pivotButton="0" quotePrefix="0" xfId="13">
      <alignment horizontal="right" indent="1"/>
    </xf>
    <xf numFmtId="178" fontId="28" fillId="0" borderId="0" applyAlignment="1" pivotButton="0" quotePrefix="0" xfId="7">
      <alignment horizontal="right" indent="1"/>
    </xf>
    <xf numFmtId="178" fontId="28" fillId="0" borderId="0" applyAlignment="1" pivotButton="0" quotePrefix="0" xfId="13">
      <alignment horizontal="right" indent="1"/>
    </xf>
    <xf numFmtId="0" fontId="28" fillId="0" borderId="0" pivotButton="0" quotePrefix="0" xfId="7"/>
    <xf numFmtId="0" fontId="22" fillId="0" borderId="0" pivotButton="0" quotePrefix="0" xfId="7"/>
    <xf numFmtId="179" fontId="24" fillId="0" borderId="0" applyAlignment="1" pivotButton="0" quotePrefix="0" xfId="12">
      <alignment horizontal="right" indent="1"/>
    </xf>
    <xf numFmtId="177" fontId="24" fillId="0" borderId="0" applyAlignment="1" pivotButton="0" quotePrefix="0" xfId="7">
      <alignment horizontal="right" indent="1"/>
    </xf>
    <xf numFmtId="10" fontId="24" fillId="0" borderId="0" applyAlignment="1" pivotButton="0" quotePrefix="0" xfId="12">
      <alignment horizontal="right" indent="1"/>
    </xf>
    <xf numFmtId="179" fontId="24" fillId="0" borderId="10" applyAlignment="1" pivotButton="0" quotePrefix="0" xfId="7">
      <alignment horizontal="right" indent="1"/>
    </xf>
    <xf numFmtId="175" fontId="28" fillId="0" borderId="0" pivotButton="0" quotePrefix="0" xfId="7"/>
    <xf numFmtId="9" fontId="28" fillId="0" borderId="0" pivotButton="0" quotePrefix="0" xfId="7"/>
    <xf numFmtId="0" fontId="39" fillId="0" borderId="0" pivotButton="0" quotePrefix="1" xfId="7"/>
    <xf numFmtId="176" fontId="28" fillId="0" borderId="0" pivotButton="0" quotePrefix="0" xfId="7"/>
    <xf numFmtId="0" fontId="23" fillId="0" borderId="0" applyAlignment="1" pivotButton="0" quotePrefix="0" xfId="7">
      <alignment horizontal="left"/>
    </xf>
    <xf numFmtId="0" fontId="24" fillId="0" borderId="0" applyAlignment="1" pivotButton="0" quotePrefix="0" xfId="7">
      <alignment horizontal="center"/>
    </xf>
    <xf numFmtId="180" fontId="28" fillId="0" borderId="0" applyAlignment="1" pivotButton="0" quotePrefix="0" xfId="13">
      <alignment horizontal="right" indent="1"/>
    </xf>
    <xf numFmtId="180" fontId="28" fillId="0" borderId="0" applyAlignment="1" pivotButton="0" quotePrefix="0" xfId="7">
      <alignment horizontal="right" indent="1"/>
    </xf>
    <xf numFmtId="177" fontId="23" fillId="0" borderId="0" pivotButton="0" quotePrefix="0" xfId="7"/>
    <xf numFmtId="181" fontId="40" fillId="0" borderId="43" applyAlignment="1" pivotButton="0" quotePrefix="0" xfId="7">
      <alignment horizontal="right" indent="1"/>
    </xf>
    <xf numFmtId="177" fontId="41" fillId="0" borderId="0" applyAlignment="1" pivotButton="0" quotePrefix="0" xfId="7">
      <alignment horizontal="right" indent="1"/>
    </xf>
    <xf numFmtId="43" fontId="42" fillId="0" borderId="0" applyAlignment="1" pivotButton="0" quotePrefix="0" xfId="7">
      <alignment horizontal="right" indent="1"/>
    </xf>
    <xf numFmtId="0" fontId="22" fillId="0" borderId="10" applyAlignment="1" pivotButton="0" quotePrefix="0" xfId="7">
      <alignment horizontal="right" indent="1"/>
    </xf>
    <xf numFmtId="177" fontId="28" fillId="0" borderId="0" pivotButton="0" quotePrefix="0" xfId="7"/>
    <xf numFmtId="43" fontId="28" fillId="0" borderId="0" applyAlignment="1" pivotButton="0" quotePrefix="0" xfId="7">
      <alignment horizontal="right" indent="1"/>
    </xf>
    <xf numFmtId="43" fontId="22" fillId="0" borderId="0" applyAlignment="1" pivotButton="0" quotePrefix="0" xfId="7">
      <alignment horizontal="right" indent="1"/>
    </xf>
    <xf numFmtId="177" fontId="22" fillId="0" borderId="0" applyAlignment="1" pivotButton="0" quotePrefix="0" xfId="7">
      <alignment horizontal="right" indent="1"/>
    </xf>
    <xf numFmtId="0" fontId="43" fillId="0" borderId="0" pivotButton="0" quotePrefix="0" xfId="7"/>
    <xf numFmtId="182" fontId="40" fillId="0" borderId="43" applyAlignment="1" pivotButton="0" quotePrefix="0" xfId="11">
      <alignment horizontal="right" indent="1"/>
    </xf>
    <xf numFmtId="2" fontId="40" fillId="0" borderId="0" applyAlignment="1" pivotButton="0" quotePrefix="0" xfId="7">
      <alignment horizontal="right" indent="1"/>
    </xf>
    <xf numFmtId="183" fontId="40" fillId="0" borderId="43" applyAlignment="1" pivotButton="0" quotePrefix="0" xfId="11">
      <alignment horizontal="right" indent="1"/>
    </xf>
    <xf numFmtId="2" fontId="40" fillId="0" borderId="0" applyAlignment="1" pivotButton="0" quotePrefix="0" xfId="13">
      <alignment horizontal="right" indent="1"/>
    </xf>
    <xf numFmtId="180" fontId="42" fillId="0" borderId="0" applyAlignment="1" pivotButton="0" quotePrefix="0" xfId="7">
      <alignment horizontal="right" indent="1"/>
    </xf>
    <xf numFmtId="10" fontId="28" fillId="0" borderId="0" applyAlignment="1" pivotButton="0" quotePrefix="0" xfId="12">
      <alignment horizontal="right" indent="1"/>
    </xf>
    <xf numFmtId="10" fontId="22" fillId="0" borderId="0" applyAlignment="1" pivotButton="0" quotePrefix="0" xfId="12">
      <alignment horizontal="right" indent="1"/>
    </xf>
    <xf numFmtId="0" fontId="23" fillId="0" borderId="0" applyAlignment="1" pivotButton="0" quotePrefix="0" xfId="7">
      <alignment horizontal="right"/>
    </xf>
    <xf numFmtId="177" fontId="28" fillId="0" borderId="0" applyAlignment="1" pivotButton="0" quotePrefix="0" xfId="7">
      <alignment horizontal="center"/>
    </xf>
    <xf numFmtId="184" fontId="28" fillId="0" borderId="0" applyAlignment="1" pivotButton="0" quotePrefix="0" xfId="7">
      <alignment horizontal="right" indent="1"/>
    </xf>
    <xf numFmtId="184" fontId="28" fillId="0" borderId="0" applyAlignment="1" pivotButton="0" quotePrefix="0" xfId="12">
      <alignment horizontal="right" indent="1"/>
    </xf>
    <xf numFmtId="183" fontId="23" fillId="0" borderId="0" pivotButton="0" quotePrefix="0" xfId="7"/>
    <xf numFmtId="43" fontId="28" fillId="0" borderId="0" applyAlignment="1" pivotButton="0" quotePrefix="0" xfId="13">
      <alignment horizontal="right" indent="1"/>
    </xf>
    <xf numFmtId="0" fontId="23" fillId="0" borderId="0" applyAlignment="1" pivotButton="0" quotePrefix="0" xfId="7">
      <alignment horizontal="center"/>
    </xf>
    <xf numFmtId="185" fontId="40" fillId="0" borderId="43" applyAlignment="1" pivotButton="0" quotePrefix="0" xfId="13">
      <alignment horizontal="right" indent="1"/>
    </xf>
    <xf numFmtId="177" fontId="39" fillId="0" borderId="0" applyAlignment="1" pivotButton="0" quotePrefix="0" xfId="7">
      <alignment horizontal="center"/>
    </xf>
    <xf numFmtId="2" fontId="42" fillId="0" borderId="0" applyAlignment="1" pivotButton="0" quotePrefix="0" xfId="7">
      <alignment horizontal="right" indent="1"/>
    </xf>
    <xf numFmtId="185" fontId="40" fillId="0" borderId="27" applyAlignment="1" pivotButton="0" quotePrefix="0" xfId="13">
      <alignment horizontal="right" indent="1"/>
    </xf>
    <xf numFmtId="177" fontId="42" fillId="0" borderId="0" applyAlignment="1" pivotButton="0" quotePrefix="0" xfId="7">
      <alignment horizontal="right" indent="1"/>
    </xf>
    <xf numFmtId="179" fontId="40" fillId="0" borderId="43" applyAlignment="1" pivotButton="0" quotePrefix="0" xfId="12">
      <alignment horizontal="right" indent="1"/>
    </xf>
    <xf numFmtId="185" fontId="22" fillId="0" borderId="0" applyAlignment="1" pivotButton="0" quotePrefix="0" xfId="7">
      <alignment horizontal="right" indent="1"/>
    </xf>
    <xf numFmtId="179" fontId="40" fillId="0" borderId="0" applyAlignment="1" pivotButton="0" quotePrefix="0" xfId="12">
      <alignment horizontal="right" indent="1"/>
    </xf>
    <xf numFmtId="179" fontId="42" fillId="0" borderId="0" applyAlignment="1" pivotButton="0" quotePrefix="0" xfId="12">
      <alignment horizontal="right" indent="1"/>
    </xf>
    <xf numFmtId="178" fontId="44" fillId="0" borderId="0" applyAlignment="1" pivotButton="0" quotePrefix="0" xfId="7">
      <alignment horizontal="right" indent="1"/>
    </xf>
    <xf numFmtId="0" fontId="22" fillId="0" borderId="0" pivotButton="0" quotePrefix="0" xfId="7"/>
    <xf numFmtId="178" fontId="22" fillId="0" borderId="0" applyAlignment="1" pivotButton="0" quotePrefix="0" xfId="7">
      <alignment horizontal="right" indent="1"/>
    </xf>
    <xf numFmtId="3" fontId="40" fillId="0" borderId="43" applyAlignment="1" pivotButton="0" quotePrefix="0" xfId="12">
      <alignment horizontal="right" indent="1"/>
    </xf>
    <xf numFmtId="186" fontId="40" fillId="0" borderId="43" applyAlignment="1" pivotButton="0" quotePrefix="0" xfId="11">
      <alignment horizontal="right" indent="1"/>
    </xf>
    <xf numFmtId="4" fontId="42" fillId="0" borderId="0" applyAlignment="1" pivotButton="0" quotePrefix="0" xfId="11">
      <alignment horizontal="right" indent="1"/>
    </xf>
    <xf numFmtId="0" fontId="23" fillId="0" borderId="0" pivotButton="0" quotePrefix="0" xfId="7"/>
    <xf numFmtId="177" fontId="23" fillId="0" borderId="0" pivotButton="0" quotePrefix="0" xfId="7"/>
    <xf numFmtId="10" fontId="0" fillId="0" borderId="0" pivotButton="0" quotePrefix="0" xfId="12"/>
    <xf numFmtId="170" fontId="45" fillId="0" borderId="43" applyAlignment="1" pivotButton="0" quotePrefix="0" xfId="13">
      <alignment horizontal="right" indent="1"/>
    </xf>
    <xf numFmtId="187" fontId="28" fillId="0" borderId="0" applyAlignment="1" pivotButton="0" quotePrefix="0" xfId="7">
      <alignment horizontal="right" indent="1"/>
    </xf>
    <xf numFmtId="170" fontId="28" fillId="0" borderId="43" applyAlignment="1" pivotButton="0" quotePrefix="0" xfId="13">
      <alignment horizontal="right" indent="1"/>
    </xf>
    <xf numFmtId="187" fontId="28" fillId="0" borderId="0" applyAlignment="1" pivotButton="0" quotePrefix="0" xfId="13">
      <alignment horizontal="right" indent="1"/>
    </xf>
    <xf numFmtId="37" fontId="22" fillId="0" borderId="0" applyAlignment="1" pivotButton="0" quotePrefix="0" xfId="13">
      <alignment horizontal="right" indent="1"/>
    </xf>
    <xf numFmtId="164" fontId="42" fillId="0" borderId="0" applyAlignment="1" pivotButton="0" quotePrefix="0" xfId="2">
      <alignment horizontal="right" indent="1"/>
    </xf>
    <xf numFmtId="177" fontId="28" fillId="2" borderId="43" applyAlignment="1" pivotButton="0" quotePrefix="0" xfId="13">
      <alignment horizontal="right" indent="1"/>
    </xf>
    <xf numFmtId="177" fontId="28" fillId="0" borderId="0" applyAlignment="1" pivotButton="0" quotePrefix="0" xfId="13">
      <alignment horizontal="right" indent="1"/>
    </xf>
    <xf numFmtId="1" fontId="23" fillId="0" borderId="0" pivotButton="0" quotePrefix="0" xfId="7"/>
    <xf numFmtId="177" fontId="28" fillId="0" borderId="43" applyAlignment="1" pivotButton="0" quotePrefix="0" xfId="13">
      <alignment horizontal="right" indent="1"/>
    </xf>
    <xf numFmtId="10" fontId="23" fillId="0" borderId="0" pivotButton="0" quotePrefix="0" xfId="7"/>
    <xf numFmtId="177" fontId="22" fillId="0" borderId="0" applyAlignment="1" pivotButton="0" quotePrefix="0" xfId="13">
      <alignment horizontal="right" indent="1"/>
    </xf>
    <xf numFmtId="177" fontId="22" fillId="0" borderId="31" applyAlignment="1" pivotButton="0" quotePrefix="0" xfId="7">
      <alignment horizontal="left" indent="11"/>
    </xf>
    <xf numFmtId="177" fontId="23" fillId="0" borderId="31" applyAlignment="1" pivotButton="0" quotePrefix="0" xfId="7">
      <alignment horizontal="left" indent="11"/>
    </xf>
    <xf numFmtId="177" fontId="23" fillId="0" borderId="0" applyAlignment="1" pivotButton="0" quotePrefix="0" xfId="7">
      <alignment horizontal="left" indent="11"/>
    </xf>
    <xf numFmtId="10" fontId="0" fillId="0" borderId="0" applyAlignment="1" pivotButton="0" quotePrefix="0" xfId="12">
      <alignment horizontal="right" indent="1"/>
    </xf>
    <xf numFmtId="183" fontId="22" fillId="0" borderId="0" applyAlignment="1" pivotButton="0" quotePrefix="0" xfId="11">
      <alignment horizontal="center"/>
    </xf>
    <xf numFmtId="10" fontId="0" fillId="0" borderId="0" applyAlignment="1" pivotButton="0" quotePrefix="0" xfId="12">
      <alignment horizontal="center"/>
    </xf>
    <xf numFmtId="37" fontId="23" fillId="0" borderId="0" pivotButton="0" quotePrefix="0" xfId="7"/>
    <xf numFmtId="0" fontId="28" fillId="0" borderId="0" applyAlignment="1" pivotButton="0" quotePrefix="0" xfId="7">
      <alignment horizontal="left"/>
    </xf>
    <xf numFmtId="177" fontId="22" fillId="0" borderId="31" applyAlignment="1" pivotButton="0" quotePrefix="0" xfId="7">
      <alignment horizontal="right" indent="1"/>
    </xf>
    <xf numFmtId="177" fontId="23" fillId="0" borderId="31" applyAlignment="1" pivotButton="0" quotePrefix="0" xfId="7">
      <alignment horizontal="right" indent="1"/>
    </xf>
    <xf numFmtId="10" fontId="0" fillId="0" borderId="31" applyAlignment="1" pivotButton="0" quotePrefix="0" xfId="12">
      <alignment horizontal="right" indent="1"/>
    </xf>
    <xf numFmtId="183" fontId="0" fillId="0" borderId="0" pivotButton="0" quotePrefix="0" xfId="11"/>
    <xf numFmtId="177" fontId="23" fillId="0" borderId="0" applyAlignment="1" pivotButton="0" quotePrefix="0" xfId="7">
      <alignment horizontal="right" indent="1"/>
    </xf>
    <xf numFmtId="177" fontId="23" fillId="0" borderId="0" applyAlignment="1" pivotButton="0" quotePrefix="0" xfId="7">
      <alignment horizontal="right" indent="1"/>
    </xf>
    <xf numFmtId="179" fontId="0" fillId="0" borderId="0" applyAlignment="1" pivotButton="0" quotePrefix="0" xfId="12">
      <alignment horizontal="right" indent="1"/>
    </xf>
    <xf numFmtId="188" fontId="0" fillId="0" borderId="0" pivotButton="0" quotePrefix="0" xfId="11"/>
    <xf numFmtId="179" fontId="0" fillId="0" borderId="0" pivotButton="0" quotePrefix="0" xfId="12"/>
    <xf numFmtId="184" fontId="43" fillId="0" borderId="0" applyAlignment="1" pivotButton="0" quotePrefix="0" xfId="12">
      <alignment horizontal="left"/>
    </xf>
    <xf numFmtId="189" fontId="43" fillId="0" borderId="10" applyAlignment="1" pivotButton="0" quotePrefix="0" xfId="7">
      <alignment horizontal="left"/>
    </xf>
    <xf numFmtId="0" fontId="38" fillId="0" borderId="9" pivotButton="0" quotePrefix="0" xfId="7"/>
    <xf numFmtId="190" fontId="43" fillId="0" borderId="0" applyAlignment="1" pivotButton="0" quotePrefix="0" xfId="13">
      <alignment horizontal="left"/>
    </xf>
    <xf numFmtId="0" fontId="23" fillId="0" borderId="9" pivotButton="0" quotePrefix="0" xfId="7"/>
    <xf numFmtId="191" fontId="43" fillId="0" borderId="0" applyAlignment="1" pivotButton="0" quotePrefix="0" xfId="12">
      <alignment horizontal="left"/>
    </xf>
    <xf numFmtId="0" fontId="28" fillId="0" borderId="9" applyAlignment="1" pivotButton="0" quotePrefix="0" xfId="7">
      <alignment horizontal="left"/>
    </xf>
    <xf numFmtId="170" fontId="23" fillId="0" borderId="0" pivotButton="0" quotePrefix="0" xfId="7"/>
    <xf numFmtId="177" fontId="23" fillId="0" borderId="31" applyAlignment="1" pivotButton="0" quotePrefix="0" xfId="7">
      <alignment horizontal="right" indent="1"/>
    </xf>
    <xf numFmtId="179" fontId="0" fillId="0" borderId="31" applyAlignment="1" pivotButton="0" quotePrefix="0" xfId="12">
      <alignment horizontal="right" indent="1"/>
    </xf>
    <xf numFmtId="178" fontId="0" fillId="0" borderId="0" pivotButton="0" quotePrefix="0" xfId="13"/>
    <xf numFmtId="43" fontId="0" fillId="0" borderId="0" pivotButton="0" quotePrefix="0" xfId="13"/>
    <xf numFmtId="0" fontId="28" fillId="0" borderId="0" pivotButton="0" quotePrefix="0" xfId="7"/>
    <xf numFmtId="177" fontId="28" fillId="0" borderId="0" applyAlignment="1" pivotButton="0" quotePrefix="0" xfId="7">
      <alignment horizontal="right" indent="1"/>
    </xf>
    <xf numFmtId="179" fontId="2" fillId="0" borderId="0" applyAlignment="1" pivotButton="0" quotePrefix="0" xfId="12">
      <alignment horizontal="right" indent="1"/>
    </xf>
    <xf numFmtId="188" fontId="2" fillId="0" borderId="0" pivotButton="0" quotePrefix="0" xfId="11"/>
    <xf numFmtId="0" fontId="2" fillId="0" borderId="0" applyAlignment="1" pivotButton="0" quotePrefix="0" xfId="0">
      <alignment vertical="center"/>
    </xf>
    <xf numFmtId="179" fontId="2" fillId="0" borderId="0" pivotButton="0" quotePrefix="0" xfId="12"/>
    <xf numFmtId="10" fontId="2" fillId="0" borderId="0" pivotButton="0" quotePrefix="0" xfId="12"/>
    <xf numFmtId="0" fontId="28" fillId="0" borderId="10" pivotButton="0" quotePrefix="0" xfId="7"/>
    <xf numFmtId="174" fontId="23" fillId="0" borderId="0" applyAlignment="1" pivotButton="0" quotePrefix="0" xfId="7">
      <alignment horizontal="right" indent="1"/>
    </xf>
    <xf numFmtId="192" fontId="0" fillId="0" borderId="0" applyAlignment="1" pivotButton="0" quotePrefix="0" xfId="12">
      <alignment horizontal="right" indent="1"/>
    </xf>
    <xf numFmtId="174" fontId="28" fillId="0" borderId="0" applyAlignment="1" pivotButton="0" quotePrefix="0" xfId="7">
      <alignment horizontal="right" indent="1"/>
    </xf>
    <xf numFmtId="0" fontId="28" fillId="0" borderId="9" pivotButton="0" quotePrefix="0" xfId="7"/>
    <xf numFmtId="178" fontId="2" fillId="0" borderId="0" pivotButton="0" quotePrefix="0" xfId="13"/>
    <xf numFmtId="43" fontId="2" fillId="0" borderId="0" pivotButton="0" quotePrefix="0" xfId="13"/>
    <xf numFmtId="0" fontId="28" fillId="0" borderId="0" pivotButton="0" quotePrefix="0" xfId="7"/>
    <xf numFmtId="179" fontId="0" fillId="0" borderId="0" applyAlignment="1" pivotButton="0" quotePrefix="0" xfId="12">
      <alignment horizontal="center"/>
    </xf>
    <xf numFmtId="0" fontId="23" fillId="0" borderId="10" applyAlignment="1" pivotButton="0" quotePrefix="0" xfId="7">
      <alignment horizontal="center"/>
    </xf>
    <xf numFmtId="0" fontId="23" fillId="13" borderId="0" pivotButton="0" quotePrefix="0" xfId="7"/>
    <xf numFmtId="174" fontId="23" fillId="7" borderId="0" applyAlignment="1" pivotButton="0" quotePrefix="0" xfId="7">
      <alignment horizontal="right" indent="1"/>
    </xf>
    <xf numFmtId="192" fontId="0" fillId="0" borderId="0" applyAlignment="1" pivotButton="0" quotePrefix="0" xfId="12">
      <alignment horizontal="right" indent="1"/>
    </xf>
    <xf numFmtId="188" fontId="0" fillId="0" borderId="0" pivotButton="0" quotePrefix="0" xfId="11"/>
    <xf numFmtId="174" fontId="22" fillId="0" borderId="0" pivotButton="0" quotePrefix="0" xfId="7"/>
    <xf numFmtId="179" fontId="12" fillId="0" borderId="0" pivotButton="0" quotePrefix="0" xfId="12"/>
    <xf numFmtId="174" fontId="22" fillId="0" borderId="0" applyAlignment="1" pivotButton="0" quotePrefix="0" xfId="7">
      <alignment horizontal="right" indent="1"/>
    </xf>
    <xf numFmtId="10" fontId="12" fillId="0" borderId="0" pivotButton="0" quotePrefix="0" xfId="12"/>
    <xf numFmtId="174" fontId="22" fillId="0" borderId="10" pivotButton="0" quotePrefix="0" xfId="7"/>
    <xf numFmtId="192" fontId="12" fillId="0" borderId="0" pivotButton="0" quotePrefix="0" xfId="12"/>
    <xf numFmtId="174" fontId="23" fillId="0" borderId="0" pivotButton="0" quotePrefix="0" xfId="7"/>
    <xf numFmtId="0" fontId="23" fillId="18" borderId="0" pivotButton="0" quotePrefix="0" xfId="7"/>
    <xf numFmtId="0" fontId="23" fillId="19" borderId="0" pivotButton="0" quotePrefix="0" xfId="7"/>
    <xf numFmtId="193" fontId="22" fillId="0" borderId="0" pivotButton="0" quotePrefix="0" xfId="7"/>
    <xf numFmtId="174" fontId="22" fillId="0" borderId="10" pivotButton="0" quotePrefix="0" xfId="7"/>
    <xf numFmtId="43" fontId="0" fillId="0" borderId="0" applyAlignment="1" pivotButton="0" quotePrefix="0" xfId="13">
      <alignment horizontal="right"/>
    </xf>
    <xf numFmtId="179" fontId="23" fillId="0" borderId="0" pivotButton="0" quotePrefix="0" xfId="7"/>
    <xf numFmtId="1" fontId="23" fillId="0" borderId="0" pivotButton="0" quotePrefix="0" xfId="7"/>
    <xf numFmtId="10" fontId="0" fillId="0" borderId="0" pivotButton="0" quotePrefix="0" xfId="12"/>
    <xf numFmtId="174" fontId="28" fillId="0" borderId="0" applyAlignment="1" pivotButton="0" quotePrefix="0" xfId="7">
      <alignment horizontal="right" indent="1"/>
    </xf>
    <xf numFmtId="192" fontId="2" fillId="0" borderId="0" applyAlignment="1" pivotButton="0" quotePrefix="0" xfId="12">
      <alignment horizontal="right" indent="1"/>
    </xf>
    <xf numFmtId="177" fontId="2" fillId="0" borderId="0" applyAlignment="1" pivotButton="0" quotePrefix="0" xfId="0">
      <alignment vertical="center"/>
    </xf>
    <xf numFmtId="184" fontId="46" fillId="0" borderId="0" applyAlignment="1" pivotButton="0" quotePrefix="0" xfId="0">
      <alignment vertical="center"/>
    </xf>
    <xf numFmtId="0" fontId="47" fillId="0" borderId="0" pivotButton="0" quotePrefix="0" xfId="7"/>
    <xf numFmtId="177" fontId="47" fillId="0" borderId="0" applyAlignment="1" pivotButton="0" quotePrefix="0" xfId="7">
      <alignment horizontal="right" indent="1"/>
    </xf>
    <xf numFmtId="177" fontId="47" fillId="0" borderId="0" applyAlignment="1" pivotButton="0" quotePrefix="0" xfId="7">
      <alignment horizontal="right" indent="1"/>
    </xf>
    <xf numFmtId="179" fontId="9" fillId="0" borderId="0" applyAlignment="1" pivotButton="0" quotePrefix="0" xfId="12">
      <alignment horizontal="right" indent="1"/>
    </xf>
    <xf numFmtId="188" fontId="48" fillId="0" borderId="0" pivotButton="0" quotePrefix="0" xfId="11"/>
    <xf numFmtId="10" fontId="23" fillId="0" borderId="10" pivotButton="0" quotePrefix="0" xfId="7"/>
    <xf numFmtId="174" fontId="23" fillId="5" borderId="0" applyAlignment="1" pivotButton="0" quotePrefix="0" xfId="7">
      <alignment horizontal="right" indent="1"/>
    </xf>
    <xf numFmtId="192" fontId="0" fillId="0" borderId="0" pivotButton="0" quotePrefix="0" xfId="12"/>
    <xf numFmtId="0" fontId="23" fillId="0" borderId="25" pivotButton="0" quotePrefix="0" xfId="7"/>
    <xf numFmtId="0" fontId="47" fillId="0" borderId="9" pivotButton="0" quotePrefix="0" xfId="7"/>
    <xf numFmtId="0" fontId="50" fillId="0" borderId="0" pivotButton="0" quotePrefix="0" xfId="7"/>
    <xf numFmtId="178" fontId="48" fillId="0" borderId="0" pivotButton="0" quotePrefix="0" xfId="13"/>
    <xf numFmtId="43" fontId="48" fillId="0" borderId="0" pivotButton="0" quotePrefix="0" xfId="13"/>
    <xf numFmtId="0" fontId="50" fillId="0" borderId="0" pivotButton="0" quotePrefix="0" xfId="7"/>
    <xf numFmtId="0" fontId="50" fillId="0" borderId="0" pivotButton="0" quotePrefix="0" xfId="7"/>
    <xf numFmtId="170" fontId="50" fillId="0" borderId="0" pivotButton="0" quotePrefix="0" xfId="7"/>
    <xf numFmtId="174" fontId="23" fillId="0" borderId="31" applyAlignment="1" pivotButton="0" quotePrefix="0" xfId="7">
      <alignment horizontal="right" indent="1"/>
    </xf>
    <xf numFmtId="192" fontId="0" fillId="0" borderId="31" applyAlignment="1" pivotButton="0" quotePrefix="0" xfId="12">
      <alignment horizontal="right" indent="1"/>
    </xf>
    <xf numFmtId="0" fontId="49" fillId="0" borderId="0" pivotButton="0" quotePrefix="0" xfId="7"/>
    <xf numFmtId="177" fontId="49" fillId="0" borderId="0" applyAlignment="1" pivotButton="0" quotePrefix="0" xfId="7">
      <alignment horizontal="right" indent="1"/>
    </xf>
    <xf numFmtId="179" fontId="25" fillId="0" borderId="0" applyAlignment="1" pivotButton="0" quotePrefix="0" xfId="12">
      <alignment horizontal="right" indent="1"/>
    </xf>
    <xf numFmtId="188" fontId="17" fillId="0" borderId="0" pivotButton="0" quotePrefix="0" xfId="11"/>
    <xf numFmtId="0" fontId="17" fillId="0" borderId="0" applyAlignment="1" pivotButton="0" quotePrefix="0" xfId="0">
      <alignment vertical="center"/>
    </xf>
    <xf numFmtId="179" fontId="17" fillId="0" borderId="0" pivotButton="0" quotePrefix="0" xfId="12"/>
    <xf numFmtId="10" fontId="17" fillId="0" borderId="0" pivotButton="0" quotePrefix="0" xfId="12"/>
    <xf numFmtId="0" fontId="51" fillId="0" borderId="10" pivotButton="0" quotePrefix="0" xfId="7"/>
    <xf numFmtId="0" fontId="22" fillId="0" borderId="12" pivotButton="0" quotePrefix="0" xfId="7"/>
    <xf numFmtId="177" fontId="22" fillId="0" borderId="12" pivotButton="0" quotePrefix="0" xfId="7"/>
    <xf numFmtId="183" fontId="22" fillId="0" borderId="12" pivotButton="0" quotePrefix="0" xfId="11"/>
    <xf numFmtId="10" fontId="22" fillId="0" borderId="12" pivotButton="0" quotePrefix="0" xfId="12"/>
    <xf numFmtId="0" fontId="22" fillId="0" borderId="13" pivotButton="0" quotePrefix="0" xfId="7"/>
    <xf numFmtId="183" fontId="0" fillId="0" borderId="0" pivotButton="0" quotePrefix="0" xfId="11"/>
    <xf numFmtId="0" fontId="49" fillId="0" borderId="9" pivotButton="0" quotePrefix="0" xfId="7"/>
    <xf numFmtId="0" fontId="51" fillId="0" borderId="0" pivotButton="0" quotePrefix="0" xfId="7"/>
    <xf numFmtId="178" fontId="17" fillId="0" borderId="0" pivotButton="0" quotePrefix="0" xfId="13"/>
    <xf numFmtId="43" fontId="17" fillId="0" borderId="0" pivotButton="0" quotePrefix="0" xfId="13"/>
    <xf numFmtId="0" fontId="51" fillId="0" borderId="0" pivotButton="0" quotePrefix="0" xfId="7"/>
    <xf numFmtId="0" fontId="51" fillId="0" borderId="0" pivotButton="0" quotePrefix="0" xfId="7"/>
    <xf numFmtId="0" fontId="22" fillId="0" borderId="11" pivotButton="0" quotePrefix="0" xfId="7"/>
    <xf numFmtId="0" fontId="2" fillId="0" borderId="25" pivotButton="0" quotePrefix="0" xfId="0"/>
    <xf numFmtId="0" fontId="2" fillId="0" borderId="0" applyAlignment="1" pivotButton="0" quotePrefix="0" xfId="0">
      <alignment horizontal="center"/>
    </xf>
    <xf numFmtId="172" fontId="0" fillId="11" borderId="0" pivotButton="0" quotePrefix="0" xfId="2"/>
    <xf numFmtId="172" fontId="0" fillId="0" borderId="0" applyAlignment="1" pivotButton="0" quotePrefix="0" xfId="0">
      <alignment horizontal="center"/>
    </xf>
    <xf numFmtId="172" fontId="12" fillId="0" borderId="0" applyAlignment="1" pivotButton="0" quotePrefix="0" xfId="0">
      <alignment horizontal="center"/>
    </xf>
    <xf numFmtId="172" fontId="0" fillId="0" borderId="0" pivotButton="0" quotePrefix="0" xfId="2"/>
    <xf numFmtId="172" fontId="0" fillId="0" borderId="12" pivotButton="0" quotePrefix="0" xfId="2"/>
    <xf numFmtId="165" fontId="0" fillId="0" borderId="12" pivotButton="0" quotePrefix="0" xfId="2"/>
    <xf numFmtId="2" fontId="1" fillId="20" borderId="12" applyAlignment="1" pivotButton="0" quotePrefix="0" xfId="4">
      <alignment horizontal="center"/>
    </xf>
    <xf numFmtId="0" fontId="11" fillId="0" borderId="0" applyAlignment="1" pivotButton="0" quotePrefix="0" xfId="0">
      <alignment horizontal="left"/>
    </xf>
    <xf numFmtId="0" fontId="15" fillId="0" borderId="0" pivotButton="0" quotePrefix="0" xfId="0"/>
    <xf numFmtId="0" fontId="2" fillId="0" borderId="0" pivotButton="0" quotePrefix="0" xfId="0"/>
    <xf numFmtId="171" fontId="0" fillId="0" borderId="1" pivotButton="0" quotePrefix="0" xfId="1"/>
    <xf numFmtId="0" fontId="0" fillId="0" borderId="2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5" pivotButton="0" quotePrefix="0" xfId="0"/>
    <xf numFmtId="0" fontId="0" fillId="0" borderId="3" pivotButton="0" quotePrefix="0" xfId="0"/>
    <xf numFmtId="167" fontId="0" fillId="2" borderId="23" pivotButton="0" quotePrefix="0" xfId="2"/>
    <xf numFmtId="0" fontId="2" fillId="5" borderId="0" pivotButton="0" quotePrefix="0" xfId="0"/>
    <xf numFmtId="164" fontId="2" fillId="2" borderId="0" pivotButton="0" quotePrefix="0" xfId="0"/>
    <xf numFmtId="0" fontId="2" fillId="2" borderId="0" applyAlignment="1" pivotButton="0" quotePrefix="0" xfId="0">
      <alignment horizontal="right"/>
    </xf>
    <xf numFmtId="164" fontId="2" fillId="2" borderId="0" applyAlignment="1" pivotButton="0" quotePrefix="0" xfId="0">
      <alignment horizontal="right"/>
    </xf>
    <xf numFmtId="0" fontId="0" fillId="6" borderId="1" applyAlignment="1" pivotButton="0" quotePrefix="0" xfId="0">
      <alignment horizontal="center" vertical="center"/>
    </xf>
    <xf numFmtId="164" fontId="0" fillId="2" borderId="1" pivotButton="0" quotePrefix="0" xfId="2"/>
    <xf numFmtId="0" fontId="0" fillId="0" borderId="4" pivotButton="0" quotePrefix="0" xfId="0"/>
    <xf numFmtId="167" fontId="0" fillId="2" borderId="20" pivotButton="0" quotePrefix="0" xfId="2"/>
    <xf numFmtId="0" fontId="11" fillId="6" borderId="1" pivotButton="0" quotePrefix="0" xfId="0"/>
    <xf numFmtId="164" fontId="11" fillId="6" borderId="1" pivotButton="0" quotePrefix="0" xfId="2"/>
    <xf numFmtId="0" fontId="27" fillId="22" borderId="4" applyAlignment="1" applyProtection="1" pivotButton="0" quotePrefix="0" xfId="0">
      <alignment vertical="center"/>
      <protection locked="0" hidden="0"/>
    </xf>
    <xf numFmtId="0" fontId="27" fillId="22" borderId="4" applyProtection="1" pivotButton="0" quotePrefix="0" xfId="0">
      <protection locked="0" hidden="0"/>
    </xf>
    <xf numFmtId="164" fontId="27" fillId="22" borderId="4" applyAlignment="1" applyProtection="1" pivotButton="0" quotePrefix="0" xfId="2">
      <alignment vertical="center"/>
      <protection locked="0" hidden="0"/>
    </xf>
    <xf numFmtId="164" fontId="27" fillId="22" borderId="4" applyAlignment="1" applyProtection="1" pivotButton="0" quotePrefix="0" xfId="2">
      <alignment vertical="center" wrapText="1"/>
      <protection locked="0" hidden="0"/>
    </xf>
    <xf numFmtId="0" fontId="28" fillId="22" borderId="4" applyAlignment="1" pivotButton="0" quotePrefix="0" xfId="9">
      <alignment vertical="center"/>
    </xf>
    <xf numFmtId="164" fontId="11" fillId="22" borderId="1" pivotButton="0" quotePrefix="0" xfId="2"/>
    <xf numFmtId="164" fontId="23" fillId="22" borderId="1" applyAlignment="1" applyProtection="1" pivotButton="0" quotePrefix="0" xfId="2">
      <alignment vertical="top"/>
      <protection locked="0" hidden="0"/>
    </xf>
    <xf numFmtId="164" fontId="11" fillId="22" borderId="1" pivotButton="0" quotePrefix="0" xfId="0"/>
    <xf numFmtId="0" fontId="34" fillId="22" borderId="1" pivotButton="0" quotePrefix="0" xfId="0"/>
    <xf numFmtId="0" fontId="34" fillId="0" borderId="1" applyAlignment="1" pivotButton="0" quotePrefix="0" xfId="0">
      <alignment horizontal="right"/>
    </xf>
    <xf numFmtId="164" fontId="34" fillId="0" borderId="1" pivotButton="0" quotePrefix="0" xfId="2"/>
    <xf numFmtId="0" fontId="11" fillId="2" borderId="1" pivotButton="0" quotePrefix="0" xfId="0"/>
    <xf numFmtId="0" fontId="11" fillId="6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173" fontId="0" fillId="0" borderId="1" pivotButton="0" quotePrefix="0" xfId="0"/>
    <xf numFmtId="173" fontId="0" fillId="0" borderId="4" pivotButton="0" quotePrefix="0" xfId="0"/>
    <xf numFmtId="0" fontId="0" fillId="0" borderId="34" pivotButton="0" quotePrefix="0" xfId="0"/>
    <xf numFmtId="173" fontId="0" fillId="0" borderId="34" pivotButton="0" quotePrefix="0" xfId="0"/>
    <xf numFmtId="173" fontId="0" fillId="0" borderId="15" pivotButton="0" quotePrefix="0" xfId="0"/>
    <xf numFmtId="173" fontId="0" fillId="0" borderId="47" pivotButton="0" quotePrefix="0" xfId="0"/>
    <xf numFmtId="173" fontId="0" fillId="0" borderId="35" pivotButton="0" quotePrefix="0" xfId="0"/>
    <xf numFmtId="0" fontId="0" fillId="0" borderId="36" pivotButton="0" quotePrefix="0" xfId="0"/>
    <xf numFmtId="173" fontId="0" fillId="0" borderId="36" pivotButton="0" quotePrefix="0" xfId="0"/>
    <xf numFmtId="173" fontId="0" fillId="0" borderId="37" pivotButton="0" quotePrefix="0" xfId="0"/>
    <xf numFmtId="0" fontId="0" fillId="0" borderId="39" pivotButton="0" quotePrefix="0" xfId="0"/>
    <xf numFmtId="173" fontId="0" fillId="0" borderId="39" pivotButton="0" quotePrefix="0" xfId="0"/>
    <xf numFmtId="173" fontId="0" fillId="0" borderId="40" pivotButton="0" quotePrefix="0" xfId="0"/>
    <xf numFmtId="168" fontId="0" fillId="0" borderId="1" applyAlignment="1" pivotButton="0" quotePrefix="0" xfId="5">
      <alignment horizontal="center"/>
    </xf>
    <xf numFmtId="168" fontId="0" fillId="0" borderId="1" pivotButton="0" quotePrefix="0" xfId="5"/>
    <xf numFmtId="164" fontId="63" fillId="21" borderId="0" applyAlignment="1" pivotButton="0" quotePrefix="0" xfId="2">
      <alignment horizontal="center"/>
    </xf>
    <xf numFmtId="167" fontId="0" fillId="2" borderId="28" pivotButton="0" quotePrefix="0" xfId="2"/>
    <xf numFmtId="167" fontId="0" fillId="2" borderId="13" pivotButton="0" quotePrefix="0" xfId="2"/>
    <xf numFmtId="164" fontId="0" fillId="2" borderId="32" pivotButton="0" quotePrefix="0" xfId="2"/>
    <xf numFmtId="167" fontId="1" fillId="0" borderId="0" pivotButton="0" quotePrefix="0" xfId="2"/>
    <xf numFmtId="167" fontId="1" fillId="2" borderId="0" pivotButton="0" quotePrefix="0" xfId="2"/>
    <xf numFmtId="167" fontId="0" fillId="0" borderId="0" pivotButton="0" quotePrefix="0" xfId="2"/>
    <xf numFmtId="167" fontId="0" fillId="2" borderId="32" pivotButton="0" quotePrefix="0" xfId="0"/>
    <xf numFmtId="164" fontId="0" fillId="2" borderId="24" pivotButton="0" quotePrefix="0" xfId="2"/>
    <xf numFmtId="164" fontId="0" fillId="2" borderId="20" pivotButton="0" quotePrefix="0" xfId="2"/>
    <xf numFmtId="164" fontId="0" fillId="2" borderId="28" pivotButton="0" quotePrefix="0" xfId="2"/>
    <xf numFmtId="169" fontId="0" fillId="2" borderId="8" pivotButton="0" quotePrefix="0" xfId="0"/>
    <xf numFmtId="164" fontId="2" fillId="2" borderId="24" pivotButton="0" quotePrefix="0" xfId="2"/>
    <xf numFmtId="167" fontId="0" fillId="3" borderId="23" pivotButton="0" quotePrefix="0" xfId="0"/>
    <xf numFmtId="0" fontId="0" fillId="5" borderId="26" pivotButton="0" quotePrefix="0" xfId="0"/>
    <xf numFmtId="164" fontId="0" fillId="2" borderId="23" pivotButton="0" quotePrefix="0" xfId="2"/>
    <xf numFmtId="0" fontId="0" fillId="0" borderId="24" applyAlignment="1" pivotButton="0" quotePrefix="0" xfId="0">
      <alignment horizontal="center"/>
    </xf>
    <xf numFmtId="164" fontId="0" fillId="0" borderId="24" applyAlignment="1" pivotButton="0" quotePrefix="0" xfId="2">
      <alignment horizontal="center"/>
    </xf>
    <xf numFmtId="0" fontId="0" fillId="0" borderId="30" pivotButton="0" quotePrefix="0" xfId="0"/>
    <xf numFmtId="0" fontId="0" fillId="0" borderId="31" pivotButton="0" quotePrefix="0" xfId="0"/>
    <xf numFmtId="164" fontId="0" fillId="0" borderId="32" applyAlignment="1" pivotButton="0" quotePrefix="0" xfId="2">
      <alignment horizontal="center"/>
    </xf>
    <xf numFmtId="164" fontId="0" fillId="2" borderId="0" applyAlignment="1" pivotButton="0" quotePrefix="0" xfId="2">
      <alignment horizontal="center"/>
    </xf>
    <xf numFmtId="164" fontId="0" fillId="0" borderId="0" applyAlignment="1" pivotButton="0" quotePrefix="0" xfId="2">
      <alignment horizontal="center"/>
    </xf>
    <xf numFmtId="0" fontId="9" fillId="0" borderId="1" pivotButton="0" quotePrefix="0" xfId="0"/>
    <xf numFmtId="0" fontId="2" fillId="0" borderId="1" applyAlignment="1" pivotButton="0" quotePrefix="0" xfId="0">
      <alignment wrapText="1"/>
    </xf>
    <xf numFmtId="165" fontId="3" fillId="0" borderId="1" applyAlignment="1" pivotButton="0" quotePrefix="0" xfId="0">
      <alignment horizontal="center"/>
    </xf>
    <xf numFmtId="166" fontId="11" fillId="0" borderId="1" pivotButton="0" quotePrefix="0" xfId="3"/>
    <xf numFmtId="166" fontId="0" fillId="0" borderId="1" pivotButton="0" quotePrefix="0" xfId="3"/>
    <xf numFmtId="166" fontId="0" fillId="2" borderId="0" pivotButton="0" quotePrefix="0" xfId="0"/>
    <xf numFmtId="165" fontId="12" fillId="2" borderId="13" pivotButton="0" quotePrefix="0" xfId="0"/>
    <xf numFmtId="167" fontId="2" fillId="2" borderId="0" pivotButton="0" quotePrefix="0" xfId="0"/>
    <xf numFmtId="169" fontId="2" fillId="2" borderId="0" pivotButton="0" quotePrefix="0" xfId="0"/>
    <xf numFmtId="167" fontId="2" fillId="0" borderId="0" pivotButton="0" quotePrefix="0" xfId="0"/>
    <xf numFmtId="167" fontId="0" fillId="0" borderId="0" pivotButton="0" quotePrefix="0" xfId="0"/>
    <xf numFmtId="164" fontId="34" fillId="9" borderId="0" pivotButton="0" quotePrefix="0" xfId="2"/>
    <xf numFmtId="174" fontId="23" fillId="0" borderId="0" pivotButton="0" quotePrefix="0" xfId="7"/>
    <xf numFmtId="172" fontId="23" fillId="0" borderId="0" pivotButton="0" quotePrefix="0" xfId="7"/>
    <xf numFmtId="0" fontId="0" fillId="11" borderId="0" applyAlignment="1" pivotButton="0" quotePrefix="0" xfId="0">
      <alignment horizontal="center"/>
    </xf>
    <xf numFmtId="0" fontId="0" fillId="17" borderId="0" applyAlignment="1" pivotButton="0" quotePrefix="0" xfId="0">
      <alignment horizontal="center"/>
    </xf>
    <xf numFmtId="2" fontId="0" fillId="17" borderId="0" applyAlignment="1" pivotButton="0" quotePrefix="0" xfId="0">
      <alignment horizontal="center"/>
    </xf>
    <xf numFmtId="166" fontId="11" fillId="0" borderId="1" applyAlignment="1" pivotButton="0" quotePrefix="0" xfId="3">
      <alignment horizontal="center"/>
    </xf>
    <xf numFmtId="172" fontId="2" fillId="17" borderId="0" applyAlignment="1" pivotButton="0" quotePrefix="0" xfId="0">
      <alignment horizontal="center"/>
    </xf>
    <xf numFmtId="167" fontId="2" fillId="2" borderId="23" pivotButton="0" quotePrefix="0" xfId="2"/>
    <xf numFmtId="166" fontId="34" fillId="0" borderId="1" applyAlignment="1" pivotButton="0" quotePrefix="0" xfId="3">
      <alignment horizontal="center"/>
    </xf>
    <xf numFmtId="172" fontId="2" fillId="11" borderId="0" applyAlignment="1" pivotButton="0" quotePrefix="0" xfId="0">
      <alignment horizontal="center"/>
    </xf>
    <xf numFmtId="164" fontId="33" fillId="4" borderId="24" pivotButton="0" quotePrefix="0" xfId="2"/>
    <xf numFmtId="0" fontId="2" fillId="0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/>
    </xf>
    <xf numFmtId="172" fontId="2" fillId="14" borderId="0" applyAlignment="1" pivotButton="0" quotePrefix="0" xfId="0">
      <alignment horizontal="center"/>
    </xf>
    <xf numFmtId="166" fontId="34" fillId="0" borderId="1" pivotButton="0" quotePrefix="0" xfId="3"/>
    <xf numFmtId="0" fontId="2" fillId="4" borderId="0" applyAlignment="1" pivotButton="0" quotePrefix="0" xfId="2">
      <alignment horizontal="center"/>
    </xf>
    <xf numFmtId="0" fontId="0" fillId="5" borderId="34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66" fillId="5" borderId="39" applyAlignment="1" pivotButton="0" quotePrefix="0" xfId="0">
      <alignment horizontal="center" vertical="center"/>
    </xf>
    <xf numFmtId="0" fontId="66" fillId="0" borderId="1" applyAlignment="1" pivotButton="0" quotePrefix="0" xfId="0">
      <alignment horizontal="center"/>
    </xf>
    <xf numFmtId="0" fontId="66" fillId="0" borderId="20" applyAlignment="1" pivotButton="0" quotePrefix="0" xfId="0">
      <alignment horizontal="center"/>
    </xf>
    <xf numFmtId="0" fontId="66" fillId="0" borderId="1" pivotButton="0" quotePrefix="0" xfId="0"/>
    <xf numFmtId="0" fontId="66" fillId="0" borderId="2" applyAlignment="1" pivotButton="0" quotePrefix="0" xfId="0">
      <alignment horizontal="center"/>
    </xf>
    <xf numFmtId="0" fontId="67" fillId="5" borderId="0" pivotButton="0" quotePrefix="0" xfId="0"/>
    <xf numFmtId="0" fontId="16" fillId="0" borderId="0" applyAlignment="1" pivotButton="0" quotePrefix="0" xfId="0">
      <alignment horizontal="center"/>
    </xf>
    <xf numFmtId="0" fontId="0" fillId="0" borderId="24" pivotButton="0" quotePrefix="0" xfId="0"/>
    <xf numFmtId="164" fontId="0" fillId="0" borderId="0" pivotButton="0" quotePrefix="0" xfId="2"/>
    <xf numFmtId="0" fontId="0" fillId="0" borderId="31" applyAlignment="1" pivotButton="0" quotePrefix="0" xfId="0">
      <alignment horizontal="center"/>
    </xf>
    <xf numFmtId="164" fontId="0" fillId="0" borderId="31" pivotButton="0" quotePrefix="0" xfId="2"/>
    <xf numFmtId="0" fontId="0" fillId="0" borderId="32" pivotButton="0" quotePrefix="0" xfId="0"/>
    <xf numFmtId="0" fontId="0" fillId="0" borderId="20" pivotButton="0" quotePrefix="0" xfId="0"/>
    <xf numFmtId="164" fontId="2" fillId="0" borderId="22" applyAlignment="1" pivotButton="0" quotePrefix="0" xfId="2">
      <alignment vertical="center"/>
    </xf>
    <xf numFmtId="164" fontId="1" fillId="0" borderId="22" applyAlignment="1" pivotButton="0" quotePrefix="0" xfId="2">
      <alignment vertical="center"/>
    </xf>
    <xf numFmtId="0" fontId="56" fillId="0" borderId="31" applyAlignment="1" pivotButton="0" quotePrefix="0" xfId="0">
      <alignment horizontal="center"/>
    </xf>
    <xf numFmtId="164" fontId="12" fillId="0" borderId="31" applyAlignment="1" pivotButton="0" quotePrefix="0" xfId="2">
      <alignment horizontal="center"/>
    </xf>
    <xf numFmtId="0" fontId="0" fillId="2" borderId="34" pivotButton="0" quotePrefix="0" xfId="0"/>
    <xf numFmtId="0" fontId="0" fillId="2" borderId="4" pivotButton="0" quotePrefix="0" xfId="0"/>
    <xf numFmtId="173" fontId="0" fillId="0" borderId="0" pivotButton="0" quotePrefix="0" xfId="0"/>
    <xf numFmtId="0" fontId="17" fillId="0" borderId="1" pivotButton="0" quotePrefix="0" xfId="0"/>
    <xf numFmtId="0" fontId="66" fillId="0" borderId="19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12" fillId="0" borderId="30" applyAlignment="1" pivotButton="0" quotePrefix="0" xfId="0">
      <alignment horizontal="center"/>
    </xf>
    <xf numFmtId="0" fontId="12" fillId="0" borderId="5" applyAlignment="1" pivotButton="0" quotePrefix="0" xfId="0">
      <alignment horizontal="center"/>
    </xf>
    <xf numFmtId="0" fontId="12" fillId="0" borderId="1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6" fillId="0" borderId="2" applyAlignment="1" pivotButton="0" quotePrefix="0" xfId="0">
      <alignment horizontal="center"/>
    </xf>
    <xf numFmtId="0" fontId="16" fillId="0" borderId="19" applyAlignment="1" pivotButton="0" quotePrefix="0" xfId="0">
      <alignment horizontal="center"/>
    </xf>
    <xf numFmtId="0" fontId="16" fillId="0" borderId="20" applyAlignment="1" pivotButton="0" quotePrefix="0" xfId="0">
      <alignment horizontal="center"/>
    </xf>
    <xf numFmtId="0" fontId="16" fillId="0" borderId="1" applyAlignment="1" pivotButton="0" quotePrefix="0" xfId="0">
      <alignment horizontal="center"/>
    </xf>
    <xf numFmtId="0" fontId="16" fillId="0" borderId="19" pivotButton="0" quotePrefix="0" xfId="0"/>
    <xf numFmtId="0" fontId="16" fillId="0" borderId="1" pivotButton="0" quotePrefix="0" xfId="0"/>
    <xf numFmtId="0" fontId="16" fillId="5" borderId="1" applyAlignment="1" pivotButton="0" quotePrefix="0" xfId="0">
      <alignment horizontal="center"/>
    </xf>
    <xf numFmtId="0" fontId="2" fillId="6" borderId="2" applyAlignment="1" pivotButton="0" quotePrefix="0" xfId="0">
      <alignment horizontal="center" vertical="center"/>
    </xf>
    <xf numFmtId="0" fontId="2" fillId="6" borderId="19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56" fillId="11" borderId="1" applyAlignment="1" pivotButton="0" quotePrefix="0" xfId="0">
      <alignment horizontal="center"/>
    </xf>
    <xf numFmtId="0" fontId="2" fillId="13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/>
    </xf>
    <xf numFmtId="0" fontId="56" fillId="11" borderId="0" applyAlignment="1" pivotButton="0" quotePrefix="0" xfId="0">
      <alignment horizontal="center"/>
    </xf>
    <xf numFmtId="0" fontId="2" fillId="13" borderId="20" applyAlignment="1" pivotButton="0" quotePrefix="0" xfId="0">
      <alignment horizontal="left"/>
    </xf>
    <xf numFmtId="0" fontId="16" fillId="24" borderId="4" applyAlignment="1" pivotButton="0" quotePrefix="0" xfId="0">
      <alignment horizontal="center"/>
    </xf>
    <xf numFmtId="0" fontId="16" fillId="24" borderId="23" applyAlignment="1" pivotButton="0" quotePrefix="0" xfId="0">
      <alignment horizontal="center"/>
    </xf>
    <xf numFmtId="0" fontId="16" fillId="24" borderId="23" applyAlignment="1" pivotButton="0" quotePrefix="0" xfId="0">
      <alignment horizontal="center" vertical="center"/>
    </xf>
    <xf numFmtId="0" fontId="56" fillId="5" borderId="21" pivotButton="0" quotePrefix="0" xfId="0"/>
    <xf numFmtId="0" fontId="56" fillId="5" borderId="22" pivotButton="0" quotePrefix="0" xfId="0"/>
    <xf numFmtId="0" fontId="56" fillId="5" borderId="30" pivotButton="0" quotePrefix="0" xfId="0"/>
    <xf numFmtId="0" fontId="56" fillId="5" borderId="31" pivotButton="0" quotePrefix="0" xfId="0"/>
    <xf numFmtId="0" fontId="16" fillId="2" borderId="20" applyAlignment="1" pivotButton="0" quotePrefix="0" xfId="0">
      <alignment horizontal="center"/>
    </xf>
    <xf numFmtId="0" fontId="60" fillId="5" borderId="0" pivotButton="0" quotePrefix="0" xfId="0"/>
    <xf numFmtId="164" fontId="56" fillId="5" borderId="1" applyAlignment="1" pivotButton="0" quotePrefix="0" xfId="0">
      <alignment horizontal="center"/>
    </xf>
    <xf numFmtId="164" fontId="2" fillId="0" borderId="1" applyAlignment="1" pivotButton="0" quotePrefix="0" xfId="2">
      <alignment vertical="center"/>
    </xf>
    <xf numFmtId="164" fontId="1" fillId="0" borderId="0" applyAlignment="1" pivotButton="0" quotePrefix="0" xfId="2">
      <alignment vertical="center"/>
    </xf>
    <xf numFmtId="164" fontId="12" fillId="0" borderId="0" applyAlignment="1" pivotButton="0" quotePrefix="0" xfId="2">
      <alignment horizontal="center"/>
    </xf>
    <xf numFmtId="0" fontId="0" fillId="0" borderId="0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12" fillId="0" borderId="0" pivotButton="0" quotePrefix="0" xfId="0"/>
    <xf numFmtId="164" fontId="0" fillId="0" borderId="4" pivotButton="0" quotePrefix="0" xfId="2"/>
    <xf numFmtId="168" fontId="0" fillId="2" borderId="0" pivotButton="0" quotePrefix="0" xfId="0"/>
    <xf numFmtId="0" fontId="61" fillId="0" borderId="0" pivotButton="0" quotePrefix="0" xfId="0"/>
    <xf numFmtId="1" fontId="0" fillId="5" borderId="1" pivotButton="0" quotePrefix="0" xfId="0"/>
    <xf numFmtId="4" fontId="0" fillId="5" borderId="1" applyAlignment="1" pivotButton="0" quotePrefix="0" xfId="2">
      <alignment horizontal="center"/>
    </xf>
    <xf numFmtId="0" fontId="0" fillId="0" borderId="0" applyAlignment="1" pivotButton="0" quotePrefix="0" xfId="0">
      <alignment vertical="center" wrapText="1"/>
    </xf>
    <xf numFmtId="1" fontId="0" fillId="5" borderId="0" pivotButton="0" quotePrefix="0" xfId="0"/>
    <xf numFmtId="4" fontId="0" fillId="5" borderId="0" applyAlignment="1" pivotButton="0" quotePrefix="0" xfId="2">
      <alignment horizontal="center"/>
    </xf>
    <xf numFmtId="0" fontId="2" fillId="6" borderId="1" applyAlignment="1" pivotButton="0" quotePrefix="0" xfId="0">
      <alignment horizontal="center"/>
    </xf>
    <xf numFmtId="168" fontId="0" fillId="0" borderId="1" pivotButton="0" quotePrefix="0" xfId="0"/>
    <xf numFmtId="168" fontId="2" fillId="2" borderId="0" pivotButton="0" quotePrefix="0" xfId="0"/>
    <xf numFmtId="0" fontId="56" fillId="6" borderId="1" applyAlignment="1" pivotButton="0" quotePrefix="0" xfId="0">
      <alignment horizontal="center"/>
    </xf>
    <xf numFmtId="0" fontId="2" fillId="2" borderId="0" pivotButton="0" quotePrefix="0" xfId="0"/>
    <xf numFmtId="164" fontId="12" fillId="0" borderId="0" pivotButton="0" quotePrefix="0" xfId="2"/>
    <xf numFmtId="164" fontId="11" fillId="0" borderId="0" pivotButton="0" quotePrefix="0" xfId="2"/>
    <xf numFmtId="171" fontId="11" fillId="0" borderId="0" pivotButton="0" quotePrefix="0" xfId="1"/>
    <xf numFmtId="0" fontId="11" fillId="6" borderId="0" pivotButton="0" quotePrefix="0" xfId="0"/>
    <xf numFmtId="164" fontId="11" fillId="6" borderId="1" pivotButton="0" quotePrefix="0" xfId="2"/>
    <xf numFmtId="194" fontId="11" fillId="6" borderId="1" pivotButton="0" quotePrefix="0" xfId="1"/>
    <xf numFmtId="0" fontId="11" fillId="6" borderId="1" applyAlignment="1" pivotButton="0" quotePrefix="0" xfId="0">
      <alignment vertical="top"/>
    </xf>
    <xf numFmtId="164" fontId="11" fillId="6" borderId="1" applyAlignment="1" pivotButton="0" quotePrefix="0" xfId="2">
      <alignment vertical="top"/>
    </xf>
    <xf numFmtId="0" fontId="72" fillId="2" borderId="1" applyAlignment="1" pivotButton="0" quotePrefix="0" xfId="0">
      <alignment horizontal="center"/>
    </xf>
    <xf numFmtId="0" fontId="34" fillId="2" borderId="1" applyAlignment="1" pivotButton="0" quotePrefix="0" xfId="0">
      <alignment horizontal="center"/>
    </xf>
    <xf numFmtId="0" fontId="34" fillId="2" borderId="2" applyAlignment="1" pivotButton="0" quotePrefix="0" xfId="0">
      <alignment horizontal="center"/>
    </xf>
    <xf numFmtId="0" fontId="11" fillId="3" borderId="1" applyAlignment="1" pivotButton="0" quotePrefix="0" xfId="0">
      <alignment horizontal="center"/>
    </xf>
    <xf numFmtId="164" fontId="57" fillId="0" borderId="1" applyAlignment="1" pivotButton="0" quotePrefix="0" xfId="2">
      <alignment horizontal="center" vertical="center"/>
    </xf>
    <xf numFmtId="164" fontId="57" fillId="0" borderId="1" applyAlignment="1" pivotButton="0" quotePrefix="0" xfId="2">
      <alignment horizontal="center"/>
    </xf>
    <xf numFmtId="164" fontId="57" fillId="0" borderId="1" pivotButton="0" quotePrefix="0" xfId="2"/>
    <xf numFmtId="164" fontId="57" fillId="0" borderId="2" applyAlignment="1" pivotButton="0" quotePrefix="0" xfId="2">
      <alignment horizontal="center"/>
    </xf>
    <xf numFmtId="164" fontId="57" fillId="5" borderId="2" applyAlignment="1" pivotButton="0" quotePrefix="0" xfId="2">
      <alignment horizontal="center"/>
    </xf>
    <xf numFmtId="164" fontId="57" fillId="5" borderId="1" applyAlignment="1" pivotButton="0" quotePrefix="0" xfId="2">
      <alignment horizontal="center"/>
    </xf>
    <xf numFmtId="0" fontId="11" fillId="3" borderId="1" applyAlignment="1" pivotButton="0" quotePrefix="0" xfId="0">
      <alignment horizontal="center" vertical="center"/>
    </xf>
    <xf numFmtId="164" fontId="57" fillId="0" borderId="1" applyAlignment="1" pivotButton="0" quotePrefix="0" xfId="2">
      <alignment horizontal="center"/>
    </xf>
    <xf numFmtId="164" fontId="57" fillId="0" borderId="3" applyAlignment="1" pivotButton="0" quotePrefix="0" xfId="2">
      <alignment horizontal="center"/>
    </xf>
    <xf numFmtId="172" fontId="57" fillId="0" borderId="5" applyAlignment="1" pivotButton="0" quotePrefix="0" xfId="2">
      <alignment horizontal="center"/>
    </xf>
    <xf numFmtId="164" fontId="57" fillId="0" borderId="5" applyAlignment="1" pivotButton="0" quotePrefix="0" xfId="2">
      <alignment horizontal="center"/>
    </xf>
    <xf numFmtId="0" fontId="11" fillId="3" borderId="5" pivotButton="0" quotePrefix="0" xfId="0"/>
    <xf numFmtId="171" fontId="11" fillId="3" borderId="5" pivotButton="0" quotePrefix="0" xfId="1"/>
    <xf numFmtId="0" fontId="11" fillId="3" borderId="1" pivotButton="0" quotePrefix="0" xfId="0"/>
    <xf numFmtId="171" fontId="11" fillId="3" borderId="1" pivotButton="0" quotePrefix="0" xfId="1"/>
    <xf numFmtId="0" fontId="11" fillId="0" borderId="9" pivotButton="0" quotePrefix="0" xfId="0"/>
    <xf numFmtId="0" fontId="72" fillId="2" borderId="14" pivotButton="0" quotePrefix="0" xfId="0"/>
    <xf numFmtId="164" fontId="34" fillId="2" borderId="15" applyAlignment="1" pivotButton="0" quotePrefix="0" xfId="2">
      <alignment horizontal="center"/>
    </xf>
    <xf numFmtId="0" fontId="34" fillId="2" borderId="14" applyAlignment="1" pivotButton="0" quotePrefix="0" xfId="0">
      <alignment horizontal="center"/>
    </xf>
    <xf numFmtId="164" fontId="57" fillId="0" borderId="0" pivotButton="0" quotePrefix="0" xfId="2"/>
    <xf numFmtId="0" fontId="34" fillId="2" borderId="14" applyAlignment="1" pivotButton="0" quotePrefix="0" xfId="0">
      <alignment horizontal="center" vertical="center"/>
    </xf>
    <xf numFmtId="164" fontId="73" fillId="0" borderId="15" applyAlignment="1" pivotButton="0" quotePrefix="0" xfId="2">
      <alignment horizontal="center"/>
    </xf>
    <xf numFmtId="0" fontId="11" fillId="3" borderId="48" pivotButton="0" quotePrefix="0" xfId="0"/>
    <xf numFmtId="0" fontId="11" fillId="3" borderId="14" pivotButton="0" quotePrefix="0" xfId="0"/>
    <xf numFmtId="0" fontId="0" fillId="0" borderId="12" applyAlignment="1" pivotButton="0" quotePrefix="0" xfId="0">
      <alignment horizontal="center" vertical="center"/>
    </xf>
    <xf numFmtId="0" fontId="11" fillId="15" borderId="1" pivotButton="0" quotePrefix="0" xfId="0"/>
    <xf numFmtId="164" fontId="11" fillId="15" borderId="1" pivotButton="0" quotePrefix="0" xfId="2"/>
    <xf numFmtId="164" fontId="23" fillId="15" borderId="1" applyAlignment="1" applyProtection="1" pivotButton="0" quotePrefix="0" xfId="2">
      <alignment vertical="top"/>
      <protection locked="0" hidden="0"/>
    </xf>
    <xf numFmtId="164" fontId="11" fillId="15" borderId="1" pivotButton="0" quotePrefix="0" xfId="0"/>
    <xf numFmtId="165" fontId="11" fillId="15" borderId="1" pivotButton="0" quotePrefix="0" xfId="0"/>
    <xf numFmtId="0" fontId="0" fillId="26" borderId="1" applyAlignment="1" pivotButton="0" quotePrefix="0" xfId="0">
      <alignment horizontal="center"/>
    </xf>
    <xf numFmtId="0" fontId="0" fillId="26" borderId="0" pivotButton="0" quotePrefix="0" xfId="0"/>
    <xf numFmtId="164" fontId="2" fillId="15" borderId="36" applyAlignment="1" pivotButton="0" quotePrefix="0" xfId="2">
      <alignment horizontal="center"/>
    </xf>
    <xf numFmtId="164" fontId="2" fillId="15" borderId="1" applyAlignment="1" pivotButton="0" quotePrefix="0" xfId="2">
      <alignment horizontal="center"/>
    </xf>
    <xf numFmtId="0" fontId="2" fillId="15" borderId="20" applyAlignment="1" pivotButton="0" quotePrefix="0" xfId="0">
      <alignment horizontal="center"/>
    </xf>
    <xf numFmtId="0" fontId="2" fillId="15" borderId="2" applyAlignment="1" pivotButton="0" quotePrefix="0" xfId="2">
      <alignment horizontal="center"/>
    </xf>
    <xf numFmtId="0" fontId="2" fillId="15" borderId="1" applyAlignment="1" pivotButton="0" quotePrefix="0" xfId="2">
      <alignment horizontal="center"/>
    </xf>
    <xf numFmtId="0" fontId="2" fillId="15" borderId="2" applyAlignment="1" pivotButton="0" quotePrefix="0" xfId="0">
      <alignment horizontal="center"/>
    </xf>
    <xf numFmtId="0" fontId="2" fillId="15" borderId="19" applyAlignment="1" pivotButton="0" quotePrefix="0" xfId="0">
      <alignment horizontal="center"/>
    </xf>
    <xf numFmtId="164" fontId="2" fillId="15" borderId="20" applyAlignment="1" pivotButton="0" quotePrefix="0" xfId="2">
      <alignment horizontal="center"/>
    </xf>
    <xf numFmtId="164" fontId="2" fillId="15" borderId="2" applyAlignment="1" pivotButton="0" quotePrefix="0" xfId="2">
      <alignment horizontal="center"/>
    </xf>
    <xf numFmtId="164" fontId="56" fillId="15" borderId="1" applyAlignment="1" pivotButton="0" quotePrefix="0" xfId="2">
      <alignment horizontal="center"/>
    </xf>
    <xf numFmtId="0" fontId="71" fillId="26" borderId="1" applyAlignment="1" pivotButton="0" quotePrefix="0" xfId="0">
      <alignment horizontal="center"/>
    </xf>
    <xf numFmtId="164" fontId="0" fillId="26" borderId="0" pivotButton="0" quotePrefix="0" xfId="0"/>
    <xf numFmtId="168" fontId="0" fillId="26" borderId="0" pivotButton="0" quotePrefix="0" xfId="0"/>
    <xf numFmtId="0" fontId="12" fillId="5" borderId="0" pivotButton="0" quotePrefix="0" xfId="0"/>
    <xf numFmtId="0" fontId="56" fillId="26" borderId="1" applyAlignment="1" pivotButton="0" quotePrefix="0" xfId="0">
      <alignment horizontal="center" vertical="center"/>
    </xf>
    <xf numFmtId="0" fontId="56" fillId="26" borderId="1" applyAlignment="1" pivotButton="0" quotePrefix="0" xfId="0">
      <alignment horizontal="center"/>
    </xf>
    <xf numFmtId="0" fontId="2" fillId="26" borderId="0" pivotButton="0" quotePrefix="0" xfId="0"/>
    <xf numFmtId="168" fontId="2" fillId="26" borderId="0" pivotButton="0" quotePrefix="0" xfId="0"/>
    <xf numFmtId="169" fontId="2" fillId="2" borderId="13" pivotButton="0" quotePrefix="0" xfId="0"/>
    <xf numFmtId="164" fontId="2" fillId="26" borderId="0" pivotButton="0" quotePrefix="0" xfId="0"/>
    <xf numFmtId="169" fontId="0" fillId="0" borderId="8" pivotButton="0" quotePrefix="0" xfId="0"/>
    <xf numFmtId="0" fontId="54" fillId="26" borderId="1" applyAlignment="1" pivotButton="0" quotePrefix="0" xfId="0">
      <alignment horizontal="center"/>
    </xf>
    <xf numFmtId="0" fontId="53" fillId="26" borderId="1" applyAlignment="1" pivotButton="0" quotePrefix="0" xfId="0">
      <alignment horizontal="right"/>
    </xf>
    <xf numFmtId="164" fontId="53" fillId="26" borderId="1" applyAlignment="1" pivotButton="0" quotePrefix="0" xfId="0">
      <alignment horizontal="right"/>
    </xf>
    <xf numFmtId="0" fontId="53" fillId="26" borderId="2" applyAlignment="1" pivotButton="0" quotePrefix="0" xfId="0">
      <alignment horizontal="right"/>
    </xf>
    <xf numFmtId="0" fontId="53" fillId="26" borderId="0" applyAlignment="1" pivotButton="0" quotePrefix="0" xfId="0">
      <alignment horizontal="right"/>
    </xf>
    <xf numFmtId="0" fontId="54" fillId="26" borderId="1" applyAlignment="1" pivotButton="0" quotePrefix="0" xfId="0">
      <alignment horizontal="right"/>
    </xf>
    <xf numFmtId="164" fontId="54" fillId="26" borderId="1" applyAlignment="1" pivotButton="0" quotePrefix="0" xfId="0">
      <alignment horizontal="right"/>
    </xf>
    <xf numFmtId="0" fontId="54" fillId="26" borderId="1" applyAlignment="1" pivotButton="0" quotePrefix="0" xfId="0">
      <alignment horizontal="center" vertical="center"/>
    </xf>
    <xf numFmtId="164" fontId="11" fillId="2" borderId="0" pivotButton="0" quotePrefix="0" xfId="0"/>
    <xf numFmtId="164" fontId="34" fillId="0" borderId="0" pivotButton="0" quotePrefix="0" xfId="2"/>
    <xf numFmtId="0" fontId="11" fillId="3" borderId="24" applyAlignment="1" pivotButton="0" quotePrefix="0" xfId="0">
      <alignment horizontal="center"/>
    </xf>
    <xf numFmtId="9" fontId="0" fillId="0" borderId="0" applyAlignment="1" pivotButton="0" quotePrefix="0" xfId="10">
      <alignment horizontal="center"/>
    </xf>
    <xf numFmtId="0" fontId="0" fillId="6" borderId="0" pivotButton="0" quotePrefix="0" xfId="0"/>
    <xf numFmtId="9" fontId="0" fillId="6" borderId="0" applyAlignment="1" pivotButton="0" quotePrefix="0" xfId="10">
      <alignment horizontal="center"/>
    </xf>
    <xf numFmtId="172" fontId="62" fillId="0" borderId="0" applyAlignment="1" pivotButton="0" quotePrefix="0" xfId="2">
      <alignment horizontal="center"/>
    </xf>
    <xf numFmtId="165" fontId="64" fillId="2" borderId="0" pivotButton="0" quotePrefix="0" xfId="0"/>
    <xf numFmtId="164" fontId="15" fillId="0" borderId="0" pivotButton="0" quotePrefix="0" xfId="0"/>
    <xf numFmtId="165" fontId="15" fillId="0" borderId="0" pivotButton="0" quotePrefix="0" xfId="0"/>
    <xf numFmtId="171" fontId="11" fillId="0" borderId="1" pivotButton="0" quotePrefix="0" xfId="1"/>
    <xf numFmtId="165" fontId="0" fillId="0" borderId="0" applyAlignment="1" pivotButton="0" quotePrefix="0" xfId="0">
      <alignment horizontal="center"/>
    </xf>
    <xf numFmtId="0" fontId="34" fillId="0" borderId="43" applyAlignment="1" pivotButton="0" quotePrefix="0" xfId="0">
      <alignment vertical="center"/>
    </xf>
    <xf numFmtId="164" fontId="25" fillId="0" borderId="0" pivotButton="0" quotePrefix="0" xfId="2"/>
    <xf numFmtId="167" fontId="25" fillId="0" borderId="0" pivotButton="0" quotePrefix="0" xfId="2"/>
    <xf numFmtId="0" fontId="60" fillId="17" borderId="1" applyAlignment="1" pivotButton="0" quotePrefix="0" xfId="0">
      <alignment horizontal="center"/>
    </xf>
    <xf numFmtId="0" fontId="59" fillId="17" borderId="1" applyAlignment="1" pivotButton="0" quotePrefix="0" xfId="0">
      <alignment horizontal="center"/>
    </xf>
    <xf numFmtId="0" fontId="0" fillId="17" borderId="0" pivotButton="0" quotePrefix="0" xfId="0"/>
    <xf numFmtId="0" fontId="2" fillId="17" borderId="0" pivotButton="0" quotePrefix="0" xfId="0"/>
    <xf numFmtId="168" fontId="2" fillId="17" borderId="0" pivotButton="0" quotePrefix="0" xfId="0"/>
    <xf numFmtId="0" fontId="0" fillId="17" borderId="24" pivotButton="0" quotePrefix="0" xfId="0"/>
    <xf numFmtId="164" fontId="0" fillId="17" borderId="0" pivotButton="0" quotePrefix="0" xfId="2"/>
    <xf numFmtId="164" fontId="0" fillId="17" borderId="31" pivotButton="0" quotePrefix="0" xfId="2"/>
    <xf numFmtId="0" fontId="0" fillId="17" borderId="32" pivotButton="0" quotePrefix="0" xfId="0"/>
    <xf numFmtId="164" fontId="2" fillId="17" borderId="0" pivotButton="0" quotePrefix="0" xfId="0"/>
    <xf numFmtId="173" fontId="0" fillId="5" borderId="19" applyAlignment="1" pivotButton="0" quotePrefix="0" xfId="0">
      <alignment horizontal="center"/>
    </xf>
    <xf numFmtId="0" fontId="11" fillId="17" borderId="0" applyAlignment="1" pivotButton="0" quotePrefix="0" xfId="0">
      <alignment horizontal="left"/>
    </xf>
    <xf numFmtId="173" fontId="0" fillId="0" borderId="5" pivotButton="0" quotePrefix="0" xfId="0"/>
    <xf numFmtId="173" fontId="0" fillId="0" borderId="56" pivotButton="0" quotePrefix="0" xfId="0"/>
    <xf numFmtId="0" fontId="0" fillId="6" borderId="38" applyAlignment="1" pivotButton="0" quotePrefix="0" xfId="0">
      <alignment horizontal="center" vertical="center" wrapText="1"/>
    </xf>
    <xf numFmtId="173" fontId="0" fillId="0" borderId="3" pivotButton="0" quotePrefix="0" xfId="0"/>
    <xf numFmtId="0" fontId="0" fillId="0" borderId="0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165" fontId="0" fillId="22" borderId="17" pivotButton="0" quotePrefix="0" xfId="0"/>
    <xf numFmtId="0" fontId="0" fillId="5" borderId="1" applyAlignment="1" pivotButton="0" quotePrefix="0" xfId="0">
      <alignment horizontal="center"/>
    </xf>
    <xf numFmtId="165" fontId="0" fillId="6" borderId="0" pivotButton="0" quotePrefix="0" xfId="0"/>
    <xf numFmtId="169" fontId="0" fillId="2" borderId="28" pivotButton="0" quotePrefix="0" xfId="0"/>
    <xf numFmtId="183" fontId="22" fillId="0" borderId="0" pivotButton="0" quotePrefix="0" xfId="11"/>
    <xf numFmtId="0" fontId="22" fillId="0" borderId="10" pivotButton="0" quotePrefix="0" xfId="7"/>
    <xf numFmtId="0" fontId="28" fillId="0" borderId="44" applyAlignment="1" pivotButton="0" quotePrefix="0" xfId="7">
      <alignment horizontal="right" indent="1"/>
    </xf>
    <xf numFmtId="37" fontId="28" fillId="0" borderId="10" applyAlignment="1" pivotButton="0" quotePrefix="0" xfId="7">
      <alignment horizontal="right" indent="1"/>
    </xf>
    <xf numFmtId="180" fontId="28" fillId="0" borderId="0" applyAlignment="1" pivotButton="0" quotePrefix="0" xfId="12">
      <alignment horizontal="right" indent="1"/>
    </xf>
    <xf numFmtId="181" fontId="40" fillId="0" borderId="0" applyAlignment="1" pivotButton="0" quotePrefix="0" xfId="7">
      <alignment horizontal="right" indent="1"/>
    </xf>
    <xf numFmtId="43" fontId="22" fillId="0" borderId="0" applyAlignment="1" pivotButton="0" quotePrefix="0" xfId="13">
      <alignment horizontal="right" indent="1"/>
    </xf>
    <xf numFmtId="191" fontId="39" fillId="0" borderId="0" applyAlignment="1" pivotButton="0" quotePrefix="0" xfId="13">
      <alignment horizontal="center"/>
    </xf>
    <xf numFmtId="177" fontId="39" fillId="0" borderId="0" applyAlignment="1" pivotButton="0" quotePrefix="0" xfId="7">
      <alignment horizontal="left"/>
    </xf>
    <xf numFmtId="178" fontId="22" fillId="0" borderId="0" applyAlignment="1" pivotButton="0" quotePrefix="0" xfId="13">
      <alignment horizontal="right" indent="1"/>
    </xf>
    <xf numFmtId="43" fontId="42" fillId="0" borderId="0" applyAlignment="1" pivotButton="0" quotePrefix="0" xfId="13">
      <alignment horizontal="right" indent="1"/>
    </xf>
    <xf numFmtId="43" fontId="22" fillId="0" borderId="0" applyAlignment="1" pivotButton="0" quotePrefix="0" xfId="13">
      <alignment horizontal="left"/>
    </xf>
    <xf numFmtId="9" fontId="23" fillId="2" borderId="0" pivotButton="0" quotePrefix="0" xfId="10"/>
    <xf numFmtId="14" fontId="28" fillId="0" borderId="0" pivotButton="0" quotePrefix="0" xfId="7"/>
    <xf numFmtId="14" fontId="23" fillId="0" borderId="0" pivotButton="0" quotePrefix="0" xfId="7"/>
    <xf numFmtId="195" fontId="22" fillId="0" borderId="0" applyAlignment="1" pivotButton="0" quotePrefix="0" xfId="7">
      <alignment horizontal="right" indent="1"/>
    </xf>
    <xf numFmtId="9" fontId="22" fillId="0" borderId="0" pivotButton="0" quotePrefix="0" xfId="10"/>
    <xf numFmtId="177" fontId="23" fillId="11" borderId="0" pivotButton="0" quotePrefix="0" xfId="7"/>
    <xf numFmtId="177" fontId="23" fillId="11" borderId="0" pivotButton="0" quotePrefix="0" xfId="7"/>
    <xf numFmtId="183" fontId="0" fillId="11" borderId="0" pivotButton="0" quotePrefix="0" xfId="11"/>
    <xf numFmtId="165" fontId="23" fillId="11" borderId="0" pivotButton="0" quotePrefix="0" xfId="7"/>
    <xf numFmtId="165" fontId="0" fillId="11" borderId="0" pivotButton="0" quotePrefix="0" xfId="11"/>
    <xf numFmtId="172" fontId="23" fillId="11" borderId="0" pivotButton="0" quotePrefix="0" xfId="7"/>
    <xf numFmtId="196" fontId="23" fillId="0" borderId="0" applyAlignment="1" pivotButton="0" quotePrefix="0" xfId="7">
      <alignment horizontal="right" indent="1"/>
    </xf>
    <xf numFmtId="0" fontId="2" fillId="28" borderId="1" pivotButton="0" quotePrefix="0" xfId="0"/>
    <xf numFmtId="0" fontId="2" fillId="28" borderId="1" applyAlignment="1" pivotButton="0" quotePrefix="0" xfId="0">
      <alignment horizontal="center"/>
    </xf>
    <xf numFmtId="0" fontId="8" fillId="5" borderId="1" applyAlignment="1" pivotButton="0" quotePrefix="0" xfId="0">
      <alignment horizontal="left"/>
    </xf>
    <xf numFmtId="0" fontId="75" fillId="5" borderId="1" applyAlignment="1" pivotButton="0" quotePrefix="0" xfId="0">
      <alignment horizontal="right" vertical="center"/>
    </xf>
    <xf numFmtId="0" fontId="8" fillId="5" borderId="1" pivotButton="0" quotePrefix="0" xfId="0"/>
    <xf numFmtId="0" fontId="8" fillId="5" borderId="1" applyAlignment="1" pivotButton="0" quotePrefix="0" xfId="0">
      <alignment horizontal="center"/>
    </xf>
    <xf numFmtId="197" fontId="8" fillId="5" borderId="1" applyAlignment="1" pivotButton="0" quotePrefix="0" xfId="0">
      <alignment horizontal="right"/>
    </xf>
    <xf numFmtId="198" fontId="76" fillId="5" borderId="1" pivotButton="0" quotePrefix="0" xfId="0"/>
    <xf numFmtId="198" fontId="8" fillId="5" borderId="1" pivotButton="0" quotePrefix="0" xfId="0"/>
    <xf numFmtId="197" fontId="7" fillId="5" borderId="1" applyAlignment="1" pivotButton="0" quotePrefix="0" xfId="0">
      <alignment horizontal="right"/>
    </xf>
    <xf numFmtId="0" fontId="7" fillId="5" borderId="1" applyAlignment="1" pivotButton="0" quotePrefix="0" xfId="0">
      <alignment horizontal="left"/>
    </xf>
    <xf numFmtId="0" fontId="17" fillId="5" borderId="1" applyAlignment="1" pivotButton="0" quotePrefix="0" xfId="0">
      <alignment horizontal="right"/>
    </xf>
    <xf numFmtId="0" fontId="7" fillId="5" borderId="1" pivotButton="0" quotePrefix="0" xfId="0"/>
    <xf numFmtId="0" fontId="7" fillId="5" borderId="5" applyAlignment="1" pivotButton="0" quotePrefix="0" xfId="0">
      <alignment horizontal="center"/>
    </xf>
    <xf numFmtId="0" fontId="77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/>
    </xf>
    <xf numFmtId="0" fontId="75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/>
    </xf>
    <xf numFmtId="0" fontId="17" fillId="5" borderId="5" applyAlignment="1" pivotButton="0" quotePrefix="0" xfId="0">
      <alignment horizontal="right" vertical="center"/>
    </xf>
    <xf numFmtId="0" fontId="78" fillId="5" borderId="0" applyAlignment="1" pivotButton="0" quotePrefix="0" xfId="0">
      <alignment vertical="center" wrapText="1"/>
    </xf>
    <xf numFmtId="0" fontId="0" fillId="5" borderId="2" applyAlignment="1" pivotButton="0" quotePrefix="0" xfId="0">
      <alignment horizontal="center"/>
    </xf>
    <xf numFmtId="173" fontId="0" fillId="5" borderId="1" pivotButton="0" quotePrefix="0" xfId="0"/>
    <xf numFmtId="0" fontId="77" fillId="5" borderId="3" applyAlignment="1" pivotButton="0" quotePrefix="0" xfId="0">
      <alignment horizontal="right" vertical="center"/>
    </xf>
    <xf numFmtId="198" fontId="7" fillId="5" borderId="1" pivotButton="0" quotePrefix="0" xfId="0"/>
    <xf numFmtId="0" fontId="7" fillId="5" borderId="4" applyAlignment="1" pivotButton="0" quotePrefix="0" xfId="0">
      <alignment horizontal="left"/>
    </xf>
    <xf numFmtId="0" fontId="75" fillId="5" borderId="4" applyAlignment="1" pivotButton="0" quotePrefix="0" xfId="0">
      <alignment horizontal="right" vertical="center"/>
    </xf>
    <xf numFmtId="0" fontId="79" fillId="5" borderId="0" pivotButton="0" quotePrefix="0" xfId="0"/>
    <xf numFmtId="0" fontId="7" fillId="5" borderId="4" applyAlignment="1" pivotButton="0" quotePrefix="0" xfId="0">
      <alignment horizontal="center"/>
    </xf>
    <xf numFmtId="197" fontId="7" fillId="5" borderId="4" applyAlignment="1" pivotButton="0" quotePrefix="0" xfId="0">
      <alignment horizontal="right"/>
    </xf>
    <xf numFmtId="198" fontId="76" fillId="5" borderId="4" pivotButton="0" quotePrefix="0" xfId="0"/>
    <xf numFmtId="0" fontId="79" fillId="5" borderId="1" pivotButton="0" quotePrefix="0" xfId="0"/>
    <xf numFmtId="0" fontId="7" fillId="5" borderId="5" applyAlignment="1" pivotButton="0" quotePrefix="0" xfId="0">
      <alignment horizontal="left"/>
    </xf>
    <xf numFmtId="0" fontId="75" fillId="5" borderId="3" applyAlignment="1" pivotButton="0" quotePrefix="0" xfId="0">
      <alignment horizontal="right" vertical="center"/>
    </xf>
    <xf numFmtId="0" fontId="7" fillId="5" borderId="5" pivotButton="0" quotePrefix="0" xfId="0"/>
    <xf numFmtId="0" fontId="0" fillId="5" borderId="3" applyAlignment="1" pivotButton="0" quotePrefix="0" xfId="0">
      <alignment horizontal="center" vertical="center"/>
    </xf>
    <xf numFmtId="197" fontId="7" fillId="5" borderId="5" applyAlignment="1" pivotButton="0" quotePrefix="0" xfId="0">
      <alignment horizontal="right"/>
    </xf>
    <xf numFmtId="198" fontId="76" fillId="5" borderId="5" pivotButton="0" quotePrefix="0" xfId="0"/>
    <xf numFmtId="0" fontId="77" fillId="5" borderId="1" applyAlignment="1" pivotButton="0" quotePrefix="0" xfId="0">
      <alignment horizontal="right"/>
    </xf>
    <xf numFmtId="0" fontId="7" fillId="5" borderId="4" pivotButton="0" quotePrefix="0" xfId="0"/>
    <xf numFmtId="0" fontId="77" fillId="5" borderId="4" applyAlignment="1" pivotButton="0" quotePrefix="0" xfId="0">
      <alignment horizontal="right"/>
    </xf>
    <xf numFmtId="0" fontId="17" fillId="5" borderId="1" applyAlignment="1" pivotButton="0" quotePrefix="0" xfId="0">
      <alignment horizontal="left"/>
    </xf>
    <xf numFmtId="0" fontId="60" fillId="5" borderId="1" applyAlignment="1" pivotButton="0" quotePrefix="0" xfId="0">
      <alignment horizontal="right" vertical="center"/>
    </xf>
    <xf numFmtId="0" fontId="2" fillId="5" borderId="1" pivotButton="0" quotePrefix="0" xfId="0"/>
    <xf numFmtId="0" fontId="17" fillId="0" borderId="1" applyAlignment="1" pivotButton="0" quotePrefix="0" xfId="0">
      <alignment horizontal="left"/>
    </xf>
    <xf numFmtId="0" fontId="17" fillId="0" borderId="1" applyAlignment="1" pivotButton="0" quotePrefix="0" xfId="0">
      <alignment horizontal="right"/>
    </xf>
    <xf numFmtId="0" fontId="78" fillId="0" borderId="0" pivotButton="0" quotePrefix="0" xfId="0"/>
    <xf numFmtId="0" fontId="17" fillId="0" borderId="19" applyAlignment="1" pivotButton="0" quotePrefix="0" xfId="0">
      <alignment horizontal="center"/>
    </xf>
    <xf numFmtId="173" fontId="0" fillId="0" borderId="0" applyAlignment="1" pivotButton="0" quotePrefix="0" xfId="0">
      <alignment horizontal="right"/>
    </xf>
    <xf numFmtId="0" fontId="2" fillId="0" borderId="1" pivotButton="0" quotePrefix="0" xfId="0"/>
    <xf numFmtId="0" fontId="17" fillId="0" borderId="4" applyAlignment="1" pivotButton="0" quotePrefix="0" xfId="0">
      <alignment horizontal="left"/>
    </xf>
    <xf numFmtId="0" fontId="17" fillId="0" borderId="4" applyAlignment="1" pivotButton="0" quotePrefix="0" xfId="0">
      <alignment horizontal="right"/>
    </xf>
    <xf numFmtId="0" fontId="17" fillId="0" borderId="21" applyAlignment="1" pivotButton="0" quotePrefix="0" xfId="0">
      <alignment horizontal="center"/>
    </xf>
    <xf numFmtId="173" fontId="0" fillId="0" borderId="20" applyAlignment="1" pivotButton="0" quotePrefix="0" xfId="0">
      <alignment horizontal="right"/>
    </xf>
    <xf numFmtId="0" fontId="71" fillId="0" borderId="1" applyAlignment="1" pivotButton="0" quotePrefix="0" xfId="0">
      <alignment vertical="center"/>
    </xf>
    <xf numFmtId="0" fontId="71" fillId="0" borderId="1" applyAlignment="1" pivotButton="0" quotePrefix="0" xfId="0">
      <alignment horizontal="right" vertical="center"/>
    </xf>
    <xf numFmtId="0" fontId="71" fillId="0" borderId="1" applyAlignment="1" pivotButton="0" quotePrefix="0" xfId="0">
      <alignment horizontal="center" vertical="center"/>
    </xf>
    <xf numFmtId="0" fontId="7" fillId="0" borderId="5" applyAlignment="1" pivotButton="0" quotePrefix="0" xfId="0">
      <alignment horizontal="left"/>
    </xf>
    <xf numFmtId="0" fontId="75" fillId="0" borderId="5" applyAlignment="1" pivotButton="0" quotePrefix="0" xfId="0">
      <alignment horizontal="right" vertical="center"/>
    </xf>
    <xf numFmtId="0" fontId="7" fillId="0" borderId="5" pivotButton="0" quotePrefix="0" xfId="0"/>
    <xf numFmtId="0" fontId="7" fillId="0" borderId="5" applyAlignment="1" pivotButton="0" quotePrefix="0" xfId="0">
      <alignment horizontal="center"/>
    </xf>
    <xf numFmtId="197" fontId="7" fillId="0" borderId="1" applyAlignment="1" pivotButton="0" quotePrefix="0" xfId="0">
      <alignment horizontal="right"/>
    </xf>
    <xf numFmtId="198" fontId="76" fillId="0" borderId="1" pivotButton="0" quotePrefix="0" xfId="0"/>
    <xf numFmtId="4" fontId="0" fillId="8" borderId="1" pivotButton="0" quotePrefix="0" xfId="0"/>
    <xf numFmtId="4" fontId="2" fillId="8" borderId="1" pivotButton="0" quotePrefix="0" xfId="0"/>
    <xf numFmtId="0" fontId="7" fillId="2" borderId="1" applyAlignment="1" pivotButton="0" quotePrefix="0" xfId="0">
      <alignment horizontal="left"/>
    </xf>
    <xf numFmtId="0" fontId="77" fillId="2" borderId="1" applyAlignment="1" pivotButton="0" quotePrefix="0" xfId="0">
      <alignment horizontal="right" vertical="center"/>
    </xf>
    <xf numFmtId="0" fontId="7" fillId="2" borderId="1" pivotButton="0" quotePrefix="0" xfId="0"/>
    <xf numFmtId="0" fontId="7" fillId="2" borderId="1" applyAlignment="1" pivotButton="0" quotePrefix="0" xfId="0">
      <alignment horizontal="center"/>
    </xf>
    <xf numFmtId="197" fontId="8" fillId="2" borderId="1" applyAlignment="1" pivotButton="0" quotePrefix="0" xfId="0">
      <alignment horizontal="right"/>
    </xf>
    <xf numFmtId="198" fontId="76" fillId="2" borderId="1" pivotButton="0" quotePrefix="0" xfId="0"/>
    <xf numFmtId="198" fontId="8" fillId="2" borderId="1" pivotButton="0" quotePrefix="0" xfId="0"/>
    <xf numFmtId="0" fontId="8" fillId="2" borderId="1" applyAlignment="1" pivotButton="0" quotePrefix="0" xfId="0">
      <alignment horizontal="left"/>
    </xf>
    <xf numFmtId="0" fontId="75" fillId="2" borderId="1" applyAlignment="1" pivotButton="0" quotePrefix="0" xfId="0">
      <alignment horizontal="right" vertical="center"/>
    </xf>
    <xf numFmtId="0" fontId="8" fillId="2" borderId="1" pivotButton="0" quotePrefix="0" xfId="0"/>
    <xf numFmtId="0" fontId="8" fillId="2" borderId="1" applyAlignment="1" pivotButton="0" quotePrefix="0" xfId="0">
      <alignment horizontal="center"/>
    </xf>
    <xf numFmtId="197" fontId="7" fillId="2" borderId="1" applyAlignment="1" pivotButton="0" quotePrefix="0" xfId="0">
      <alignment horizontal="right"/>
    </xf>
    <xf numFmtId="0" fontId="79" fillId="2" borderId="1" pivotButton="0" quotePrefix="0" xfId="0"/>
    <xf numFmtId="197" fontId="0" fillId="11" borderId="0" pivotButton="0" quotePrefix="0" xfId="0"/>
    <xf numFmtId="0" fontId="0" fillId="12" borderId="0" pivotButton="0" quotePrefix="0" xfId="0"/>
    <xf numFmtId="171" fontId="11" fillId="2" borderId="1" pivotButton="0" quotePrefix="0" xfId="0"/>
    <xf numFmtId="0" fontId="11" fillId="29" borderId="14" pivotButton="0" quotePrefix="0" xfId="0"/>
    <xf numFmtId="171" fontId="11" fillId="29" borderId="1" pivotButton="0" quotePrefix="0" xfId="1"/>
    <xf numFmtId="0" fontId="11" fillId="29" borderId="1" pivotButton="0" quotePrefix="0" xfId="0"/>
    <xf numFmtId="171" fontId="11" fillId="29" borderId="1" pivotButton="0" quotePrefix="0" xfId="0"/>
    <xf numFmtId="164" fontId="0" fillId="0" borderId="1" applyAlignment="1" pivotButton="0" quotePrefix="0" xfId="2">
      <alignment horizontal="center" vertical="center"/>
    </xf>
    <xf numFmtId="0" fontId="7" fillId="0" borderId="1" applyAlignment="1" pivotButton="0" quotePrefix="0" xfId="0">
      <alignment horizontal="left"/>
    </xf>
    <xf numFmtId="0" fontId="75" fillId="0" borderId="1" applyAlignment="1" pivotButton="0" quotePrefix="0" xfId="0">
      <alignment horizontal="right" vertical="center"/>
    </xf>
    <xf numFmtId="0" fontId="7" fillId="0" borderId="1" pivotButton="0" quotePrefix="0" xfId="0"/>
    <xf numFmtId="0" fontId="7" fillId="0" borderId="1" applyAlignment="1" pivotButton="0" quotePrefix="0" xfId="0">
      <alignment horizontal="center"/>
    </xf>
    <xf numFmtId="198" fontId="8" fillId="0" borderId="1" pivotButton="0" quotePrefix="0" xfId="0"/>
    <xf numFmtId="0" fontId="80" fillId="30" borderId="19" applyAlignment="1" pivotButton="0" quotePrefix="0" xfId="0">
      <alignment horizontal="center" vertical="center"/>
    </xf>
    <xf numFmtId="0" fontId="0" fillId="31" borderId="1" pivotButton="0" quotePrefix="0" xfId="0"/>
    <xf numFmtId="164" fontId="0" fillId="0" borderId="0" applyAlignment="1" pivotButton="0" quotePrefix="0" xfId="2">
      <alignment horizontal="center"/>
    </xf>
    <xf numFmtId="0" fontId="11" fillId="2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/>
    </xf>
    <xf numFmtId="0" fontId="11" fillId="2" borderId="19" applyAlignment="1" pivotButton="0" quotePrefix="0" xfId="0">
      <alignment horizontal="center"/>
    </xf>
    <xf numFmtId="164" fontId="11" fillId="2" borderId="2" applyAlignment="1" pivotButton="0" quotePrefix="0" xfId="2">
      <alignment horizontal="center"/>
    </xf>
    <xf numFmtId="0" fontId="11" fillId="2" borderId="19" pivotButton="0" quotePrefix="0" xfId="0"/>
    <xf numFmtId="0" fontId="15" fillId="2" borderId="1" pivotButton="0" quotePrefix="0" xfId="0"/>
    <xf numFmtId="0" fontId="12" fillId="0" borderId="5" pivotButton="0" quotePrefix="0" xfId="0"/>
    <xf numFmtId="164" fontId="12" fillId="0" borderId="5" pivotButton="0" quotePrefix="0" xfId="2"/>
    <xf numFmtId="168" fontId="12" fillId="0" borderId="5" pivotButton="0" quotePrefix="0" xfId="0"/>
    <xf numFmtId="168" fontId="12" fillId="0" borderId="1" pivotButton="0" quotePrefix="0" xfId="0"/>
    <xf numFmtId="0" fontId="12" fillId="0" borderId="1" pivotButton="0" quotePrefix="0" xfId="0"/>
    <xf numFmtId="164" fontId="12" fillId="0" borderId="1" pivotButton="0" quotePrefix="0" xfId="2"/>
    <xf numFmtId="0" fontId="12" fillId="5" borderId="1" pivotButton="0" quotePrefix="0" xfId="0"/>
    <xf numFmtId="0" fontId="12" fillId="5" borderId="1" applyAlignment="1" pivotButton="0" quotePrefix="0" xfId="0">
      <alignment horizontal="center"/>
    </xf>
    <xf numFmtId="164" fontId="12" fillId="5" borderId="1" pivotButton="0" quotePrefix="0" xfId="2"/>
    <xf numFmtId="164" fontId="12" fillId="0" borderId="30" pivotButton="0" quotePrefix="0" xfId="2"/>
    <xf numFmtId="164" fontId="12" fillId="0" borderId="2" pivotButton="0" quotePrefix="0" xfId="2"/>
    <xf numFmtId="164" fontId="12" fillId="5" borderId="2" pivotButton="0" quotePrefix="0" xfId="2"/>
    <xf numFmtId="164" fontId="0" fillId="0" borderId="2" pivotButton="0" quotePrefix="0" xfId="2"/>
    <xf numFmtId="0" fontId="53" fillId="27" borderId="1" applyAlignment="1" pivotButton="0" quotePrefix="0" xfId="0">
      <alignment horizontal="right"/>
    </xf>
    <xf numFmtId="0" fontId="53" fillId="27" borderId="2" applyAlignment="1" pivotButton="0" quotePrefix="0" xfId="0">
      <alignment horizontal="right"/>
    </xf>
    <xf numFmtId="0" fontId="53" fillId="32" borderId="1" pivotButton="0" quotePrefix="0" xfId="0"/>
    <xf numFmtId="2" fontId="53" fillId="32" borderId="1" applyAlignment="1" pivotButton="0" quotePrefix="0" xfId="0">
      <alignment horizontal="right"/>
    </xf>
    <xf numFmtId="0" fontId="53" fillId="32" borderId="2" pivotButton="0" quotePrefix="0" xfId="0"/>
    <xf numFmtId="0" fontId="53" fillId="27" borderId="1" applyAlignment="1" pivotButton="0" quotePrefix="0" xfId="0">
      <alignment horizontal="center"/>
    </xf>
    <xf numFmtId="0" fontId="36" fillId="0" borderId="1" applyAlignment="1" pivotButton="0" quotePrefix="0" xfId="0">
      <alignment horizontal="center"/>
    </xf>
    <xf numFmtId="173" fontId="36" fillId="0" borderId="1" applyAlignment="1" pivotButton="0" quotePrefix="0" xfId="0">
      <alignment horizontal="center"/>
    </xf>
    <xf numFmtId="0" fontId="36" fillId="0" borderId="1" applyAlignment="1" pivotButton="0" quotePrefix="0" xfId="0">
      <alignment horizontal="center" vertical="center"/>
    </xf>
    <xf numFmtId="173" fontId="36" fillId="0" borderId="1" applyAlignment="1" pivotButton="0" quotePrefix="0" xfId="0">
      <alignment horizontal="center" vertical="center"/>
    </xf>
    <xf numFmtId="3" fontId="36" fillId="0" borderId="1" applyAlignment="1" pivotButton="0" quotePrefix="0" xfId="0">
      <alignment horizontal="center"/>
    </xf>
    <xf numFmtId="0" fontId="53" fillId="26" borderId="2" pivotButton="0" quotePrefix="0" xfId="0"/>
    <xf numFmtId="0" fontId="53" fillId="26" borderId="19" pivotButton="0" quotePrefix="0" xfId="0"/>
    <xf numFmtId="0" fontId="53" fillId="26" borderId="20" pivotButton="0" quotePrefix="0" xfId="0"/>
    <xf numFmtId="164" fontId="11" fillId="7" borderId="0" pivotButton="0" quotePrefix="0" xfId="0"/>
    <xf numFmtId="0" fontId="34" fillId="0" borderId="14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164" fontId="57" fillId="0" borderId="1" applyAlignment="1" pivotButton="0" quotePrefix="0" xfId="2">
      <alignment horizontal="center" vertical="center"/>
    </xf>
    <xf numFmtId="164" fontId="57" fillId="0" borderId="1" pivotButton="0" quotePrefix="0" xfId="2"/>
    <xf numFmtId="164" fontId="57" fillId="0" borderId="2" applyAlignment="1" pivotButton="0" quotePrefix="0" xfId="2">
      <alignment horizontal="center"/>
    </xf>
    <xf numFmtId="164" fontId="63" fillId="0" borderId="0" applyAlignment="1" pivotButton="0" quotePrefix="0" xfId="2">
      <alignment horizontal="center"/>
    </xf>
    <xf numFmtId="164" fontId="57" fillId="0" borderId="0" pivotButton="0" quotePrefix="0" xfId="2"/>
    <xf numFmtId="165" fontId="35" fillId="6" borderId="0" applyAlignment="1" pivotButton="0" quotePrefix="0" xfId="2">
      <alignment horizontal="center"/>
    </xf>
    <xf numFmtId="165" fontId="11" fillId="0" borderId="1" pivotButton="0" quotePrefix="0" xfId="0"/>
    <xf numFmtId="0" fontId="23" fillId="0" borderId="9" pivotButton="0" quotePrefix="0" xfId="7"/>
    <xf numFmtId="10" fontId="12" fillId="0" borderId="0" pivotButton="0" quotePrefix="0" xfId="12"/>
    <xf numFmtId="174" fontId="23" fillId="0" borderId="0" pivotButton="0" quotePrefix="0" xfId="7"/>
    <xf numFmtId="0" fontId="23" fillId="0" borderId="0" pivotButton="0" quotePrefix="0" xfId="7"/>
    <xf numFmtId="177" fontId="23" fillId="0" borderId="0" pivotButton="0" quotePrefix="0" xfId="7"/>
    <xf numFmtId="174" fontId="23" fillId="0" borderId="0" pivotButton="0" quotePrefix="0" xfId="7"/>
    <xf numFmtId="179" fontId="23" fillId="0" borderId="0" pivotButton="0" quotePrefix="0" xfId="7"/>
    <xf numFmtId="1" fontId="23" fillId="0" borderId="0" pivotButton="0" quotePrefix="0" xfId="7"/>
    <xf numFmtId="164" fontId="0" fillId="0" borderId="10" pivotButton="0" quotePrefix="0" xfId="2"/>
    <xf numFmtId="0" fontId="11" fillId="7" borderId="0" applyAlignment="1" pivotButton="0" quotePrefix="0" xfId="0">
      <alignment horizontal="right"/>
    </xf>
    <xf numFmtId="166" fontId="0" fillId="0" borderId="0" pivotButton="0" quotePrefix="0" xfId="3"/>
    <xf numFmtId="166" fontId="2" fillId="0" borderId="0" pivotButton="0" quotePrefix="0" xfId="3"/>
    <xf numFmtId="164" fontId="2" fillId="0" borderId="0" pivotButton="0" quotePrefix="0" xfId="0"/>
    <xf numFmtId="0" fontId="2" fillId="0" borderId="0" applyAlignment="1" pivotButton="0" quotePrefix="0" xfId="0">
      <alignment horizontal="right"/>
    </xf>
    <xf numFmtId="164" fontId="2" fillId="0" borderId="0" applyAlignment="1" pivotButton="0" quotePrefix="0" xfId="0">
      <alignment horizontal="right"/>
    </xf>
    <xf numFmtId="0" fontId="81" fillId="34" borderId="1" applyAlignment="1" pivotButton="0" quotePrefix="0" xfId="0">
      <alignment horizontal="center" vertical="center"/>
    </xf>
    <xf numFmtId="0" fontId="81" fillId="34" borderId="1" applyAlignment="1" pivotButton="0" quotePrefix="0" xfId="0">
      <alignment horizontal="center"/>
    </xf>
    <xf numFmtId="0" fontId="81" fillId="34" borderId="4" applyAlignment="1" pivotButton="0" quotePrefix="0" xfId="0">
      <alignment horizontal="center"/>
    </xf>
    <xf numFmtId="164" fontId="0" fillId="5" borderId="1" pivotButton="0" quotePrefix="0" xfId="2"/>
    <xf numFmtId="0" fontId="82" fillId="0" borderId="1" applyAlignment="1" pivotButton="0" quotePrefix="0" xfId="0">
      <alignment vertical="top"/>
    </xf>
    <xf numFmtId="164" fontId="82" fillId="0" borderId="1" applyAlignment="1" pivotButton="0" quotePrefix="0" xfId="2">
      <alignment vertical="top"/>
    </xf>
    <xf numFmtId="164" fontId="82" fillId="0" borderId="1" pivotButton="0" quotePrefix="0" xfId="0"/>
    <xf numFmtId="164" fontId="1" fillId="5" borderId="1" pivotButton="0" quotePrefix="0" xfId="2"/>
    <xf numFmtId="164" fontId="1" fillId="0" borderId="1" pivotButton="0" quotePrefix="0" xfId="2"/>
    <xf numFmtId="164" fontId="81" fillId="17" borderId="1" pivotButton="0" quotePrefix="0" xfId="0"/>
    <xf numFmtId="0" fontId="82" fillId="0" borderId="0" applyAlignment="1" pivotButton="0" quotePrefix="0" xfId="0">
      <alignment vertical="top"/>
    </xf>
    <xf numFmtId="164" fontId="82" fillId="0" borderId="0" applyAlignment="1" pivotButton="0" quotePrefix="0" xfId="2">
      <alignment vertical="top"/>
    </xf>
    <xf numFmtId="164" fontId="82" fillId="0" borderId="0" pivotButton="0" quotePrefix="0" xfId="0"/>
    <xf numFmtId="0" fontId="2" fillId="5" borderId="1" applyAlignment="1" pivotButton="0" quotePrefix="0" xfId="0">
      <alignment horizontal="center"/>
    </xf>
    <xf numFmtId="164" fontId="2" fillId="5" borderId="1" pivotButton="0" quotePrefix="0" xfId="2"/>
    <xf numFmtId="0" fontId="82" fillId="5" borderId="0" applyAlignment="1" pivotButton="0" quotePrefix="0" xfId="0">
      <alignment vertical="top"/>
    </xf>
    <xf numFmtId="164" fontId="82" fillId="5" borderId="0" applyAlignment="1" pivotButton="0" quotePrefix="0" xfId="2">
      <alignment vertical="top"/>
    </xf>
    <xf numFmtId="164" fontId="82" fillId="5" borderId="0" pivotButton="0" quotePrefix="0" xfId="0"/>
    <xf numFmtId="164" fontId="2" fillId="0" borderId="1" pivotButton="0" quotePrefix="0" xfId="2"/>
    <xf numFmtId="164" fontId="2" fillId="0" borderId="0" pivotButton="0" quotePrefix="0" xfId="2"/>
    <xf numFmtId="164" fontId="2" fillId="2" borderId="0" pivotButton="0" quotePrefix="0" xfId="2"/>
    <xf numFmtId="0" fontId="2" fillId="3" borderId="4" pivotButton="0" quotePrefix="0" xfId="0"/>
    <xf numFmtId="0" fontId="2" fillId="3" borderId="3" pivotButton="0" quotePrefix="0" xfId="0"/>
    <xf numFmtId="0" fontId="83" fillId="0" borderId="1" pivotButton="0" quotePrefix="0" xfId="0"/>
    <xf numFmtId="0" fontId="84" fillId="0" borderId="1" pivotButton="0" quotePrefix="0" xfId="0"/>
    <xf numFmtId="164" fontId="0" fillId="0" borderId="1" pivotButton="0" quotePrefix="0" xfId="0"/>
    <xf numFmtId="0" fontId="58" fillId="35" borderId="38" applyAlignment="1" pivotButton="0" quotePrefix="0" xfId="0">
      <alignment horizontal="center"/>
    </xf>
    <xf numFmtId="0" fontId="58" fillId="0" borderId="40" applyAlignment="1" pivotButton="0" quotePrefix="0" xfId="0">
      <alignment horizontal="center"/>
    </xf>
    <xf numFmtId="0" fontId="85" fillId="0" borderId="1" pivotButton="0" quotePrefix="0" xfId="0"/>
    <xf numFmtId="199" fontId="0" fillId="0" borderId="1" pivotButton="0" quotePrefix="0" xfId="0"/>
    <xf numFmtId="0" fontId="86" fillId="36" borderId="48" applyAlignment="1" pivotButton="0" quotePrefix="0" xfId="0">
      <alignment horizontal="left"/>
    </xf>
    <xf numFmtId="199" fontId="86" fillId="35" borderId="56" pivotButton="0" quotePrefix="0" xfId="0"/>
    <xf numFmtId="0" fontId="86" fillId="36" borderId="14" applyAlignment="1" pivotButton="0" quotePrefix="0" xfId="0">
      <alignment horizontal="left"/>
    </xf>
    <xf numFmtId="199" fontId="86" fillId="35" borderId="15" pivotButton="0" quotePrefix="0" xfId="0"/>
    <xf numFmtId="4" fontId="85" fillId="0" borderId="1" applyAlignment="1" pivotButton="0" quotePrefix="0" xfId="0">
      <alignment vertical="center"/>
    </xf>
    <xf numFmtId="199" fontId="86" fillId="35" borderId="1" pivotButton="0" quotePrefix="0" xfId="0"/>
    <xf numFmtId="199" fontId="2" fillId="2" borderId="1" pivotButton="0" quotePrefix="0" xfId="0"/>
    <xf numFmtId="164" fontId="2" fillId="2" borderId="1" pivotButton="0" quotePrefix="0" xfId="0"/>
    <xf numFmtId="199" fontId="1" fillId="5" borderId="24" pivotButton="0" quotePrefix="0" xfId="2"/>
    <xf numFmtId="199" fontId="1" fillId="0" borderId="24" pivotButton="0" quotePrefix="0" xfId="2"/>
    <xf numFmtId="0" fontId="2" fillId="37" borderId="1" applyAlignment="1" pivotButton="0" quotePrefix="0" xfId="0">
      <alignment horizontal="center"/>
    </xf>
    <xf numFmtId="164" fontId="0" fillId="12" borderId="0" pivotButton="0" quotePrefix="0" xfId="2"/>
    <xf numFmtId="0" fontId="2" fillId="20" borderId="1" applyAlignment="1" pivotButton="0" quotePrefix="0" xfId="0">
      <alignment horizontal="center"/>
    </xf>
    <xf numFmtId="164" fontId="0" fillId="0" borderId="5" pivotButton="0" quotePrefix="0" xfId="2"/>
    <xf numFmtId="164" fontId="0" fillId="5" borderId="5" pivotButton="0" quotePrefix="0" xfId="2"/>
    <xf numFmtId="164" fontId="0" fillId="5" borderId="0" pivotButton="0" quotePrefix="0" xfId="2"/>
    <xf numFmtId="3" fontId="0" fillId="0" borderId="1" applyAlignment="1" pivotButton="0" quotePrefix="0" xfId="0">
      <alignment horizontal="center"/>
    </xf>
    <xf numFmtId="0" fontId="13" fillId="0" borderId="1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164" fontId="2" fillId="0" borderId="0" pivotButton="0" quotePrefix="0" xfId="2"/>
    <xf numFmtId="164" fontId="2" fillId="8" borderId="0" pivotButton="0" quotePrefix="0" xfId="2"/>
    <xf numFmtId="0" fontId="0" fillId="8" borderId="0" pivotButton="0" quotePrefix="0" xfId="0"/>
    <xf numFmtId="0" fontId="2" fillId="0" borderId="50" pivotButton="0" quotePrefix="0" xfId="0"/>
    <xf numFmtId="0" fontId="0" fillId="0" borderId="57" applyAlignment="1" pivotButton="0" quotePrefix="0" xfId="0">
      <alignment horizontal="center"/>
    </xf>
    <xf numFmtId="167" fontId="0" fillId="2" borderId="1" pivotButton="0" quotePrefix="0" xfId="0"/>
    <xf numFmtId="172" fontId="0" fillId="14" borderId="0" applyAlignment="1" pivotButton="0" quotePrefix="0" xfId="0">
      <alignment horizontal="center"/>
    </xf>
    <xf numFmtId="3" fontId="2" fillId="5" borderId="22" applyAlignment="1" pivotButton="0" quotePrefix="0" xfId="0">
      <alignment horizontal="center"/>
    </xf>
    <xf numFmtId="164" fontId="11" fillId="38" borderId="0" applyAlignment="1" pivotButton="0" quotePrefix="0" xfId="2">
      <alignment horizontal="center" vertical="center"/>
    </xf>
    <xf numFmtId="0" fontId="11" fillId="38" borderId="0" pivotButton="0" quotePrefix="0" xfId="0"/>
    <xf numFmtId="9" fontId="11" fillId="38" borderId="0" pivotButton="0" quotePrefix="0" xfId="10"/>
    <xf numFmtId="164" fontId="11" fillId="38" borderId="0" pivotButton="0" quotePrefix="0" xfId="2"/>
    <xf numFmtId="164" fontId="11" fillId="30" borderId="0" applyAlignment="1" pivotButton="0" quotePrefix="0" xfId="2">
      <alignment horizontal="center" vertical="center"/>
    </xf>
    <xf numFmtId="164" fontId="11" fillId="30" borderId="0" pivotButton="0" quotePrefix="0" xfId="2"/>
    <xf numFmtId="164" fontId="23" fillId="30" borderId="0" applyAlignment="1" pivotButton="0" quotePrefix="0" xfId="2">
      <alignment horizontal="right" indent="1"/>
    </xf>
    <xf numFmtId="164" fontId="22" fillId="30" borderId="0" applyAlignment="1" pivotButton="0" quotePrefix="0" xfId="2">
      <alignment horizontal="right" indent="1"/>
    </xf>
    <xf numFmtId="164" fontId="11" fillId="30" borderId="0" pivotButton="0" quotePrefix="0" xfId="2"/>
    <xf numFmtId="167" fontId="25" fillId="30" borderId="0" pivotButton="0" quotePrefix="0" xfId="2"/>
    <xf numFmtId="0" fontId="11" fillId="30" borderId="0" pivotButton="0" quotePrefix="0" xfId="0"/>
    <xf numFmtId="0" fontId="11" fillId="39" borderId="0" pivotButton="0" quotePrefix="0" xfId="0"/>
    <xf numFmtId="164" fontId="34" fillId="39" borderId="0" pivotButton="0" quotePrefix="0" xfId="2"/>
    <xf numFmtId="173" fontId="34" fillId="39" borderId="0" pivotButton="0" quotePrefix="0" xfId="2"/>
    <xf numFmtId="164" fontId="11" fillId="3" borderId="1" applyAlignment="1" pivotButton="0" quotePrefix="0" xfId="2">
      <alignment horizontal="center" vertical="center"/>
    </xf>
    <xf numFmtId="164" fontId="34" fillId="3" borderId="1" pivotButton="0" quotePrefix="0" xfId="2"/>
    <xf numFmtId="164" fontId="11" fillId="3" borderId="1" pivotButton="0" quotePrefix="0" xfId="2"/>
    <xf numFmtId="167" fontId="25" fillId="3" borderId="1" pivotButton="0" quotePrefix="0" xfId="2"/>
    <xf numFmtId="9" fontId="11" fillId="3" borderId="1" pivotButton="0" quotePrefix="0" xfId="10"/>
    <xf numFmtId="164" fontId="34" fillId="38" borderId="5" pivotButton="0" quotePrefix="0" xfId="2"/>
    <xf numFmtId="0" fontId="11" fillId="38" borderId="5" pivotButton="0" quotePrefix="0" xfId="0"/>
    <xf numFmtId="164" fontId="11" fillId="23" borderId="1" applyAlignment="1" pivotButton="0" quotePrefix="0" xfId="2">
      <alignment horizontal="center" vertical="center"/>
    </xf>
    <xf numFmtId="164" fontId="34" fillId="23" borderId="1" pivotButton="0" quotePrefix="0" xfId="2"/>
    <xf numFmtId="164" fontId="11" fillId="23" borderId="1" pivotButton="0" quotePrefix="0" xfId="2"/>
    <xf numFmtId="167" fontId="25" fillId="23" borderId="1" pivotButton="0" quotePrefix="0" xfId="2"/>
    <xf numFmtId="0" fontId="11" fillId="23" borderId="1" pivotButton="0" quotePrefix="0" xfId="0"/>
    <xf numFmtId="9" fontId="11" fillId="23" borderId="1" pivotButton="0" quotePrefix="0" xfId="10"/>
    <xf numFmtId="172" fontId="11" fillId="2" borderId="0" pivotButton="0" quotePrefix="0" xfId="0"/>
    <xf numFmtId="0" fontId="11" fillId="2" borderId="0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center" wrapText="1"/>
    </xf>
    <xf numFmtId="173" fontId="0" fillId="0" borderId="1" applyAlignment="1" pivotButton="0" quotePrefix="0" xfId="0">
      <alignment vertical="center"/>
    </xf>
    <xf numFmtId="0" fontId="0" fillId="5" borderId="5" pivotButton="0" quotePrefix="0" xfId="0"/>
    <xf numFmtId="173" fontId="0" fillId="5" borderId="15" pivotButton="0" quotePrefix="0" xfId="0"/>
    <xf numFmtId="172" fontId="0" fillId="2" borderId="0" pivotButton="0" quotePrefix="0" xfId="0"/>
    <xf numFmtId="171" fontId="0" fillId="0" borderId="0" applyAlignment="1" pivotButton="0" quotePrefix="0" xfId="1">
      <alignment horizontal="center" vertical="center"/>
    </xf>
    <xf numFmtId="173" fontId="0" fillId="2" borderId="15" pivotButton="0" quotePrefix="0" xfId="0"/>
    <xf numFmtId="0" fontId="0" fillId="0" borderId="9" applyAlignment="1" pivotButton="0" quotePrefix="0" xfId="0">
      <alignment horizontal="left"/>
    </xf>
    <xf numFmtId="173" fontId="0" fillId="2" borderId="4" pivotButton="0" quotePrefix="0" xfId="0"/>
    <xf numFmtId="173" fontId="0" fillId="2" borderId="47" pivotButton="0" quotePrefix="0" xfId="0"/>
    <xf numFmtId="0" fontId="0" fillId="0" borderId="36" applyAlignment="1" pivotButton="0" quotePrefix="0" xfId="0">
      <alignment horizontal="center" vertical="center"/>
    </xf>
    <xf numFmtId="173" fontId="0" fillId="0" borderId="36" applyAlignment="1" pivotButton="0" quotePrefix="0" xfId="0">
      <alignment horizontal="center" vertical="center"/>
    </xf>
    <xf numFmtId="0" fontId="14" fillId="0" borderId="0" applyAlignment="1" pivotButton="0" quotePrefix="0" xfId="0">
      <alignment wrapText="1"/>
    </xf>
    <xf numFmtId="0" fontId="14" fillId="0" borderId="0" pivotButton="0" quotePrefix="0" xfId="0"/>
    <xf numFmtId="173" fontId="13" fillId="0" borderId="0" pivotButton="0" quotePrefix="0" xfId="0"/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center"/>
    </xf>
    <xf numFmtId="173" fontId="17" fillId="0" borderId="0" pivotButton="0" quotePrefix="0" xfId="0"/>
    <xf numFmtId="173" fontId="17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left"/>
    </xf>
    <xf numFmtId="200" fontId="88" fillId="0" borderId="0" pivotButton="0" quotePrefix="0" xfId="0"/>
    <xf numFmtId="0" fontId="0" fillId="0" borderId="0" applyAlignment="1" pivotButton="0" quotePrefix="0" xfId="0">
      <alignment horizontal="right" indent="2"/>
    </xf>
    <xf numFmtId="173" fontId="0" fillId="2" borderId="34" pivotButton="0" quotePrefix="0" xfId="0"/>
    <xf numFmtId="0" fontId="32" fillId="16" borderId="0" applyAlignment="1" pivotButton="0" quotePrefix="0" xfId="0">
      <alignment horizontal="center"/>
    </xf>
    <xf numFmtId="164" fontId="32" fillId="16" borderId="0" applyAlignment="1" pivotButton="0" quotePrefix="0" xfId="2">
      <alignment horizontal="center"/>
    </xf>
    <xf numFmtId="0" fontId="0" fillId="40" borderId="1" applyAlignment="1" pivotButton="0" quotePrefix="0" xfId="0">
      <alignment horizontal="center"/>
    </xf>
    <xf numFmtId="1" fontId="0" fillId="40" borderId="1" applyAlignment="1" pivotButton="0" quotePrefix="0" xfId="0">
      <alignment horizontal="center"/>
    </xf>
    <xf numFmtId="164" fontId="0" fillId="40" borderId="1" applyAlignment="1" pivotButton="0" quotePrefix="0" xfId="2">
      <alignment horizontal="center"/>
    </xf>
    <xf numFmtId="0" fontId="82" fillId="0" borderId="0" pivotButton="0" quotePrefix="0" xfId="0"/>
    <xf numFmtId="1" fontId="0" fillId="3" borderId="1" applyAlignment="1" pivotButton="0" quotePrefix="0" xfId="0">
      <alignment horizontal="right"/>
    </xf>
    <xf numFmtId="167" fontId="0" fillId="7" borderId="58" pivotButton="0" quotePrefix="0" xfId="0"/>
    <xf numFmtId="164" fontId="57" fillId="0" borderId="0" pivotButton="0" quotePrefix="0" xfId="2"/>
    <xf numFmtId="164" fontId="11" fillId="22" borderId="4" pivotButton="0" quotePrefix="0" xfId="0"/>
    <xf numFmtId="164" fontId="0" fillId="0" borderId="0" applyAlignment="1" pivotButton="0" quotePrefix="0" xfId="0">
      <alignment wrapText="1"/>
    </xf>
    <xf numFmtId="173" fontId="23" fillId="0" borderId="0" pivotButton="0" quotePrefix="0" xfId="7"/>
    <xf numFmtId="0" fontId="8" fillId="0" borderId="0" pivotButton="0" quotePrefix="0" xfId="0"/>
    <xf numFmtId="178" fontId="8" fillId="0" borderId="0" pivotButton="0" quotePrefix="0" xfId="1"/>
    <xf numFmtId="0" fontId="91" fillId="0" borderId="0" applyAlignment="1" pivotButton="0" quotePrefix="0" xfId="0">
      <alignment vertical="top" wrapText="1" readingOrder="1"/>
    </xf>
    <xf numFmtId="0" fontId="93" fillId="0" borderId="0" applyAlignment="1" pivotButton="0" quotePrefix="0" xfId="0">
      <alignment horizontal="left" vertical="top" wrapText="1" readingOrder="1"/>
    </xf>
    <xf numFmtId="201" fontId="93" fillId="0" borderId="0" applyAlignment="1" pivotButton="0" quotePrefix="0" xfId="0">
      <alignment horizontal="right" vertical="top" wrapText="1" readingOrder="1"/>
    </xf>
    <xf numFmtId="202" fontId="94" fillId="0" borderId="59" applyAlignment="1" pivotButton="0" quotePrefix="0" xfId="0">
      <alignment horizontal="right" vertical="top" wrapText="1" readingOrder="1"/>
    </xf>
    <xf numFmtId="0" fontId="2" fillId="2" borderId="1" applyAlignment="1" pivotButton="0" quotePrefix="0" xfId="0">
      <alignment horizontal="center"/>
    </xf>
    <xf numFmtId="0" fontId="34" fillId="0" borderId="41" applyAlignment="1" pivotButton="0" quotePrefix="0" xfId="0">
      <alignment horizontal="center" vertical="center" wrapText="1"/>
    </xf>
    <xf numFmtId="0" fontId="34" fillId="0" borderId="37" applyAlignment="1" pivotButton="0" quotePrefix="0" xfId="0">
      <alignment horizontal="center" vertical="center" wrapText="1"/>
    </xf>
    <xf numFmtId="0" fontId="34" fillId="0" borderId="41" applyAlignment="1" pivotButton="0" quotePrefix="0" xfId="0">
      <alignment horizontal="center" vertical="center"/>
    </xf>
    <xf numFmtId="0" fontId="34" fillId="0" borderId="38" applyAlignment="1" pivotButton="0" quotePrefix="0" xfId="0">
      <alignment horizontal="center" vertical="center"/>
    </xf>
    <xf numFmtId="0" fontId="34" fillId="0" borderId="39" applyAlignment="1" pivotButton="0" quotePrefix="0" xfId="0">
      <alignment horizontal="center" vertical="center"/>
    </xf>
    <xf numFmtId="0" fontId="34" fillId="0" borderId="39" applyAlignment="1" pivotButton="0" quotePrefix="0" xfId="0">
      <alignment horizontal="center" vertical="center" wrapText="1"/>
    </xf>
    <xf numFmtId="0" fontId="34" fillId="0" borderId="42" applyAlignment="1" pivotButton="0" quotePrefix="0" xfId="0">
      <alignment horizontal="center" vertical="center"/>
    </xf>
    <xf numFmtId="0" fontId="34" fillId="0" borderId="43" applyAlignment="1" pivotButton="0" quotePrefix="0" xfId="0">
      <alignment horizontal="center" vertical="center" wrapText="1"/>
    </xf>
    <xf numFmtId="0" fontId="34" fillId="0" borderId="27" applyAlignment="1" pivotButton="0" quotePrefix="0" xfId="0">
      <alignment vertical="center"/>
    </xf>
    <xf numFmtId="0" fontId="11" fillId="0" borderId="29" applyAlignment="1" pivotButton="0" quotePrefix="0" xfId="0">
      <alignment vertical="center" wrapText="1"/>
    </xf>
    <xf numFmtId="0" fontId="11" fillId="0" borderId="6" applyAlignment="1" pivotButton="0" quotePrefix="0" xfId="0">
      <alignment vertical="center"/>
    </xf>
    <xf numFmtId="164" fontId="11" fillId="0" borderId="1" pivotButton="0" quotePrefix="0" xfId="2"/>
    <xf numFmtId="164" fontId="11" fillId="0" borderId="1" pivotButton="0" quotePrefix="0" xfId="0"/>
    <xf numFmtId="0" fontId="34" fillId="0" borderId="1" pivotButton="0" quotePrefix="0" xfId="0"/>
    <xf numFmtId="203" fontId="11" fillId="0" borderId="1" pivotButton="0" quotePrefix="0" xfId="2"/>
    <xf numFmtId="164" fontId="11" fillId="0" borderId="1" applyAlignment="1" pivotButton="0" quotePrefix="0" xfId="2">
      <alignment horizontal="center"/>
    </xf>
    <xf numFmtId="0" fontId="0" fillId="7" borderId="1" pivotButton="0" quotePrefix="0" xfId="0"/>
    <xf numFmtId="164" fontId="0" fillId="7" borderId="1" pivotButton="0" quotePrefix="0" xfId="2"/>
    <xf numFmtId="0" fontId="82" fillId="7" borderId="1" applyAlignment="1" pivotButton="0" quotePrefix="0" xfId="0">
      <alignment vertical="top"/>
    </xf>
    <xf numFmtId="164" fontId="82" fillId="7" borderId="1" applyAlignment="1" pivotButton="0" quotePrefix="0" xfId="2">
      <alignment vertical="top"/>
    </xf>
    <xf numFmtId="164" fontId="82" fillId="7" borderId="1" pivotButton="0" quotePrefix="0" xfId="0"/>
    <xf numFmtId="164" fontId="1" fillId="7" borderId="1" pivotButton="0" quotePrefix="0" xfId="2"/>
    <xf numFmtId="164" fontId="2" fillId="2" borderId="1" applyAlignment="1" pivotButton="0" quotePrefix="0" xfId="0">
      <alignment horizontal="center"/>
    </xf>
    <xf numFmtId="0" fontId="97" fillId="0" borderId="1" applyAlignment="1" pivotButton="0" quotePrefix="0" xfId="0">
      <alignment vertical="center" wrapText="1"/>
    </xf>
    <xf numFmtId="3" fontId="0" fillId="0" borderId="1" applyAlignment="1" pivotButton="0" quotePrefix="0" xfId="0">
      <alignment vertical="center" wrapText="1"/>
    </xf>
    <xf numFmtId="3" fontId="0" fillId="5" borderId="5" pivotButton="0" quotePrefix="0" xfId="0"/>
    <xf numFmtId="3" fontId="0" fillId="5" borderId="1" pivotButton="0" quotePrefix="0" xfId="0"/>
    <xf numFmtId="173" fontId="0" fillId="2" borderId="1" pivotButton="0" quotePrefix="0" xfId="0"/>
    <xf numFmtId="0" fontId="0" fillId="8" borderId="1" pivotButton="0" quotePrefix="0" xfId="0"/>
    <xf numFmtId="173" fontId="0" fillId="8" borderId="1" pivotButton="0" quotePrefix="0" xfId="0"/>
    <xf numFmtId="173" fontId="0" fillId="8" borderId="15" pivotButton="0" quotePrefix="0" xfId="0"/>
    <xf numFmtId="0" fontId="0" fillId="41" borderId="1" applyAlignment="1" pivotButton="0" quotePrefix="0" xfId="0">
      <alignment wrapText="1"/>
    </xf>
    <xf numFmtId="0" fontId="0" fillId="41" borderId="1" pivotButton="0" quotePrefix="0" xfId="0"/>
    <xf numFmtId="173" fontId="0" fillId="41" borderId="1" pivotButton="0" quotePrefix="0" xfId="0"/>
    <xf numFmtId="173" fontId="0" fillId="41" borderId="15" pivotButton="0" quotePrefix="0" xfId="0"/>
    <xf numFmtId="0" fontId="0" fillId="42" borderId="1" pivotButton="0" quotePrefix="0" xfId="0"/>
    <xf numFmtId="173" fontId="0" fillId="42" borderId="1" pivotButton="0" quotePrefix="0" xfId="0"/>
    <xf numFmtId="173" fontId="0" fillId="42" borderId="15" pivotButton="0" quotePrefix="0" xfId="0"/>
    <xf numFmtId="0" fontId="0" fillId="2" borderId="36" pivotButton="0" quotePrefix="0" xfId="0"/>
    <xf numFmtId="0" fontId="0" fillId="2" borderId="39" pivotButton="0" quotePrefix="0" xfId="0"/>
    <xf numFmtId="0" fontId="0" fillId="2" borderId="3" pivotButton="0" quotePrefix="0" xfId="0"/>
    <xf numFmtId="3" fontId="0" fillId="0" borderId="36" applyAlignment="1" pivotButton="0" quotePrefix="0" xfId="0">
      <alignment horizontal="center" vertical="center"/>
    </xf>
    <xf numFmtId="173" fontId="0" fillId="2" borderId="36" pivotButton="0" quotePrefix="0" xfId="0"/>
    <xf numFmtId="0" fontId="0" fillId="23" borderId="36" pivotButton="0" quotePrefix="0" xfId="0"/>
    <xf numFmtId="0" fontId="0" fillId="23" borderId="3" pivotButton="0" quotePrefix="0" xfId="0"/>
    <xf numFmtId="173" fontId="0" fillId="23" borderId="3" pivotButton="0" quotePrefix="0" xfId="0"/>
    <xf numFmtId="173" fontId="0" fillId="23" borderId="15" pivotButton="0" quotePrefix="0" xfId="0"/>
    <xf numFmtId="0" fontId="0" fillId="23" borderId="34" pivotButton="0" quotePrefix="0" xfId="0"/>
    <xf numFmtId="0" fontId="0" fillId="23" borderId="1" pivotButton="0" quotePrefix="0" xfId="0"/>
    <xf numFmtId="173" fontId="0" fillId="23" borderId="1" pivotButton="0" quotePrefix="0" xfId="0"/>
    <xf numFmtId="173" fontId="0" fillId="2" borderId="3" pivotButton="0" quotePrefix="0" xfId="0"/>
    <xf numFmtId="173" fontId="0" fillId="2" borderId="56" pivotButton="0" quotePrefix="0" xfId="0"/>
    <xf numFmtId="0" fontId="0" fillId="43" borderId="7" pivotButton="0" quotePrefix="0" xfId="0"/>
    <xf numFmtId="0" fontId="0" fillId="43" borderId="36" pivotButton="0" quotePrefix="0" xfId="0"/>
    <xf numFmtId="173" fontId="0" fillId="43" borderId="36" pivotButton="0" quotePrefix="0" xfId="0"/>
    <xf numFmtId="173" fontId="0" fillId="43" borderId="37" pivotButton="0" quotePrefix="0" xfId="0"/>
    <xf numFmtId="0" fontId="0" fillId="43" borderId="0" pivotButton="0" quotePrefix="0" xfId="0"/>
    <xf numFmtId="0" fontId="0" fillId="43" borderId="1" pivotButton="0" quotePrefix="0" xfId="0"/>
    <xf numFmtId="173" fontId="0" fillId="43" borderId="1" pivotButton="0" quotePrefix="0" xfId="0"/>
    <xf numFmtId="173" fontId="0" fillId="43" borderId="15" pivotButton="0" quotePrefix="0" xfId="0"/>
    <xf numFmtId="0" fontId="0" fillId="43" borderId="12" pivotButton="0" quotePrefix="0" xfId="0"/>
    <xf numFmtId="0" fontId="0" fillId="43" borderId="34" pivotButton="0" quotePrefix="0" xfId="0"/>
    <xf numFmtId="173" fontId="0" fillId="43" borderId="34" pivotButton="0" quotePrefix="0" xfId="0"/>
    <xf numFmtId="173" fontId="0" fillId="43" borderId="35" pivotButton="0" quotePrefix="0" xfId="0"/>
    <xf numFmtId="0" fontId="0" fillId="11" borderId="7" pivotButton="0" quotePrefix="0" xfId="0"/>
    <xf numFmtId="0" fontId="0" fillId="11" borderId="36" pivotButton="0" quotePrefix="0" xfId="0"/>
    <xf numFmtId="173" fontId="0" fillId="11" borderId="36" pivotButton="0" quotePrefix="0" xfId="0"/>
    <xf numFmtId="173" fontId="0" fillId="11" borderId="37" pivotButton="0" quotePrefix="0" xfId="0"/>
    <xf numFmtId="0" fontId="0" fillId="11" borderId="1" pivotButton="0" quotePrefix="0" xfId="0"/>
    <xf numFmtId="173" fontId="0" fillId="11" borderId="1" pivotButton="0" quotePrefix="0" xfId="0"/>
    <xf numFmtId="173" fontId="0" fillId="11" borderId="15" pivotButton="0" quotePrefix="0" xfId="0"/>
    <xf numFmtId="0" fontId="0" fillId="11" borderId="12" pivotButton="0" quotePrefix="0" xfId="0"/>
    <xf numFmtId="0" fontId="0" fillId="11" borderId="34" pivotButton="0" quotePrefix="0" xfId="0"/>
    <xf numFmtId="173" fontId="0" fillId="11" borderId="34" pivotButton="0" quotePrefix="0" xfId="0"/>
    <xf numFmtId="173" fontId="0" fillId="11" borderId="35" pivotButton="0" quotePrefix="0" xfId="0"/>
    <xf numFmtId="174" fontId="0" fillId="0" borderId="0" applyAlignment="1" pivotButton="0" quotePrefix="0" xfId="0">
      <alignment vertical="center"/>
    </xf>
    <xf numFmtId="178" fontId="8" fillId="0" borderId="0" pivotButton="0" quotePrefix="0" xfId="0"/>
    <xf numFmtId="0" fontId="94" fillId="0" borderId="60" applyAlignment="1" pivotButton="0" quotePrefix="0" xfId="0">
      <alignment horizontal="left" wrapText="1" readingOrder="1"/>
    </xf>
    <xf numFmtId="0" fontId="94" fillId="0" borderId="60" applyAlignment="1" pivotButton="0" quotePrefix="0" xfId="0">
      <alignment horizontal="right" wrapText="1" readingOrder="1"/>
    </xf>
    <xf numFmtId="178" fontId="8" fillId="0" borderId="1" pivotButton="0" quotePrefix="0" xfId="1"/>
    <xf numFmtId="0" fontId="8" fillId="0" borderId="1" pivotButton="0" quotePrefix="0" xfId="0"/>
    <xf numFmtId="178" fontId="8" fillId="0" borderId="0" pivotButton="0" quotePrefix="0" xfId="1"/>
    <xf numFmtId="39" fontId="8" fillId="0" borderId="0" pivotButton="0" quotePrefix="0" xfId="0"/>
    <xf numFmtId="178" fontId="8" fillId="0" borderId="0" applyAlignment="1" pivotButton="0" quotePrefix="0" xfId="1">
      <alignment vertical="top"/>
    </xf>
    <xf numFmtId="202" fontId="94" fillId="0" borderId="0" applyAlignment="1" pivotButton="0" quotePrefix="0" xfId="0">
      <alignment horizontal="right" vertical="top" wrapText="1" readingOrder="1"/>
    </xf>
    <xf numFmtId="171" fontId="95" fillId="0" borderId="26" pivotButton="0" quotePrefix="0" xfId="1"/>
    <xf numFmtId="0" fontId="95" fillId="0" borderId="27" pivotButton="0" quotePrefix="0" xfId="0"/>
    <xf numFmtId="0" fontId="95" fillId="0" borderId="28" pivotButton="0" quotePrefix="0" xfId="0"/>
    <xf numFmtId="178" fontId="96" fillId="14" borderId="1" pivotButton="0" quotePrefix="0" xfId="1"/>
    <xf numFmtId="178" fontId="8" fillId="0" borderId="20" pivotButton="0" quotePrefix="0" xfId="1"/>
    <xf numFmtId="178" fontId="8" fillId="0" borderId="5" pivotButton="0" quotePrefix="0" xfId="1"/>
    <xf numFmtId="178" fontId="95" fillId="14" borderId="1" pivotButton="0" quotePrefix="0" xfId="1"/>
    <xf numFmtId="178" fontId="8" fillId="0" borderId="1" pivotButton="0" quotePrefix="0" xfId="1"/>
    <xf numFmtId="178" fontId="8" fillId="8" borderId="0" pivotButton="0" quotePrefix="0" xfId="1"/>
    <xf numFmtId="164" fontId="11" fillId="0" borderId="0" applyAlignment="1" pivotButton="0" quotePrefix="0" xfId="0">
      <alignment horizontal="center"/>
    </xf>
    <xf numFmtId="2" fontId="0" fillId="0" borderId="0" pivotButton="0" quotePrefix="0" xfId="12"/>
    <xf numFmtId="0" fontId="11" fillId="0" borderId="0" applyAlignment="1" pivotButton="0" quotePrefix="0" xfId="0">
      <alignment horizontal="right"/>
    </xf>
    <xf numFmtId="0" fontId="11" fillId="44" borderId="0" pivotButton="0" quotePrefix="0" xfId="0"/>
    <xf numFmtId="164" fontId="11" fillId="44" borderId="0" pivotButton="0" quotePrefix="0" xfId="0"/>
    <xf numFmtId="177" fontId="23" fillId="0" borderId="0" applyAlignment="1" pivotButton="0" quotePrefix="0" xfId="7">
      <alignment horizontal="center"/>
    </xf>
    <xf numFmtId="177" fontId="47" fillId="0" borderId="0" applyAlignment="1" pivotButton="0" quotePrefix="0" xfId="7">
      <alignment horizontal="center"/>
    </xf>
    <xf numFmtId="0" fontId="37" fillId="0" borderId="6" applyAlignment="1" pivotButton="0" quotePrefix="0" xfId="7">
      <alignment horizontal="center"/>
    </xf>
    <xf numFmtId="0" fontId="37" fillId="0" borderId="7" applyAlignment="1" pivotButton="0" quotePrefix="0" xfId="7">
      <alignment horizontal="center"/>
    </xf>
    <xf numFmtId="0" fontId="37" fillId="0" borderId="9" applyAlignment="1" pivotButton="0" quotePrefix="0" xfId="7">
      <alignment horizontal="center"/>
    </xf>
    <xf numFmtId="0" fontId="37" fillId="0" borderId="0" applyAlignment="1" pivotButton="0" quotePrefix="0" xfId="7">
      <alignment horizontal="center"/>
    </xf>
    <xf numFmtId="0" fontId="24" fillId="0" borderId="0" applyAlignment="1" pivotButton="0" quotePrefix="0" xfId="7">
      <alignment wrapText="1"/>
    </xf>
    <xf numFmtId="0" fontId="15" fillId="0" borderId="0" applyAlignment="1" pivotButton="0" quotePrefix="0" xfId="0">
      <alignment wrapText="1"/>
    </xf>
    <xf numFmtId="179" fontId="0" fillId="0" borderId="0" applyAlignment="1" pivotButton="0" quotePrefix="0" xfId="12">
      <alignment horizontal="center" wrapText="1"/>
    </xf>
    <xf numFmtId="179" fontId="0" fillId="0" borderId="10" applyAlignment="1" pivotButton="0" quotePrefix="0" xfId="12">
      <alignment horizontal="center" wrapText="1"/>
    </xf>
    <xf numFmtId="177" fontId="49" fillId="0" borderId="0" applyAlignment="1" pivotButton="0" quotePrefix="0" xfId="7">
      <alignment horizontal="right"/>
    </xf>
    <xf numFmtId="164" fontId="11" fillId="44" borderId="0" applyAlignment="1" pivotButton="0" quotePrefix="0" xfId="0">
      <alignment horizontal="center"/>
    </xf>
    <xf numFmtId="0" fontId="11" fillId="44" borderId="0" applyAlignment="1" pivotButton="0" quotePrefix="0" xfId="0">
      <alignment horizontal="center"/>
    </xf>
    <xf numFmtId="0" fontId="11" fillId="44" borderId="24" applyAlignment="1" pivotButton="0" quotePrefix="0" xfId="0">
      <alignment horizontal="center"/>
    </xf>
    <xf numFmtId="0" fontId="34" fillId="0" borderId="0" applyAlignment="1" pivotButton="0" quotePrefix="0" xfId="0">
      <alignment horizontal="center" vertical="center" wrapText="1"/>
    </xf>
    <xf numFmtId="173" fontId="11" fillId="30" borderId="1" applyAlignment="1" pivotButton="0" quotePrefix="0" xfId="2">
      <alignment horizontal="right"/>
    </xf>
    <xf numFmtId="173" fontId="34" fillId="39" borderId="1" applyAlignment="1" pivotButton="0" quotePrefix="0" xfId="2">
      <alignment horizontal="right"/>
    </xf>
    <xf numFmtId="164" fontId="34" fillId="23" borderId="1" applyAlignment="1" pivotButton="0" quotePrefix="0" xfId="2">
      <alignment horizontal="center" vertical="center"/>
    </xf>
    <xf numFmtId="164" fontId="34" fillId="3" borderId="1" applyAlignment="1" pivotButton="0" quotePrefix="0" xfId="2">
      <alignment horizontal="center"/>
    </xf>
    <xf numFmtId="164" fontId="34" fillId="38" borderId="2" applyAlignment="1" pivotButton="0" quotePrefix="0" xfId="2">
      <alignment horizontal="center"/>
    </xf>
    <xf numFmtId="164" fontId="34" fillId="38" borderId="19" applyAlignment="1" pivotButton="0" quotePrefix="0" xfId="2">
      <alignment horizontal="center"/>
    </xf>
    <xf numFmtId="164" fontId="34" fillId="38" borderId="20" applyAlignment="1" pivotButton="0" quotePrefix="0" xfId="2">
      <alignment horizontal="center"/>
    </xf>
    <xf numFmtId="164" fontId="34" fillId="2" borderId="31" applyAlignment="1" pivotButton="0" quotePrefix="0" xfId="2">
      <alignment vertical="top"/>
    </xf>
    <xf numFmtId="164" fontId="11" fillId="7" borderId="0" applyAlignment="1" pivotButton="0" quotePrefix="0" xfId="0">
      <alignment horizontal="center"/>
    </xf>
    <xf numFmtId="0" fontId="0" fillId="0" borderId="18" applyAlignment="1" pivotButton="0" quotePrefix="0" xfId="0">
      <alignment horizontal="center" wrapText="1"/>
    </xf>
    <xf numFmtId="0" fontId="74" fillId="12" borderId="54" applyAlignment="1" pivotButton="0" quotePrefix="0" xfId="0">
      <alignment horizontal="center"/>
    </xf>
    <xf numFmtId="0" fontId="74" fillId="12" borderId="31" applyAlignment="1" pivotButton="0" quotePrefix="0" xfId="0">
      <alignment horizontal="center"/>
    </xf>
    <xf numFmtId="0" fontId="74" fillId="12" borderId="32" applyAlignment="1" pivotButton="0" quotePrefix="0" xfId="0">
      <alignment horizontal="center"/>
    </xf>
    <xf numFmtId="0" fontId="60" fillId="5" borderId="2" applyAlignment="1" pivotButton="0" quotePrefix="0" xfId="0">
      <alignment horizontal="center" vertical="center"/>
    </xf>
    <xf numFmtId="0" fontId="60" fillId="5" borderId="19" applyAlignment="1" pivotButton="0" quotePrefix="0" xfId="0">
      <alignment horizontal="center" vertical="center"/>
    </xf>
    <xf numFmtId="0" fontId="60" fillId="5" borderId="20" applyAlignment="1" pivotButton="0" quotePrefix="0" xfId="0">
      <alignment horizontal="center" vertical="center"/>
    </xf>
    <xf numFmtId="0" fontId="17" fillId="5" borderId="2" applyAlignment="1" pivotButton="0" quotePrefix="0" xfId="0">
      <alignment horizontal="center"/>
    </xf>
    <xf numFmtId="0" fontId="17" fillId="5" borderId="19" applyAlignment="1" pivotButton="0" quotePrefix="0" xfId="0">
      <alignment horizontal="center"/>
    </xf>
    <xf numFmtId="0" fontId="17" fillId="5" borderId="2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3" fillId="5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wrapText="1"/>
    </xf>
    <xf numFmtId="0" fontId="2" fillId="5" borderId="21" applyAlignment="1" pivotButton="0" quotePrefix="0" xfId="0">
      <alignment horizontal="left"/>
    </xf>
    <xf numFmtId="0" fontId="2" fillId="5" borderId="22" applyAlignment="1" pivotButton="0" quotePrefix="0" xfId="0">
      <alignment horizontal="center"/>
    </xf>
    <xf numFmtId="0" fontId="2" fillId="5" borderId="23" applyAlignment="1" pivotButton="0" quotePrefix="0" xfId="0">
      <alignment horizontal="left"/>
    </xf>
    <xf numFmtId="164" fontId="0" fillId="5" borderId="0" applyAlignment="1" pivotButton="0" quotePrefix="0" xfId="2">
      <alignment horizontal="center"/>
    </xf>
    <xf numFmtId="0" fontId="0" fillId="5" borderId="0" applyAlignment="1" pivotButton="0" quotePrefix="0" xfId="0">
      <alignment horizontal="center"/>
    </xf>
    <xf numFmtId="0" fontId="2" fillId="5" borderId="6" applyAlignment="1" pivotButton="0" quotePrefix="0" xfId="0">
      <alignment horizontal="left"/>
    </xf>
    <xf numFmtId="0" fontId="2" fillId="5" borderId="7" applyAlignment="1" pivotButton="0" quotePrefix="0" xfId="0">
      <alignment horizontal="left"/>
    </xf>
    <xf numFmtId="0" fontId="2" fillId="5" borderId="8" applyAlignment="1" pivotButton="0" quotePrefix="0" xfId="0">
      <alignment horizontal="left"/>
    </xf>
    <xf numFmtId="172" fontId="0" fillId="11" borderId="0" applyAlignment="1" pivotButton="0" quotePrefix="0" xfId="0">
      <alignment horizontal="center"/>
    </xf>
    <xf numFmtId="172" fontId="2" fillId="17" borderId="0" applyAlignment="1" pivotButton="0" quotePrefix="0" xfId="0">
      <alignment horizontal="center"/>
    </xf>
    <xf numFmtId="172" fontId="2" fillId="14" borderId="0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0" fillId="0" borderId="21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0" fillId="23" borderId="50" applyAlignment="1" pivotButton="0" quotePrefix="0" xfId="0">
      <alignment horizontal="center" vertical="center" wrapText="1"/>
    </xf>
    <xf numFmtId="0" fontId="0" fillId="23" borderId="52" applyAlignment="1" pivotButton="0" quotePrefix="0" xfId="0">
      <alignment horizontal="center" vertical="center" wrapText="1"/>
    </xf>
    <xf numFmtId="0" fontId="0" fillId="2" borderId="50" applyAlignment="1" pivotButton="0" quotePrefix="0" xfId="0">
      <alignment horizontal="center" vertical="center" wrapText="1"/>
    </xf>
    <xf numFmtId="0" fontId="0" fillId="2" borderId="52" applyAlignment="1" pivotButton="0" quotePrefix="0" xfId="0">
      <alignment horizontal="center" vertical="center" wrapText="1"/>
    </xf>
    <xf numFmtId="0" fontId="0" fillId="43" borderId="53" applyAlignment="1" pivotButton="0" quotePrefix="0" xfId="0">
      <alignment horizontal="center" vertical="center" wrapText="1"/>
    </xf>
    <xf numFmtId="0" fontId="0" fillId="43" borderId="14" applyAlignment="1" pivotButton="0" quotePrefix="0" xfId="0">
      <alignment horizontal="center" vertical="center" wrapText="1"/>
    </xf>
    <xf numFmtId="0" fontId="0" fillId="43" borderId="49" applyAlignment="1" pivotButton="0" quotePrefix="0" xfId="0">
      <alignment horizontal="center" vertical="center" wrapText="1"/>
    </xf>
    <xf numFmtId="0" fontId="0" fillId="11" borderId="6" applyAlignment="1" pivotButton="0" quotePrefix="0" xfId="0">
      <alignment horizontal="center" vertical="center" wrapText="1"/>
    </xf>
    <xf numFmtId="0" fontId="0" fillId="11" borderId="9" applyAlignment="1" pivotButton="0" quotePrefix="0" xfId="0">
      <alignment horizontal="center" vertical="center" wrapText="1"/>
    </xf>
    <xf numFmtId="0" fontId="0" fillId="11" borderId="11" applyAlignment="1" pivotButton="0" quotePrefix="0" xfId="0">
      <alignment horizontal="center" vertical="center" wrapText="1"/>
    </xf>
    <xf numFmtId="0" fontId="0" fillId="6" borderId="14" applyAlignment="1" pivotButton="0" quotePrefix="0" xfId="0">
      <alignment horizontal="center" vertical="center" wrapText="1"/>
    </xf>
    <xf numFmtId="0" fontId="0" fillId="6" borderId="16" applyAlignment="1" pivotButton="0" quotePrefix="0" xfId="0">
      <alignment horizontal="center" vertical="center" wrapText="1"/>
    </xf>
    <xf numFmtId="0" fontId="0" fillId="6" borderId="49" applyAlignment="1" pivotButton="0" quotePrefix="0" xfId="0">
      <alignment horizontal="center" vertical="center" wrapText="1"/>
    </xf>
    <xf numFmtId="0" fontId="0" fillId="6" borderId="50" applyAlignment="1" pivotButton="0" quotePrefix="0" xfId="0">
      <alignment horizontal="center" vertical="center" wrapText="1"/>
    </xf>
    <xf numFmtId="0" fontId="0" fillId="6" borderId="51" applyAlignment="1" pivotButton="0" quotePrefix="0" xfId="0">
      <alignment horizontal="center" vertical="center" wrapText="1"/>
    </xf>
    <xf numFmtId="0" fontId="0" fillId="6" borderId="52" applyAlignment="1" pivotButton="0" quotePrefix="0" xfId="0">
      <alignment horizontal="center" vertical="center" wrapText="1"/>
    </xf>
    <xf numFmtId="0" fontId="0" fillId="6" borderId="53" applyAlignment="1" pivotButton="0" quotePrefix="0" xfId="0">
      <alignment horizontal="center" vertical="center" wrapText="1"/>
    </xf>
    <xf numFmtId="0" fontId="0" fillId="2" borderId="53" applyAlignment="1" pivotButton="0" quotePrefix="0" xfId="0">
      <alignment horizontal="center" vertical="center" wrapText="1"/>
    </xf>
    <xf numFmtId="0" fontId="0" fillId="2" borderId="49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0" pivotButton="0" quotePrefix="0" xfId="0"/>
    <xf numFmtId="0" fontId="46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wrapText="1" indent="1"/>
    </xf>
    <xf numFmtId="0" fontId="0" fillId="0" borderId="19" applyAlignment="1" pivotButton="0" quotePrefix="0" xfId="0">
      <alignment horizontal="left" wrapText="1" indent="1"/>
    </xf>
    <xf numFmtId="0" fontId="0" fillId="0" borderId="20" applyAlignment="1" pivotButton="0" quotePrefix="0" xfId="0">
      <alignment horizontal="left" wrapText="1" indent="1"/>
    </xf>
    <xf numFmtId="0" fontId="0" fillId="6" borderId="48" applyAlignment="1" pivotButton="0" quotePrefix="0" xfId="0">
      <alignment horizontal="center" vertical="center" wrapText="1"/>
    </xf>
    <xf numFmtId="0" fontId="93" fillId="0" borderId="0" applyAlignment="1" pivotButton="0" quotePrefix="0" xfId="0">
      <alignment horizontal="left" vertical="top" wrapText="1" readingOrder="1"/>
    </xf>
    <xf numFmtId="0" fontId="8" fillId="0" borderId="0" pivotButton="0" quotePrefix="0" xfId="0"/>
    <xf numFmtId="0" fontId="94" fillId="0" borderId="0" applyAlignment="1" pivotButton="0" quotePrefix="0" xfId="0">
      <alignment horizontal="right" vertical="top" wrapText="1" readingOrder="1"/>
    </xf>
    <xf numFmtId="0" fontId="91" fillId="0" borderId="0" applyAlignment="1" pivotButton="0" quotePrefix="0" xfId="0">
      <alignment vertical="top" wrapText="1" readingOrder="1"/>
    </xf>
    <xf numFmtId="0" fontId="101" fillId="0" borderId="0" applyAlignment="1" pivotButton="0" quotePrefix="0" xfId="0">
      <alignment horizontal="left" wrapText="1" readingOrder="1"/>
    </xf>
    <xf numFmtId="202" fontId="94" fillId="0" borderId="0" applyAlignment="1" pivotButton="0" quotePrefix="0" xfId="0">
      <alignment horizontal="right" vertical="top" wrapText="1" readingOrder="1"/>
    </xf>
    <xf numFmtId="0" fontId="8" fillId="0" borderId="0" applyAlignment="1" pivotButton="0" quotePrefix="0" xfId="0">
      <alignment vertical="top" wrapText="1"/>
    </xf>
    <xf numFmtId="0" fontId="100" fillId="0" borderId="0" applyAlignment="1" pivotButton="0" quotePrefix="0" xfId="0">
      <alignment horizontal="left" wrapText="1" readingOrder="1"/>
    </xf>
    <xf numFmtId="204" fontId="93" fillId="0" borderId="0" applyAlignment="1" pivotButton="0" quotePrefix="0" xfId="0">
      <alignment horizontal="left" vertical="top" wrapText="1" readingOrder="1"/>
    </xf>
    <xf numFmtId="201" fontId="93" fillId="0" borderId="0" applyAlignment="1" pivotButton="0" quotePrefix="0" xfId="0">
      <alignment horizontal="right" vertical="top" wrapText="1" readingOrder="1"/>
    </xf>
    <xf numFmtId="202" fontId="94" fillId="0" borderId="59" applyAlignment="1" pivotButton="0" quotePrefix="0" xfId="0">
      <alignment horizontal="right" vertical="top" wrapText="1" readingOrder="1"/>
    </xf>
    <xf numFmtId="0" fontId="8" fillId="0" borderId="59" applyAlignment="1" pivotButton="0" quotePrefix="0" xfId="0">
      <alignment vertical="top" wrapText="1"/>
    </xf>
    <xf numFmtId="201" fontId="93" fillId="0" borderId="61" applyAlignment="1" pivotButton="0" quotePrefix="0" xfId="0">
      <alignment horizontal="right" vertical="top" wrapText="1" readingOrder="1"/>
    </xf>
    <xf numFmtId="0" fontId="99" fillId="0" borderId="0" applyAlignment="1" pivotButton="0" quotePrefix="0" xfId="0">
      <alignment horizontal="left" wrapText="1" readingOrder="1"/>
    </xf>
    <xf numFmtId="0" fontId="92" fillId="0" borderId="0" applyAlignment="1" pivotButton="0" quotePrefix="0" xfId="0">
      <alignment horizontal="left" wrapText="1" readingOrder="1"/>
    </xf>
    <xf numFmtId="0" fontId="92" fillId="0" borderId="0" applyAlignment="1" pivotButton="0" quotePrefix="0" xfId="0">
      <alignment horizontal="center" vertical="top" wrapText="1" readingOrder="1"/>
    </xf>
    <xf numFmtId="0" fontId="98" fillId="0" borderId="0" applyAlignment="1" pivotButton="0" quotePrefix="0" xfId="0">
      <alignment horizontal="center" vertical="top" wrapText="1" readingOrder="1"/>
    </xf>
    <xf numFmtId="0" fontId="94" fillId="0" borderId="60" applyAlignment="1" pivotButton="0" quotePrefix="0" xfId="0">
      <alignment horizontal="left" wrapText="1" readingOrder="1"/>
    </xf>
    <xf numFmtId="0" fontId="8" fillId="0" borderId="60" applyAlignment="1" pivotButton="0" quotePrefix="0" xfId="0">
      <alignment vertical="top" wrapText="1"/>
    </xf>
    <xf numFmtId="0" fontId="94" fillId="0" borderId="60" applyAlignment="1" pivotButton="0" quotePrefix="0" xfId="0">
      <alignment horizontal="right" wrapText="1" readingOrder="1"/>
    </xf>
    <xf numFmtId="0" fontId="2" fillId="20" borderId="31" applyAlignment="1" pivotButton="0" quotePrefix="0" xfId="0">
      <alignment horizontal="center"/>
    </xf>
    <xf numFmtId="0" fontId="2" fillId="20" borderId="1" applyAlignment="1" pivotButton="0" quotePrefix="0" xfId="0">
      <alignment horizontal="center"/>
    </xf>
    <xf numFmtId="0" fontId="52" fillId="26" borderId="1" applyAlignment="1" pivotButton="0" quotePrefix="0" xfId="0">
      <alignment horizontal="center" vertical="center"/>
    </xf>
    <xf numFmtId="0" fontId="52" fillId="26" borderId="2" applyAlignment="1" pivotButton="0" quotePrefix="0" xfId="0">
      <alignment horizontal="center" vertical="center"/>
    </xf>
    <xf numFmtId="0" fontId="52" fillId="26" borderId="19" applyAlignment="1" pivotButton="0" quotePrefix="0" xfId="0">
      <alignment horizontal="center" vertical="center"/>
    </xf>
    <xf numFmtId="0" fontId="52" fillId="26" borderId="20" applyAlignment="1" pivotButton="0" quotePrefix="0" xfId="0">
      <alignment horizontal="center" vertical="center"/>
    </xf>
    <xf numFmtId="0" fontId="54" fillId="26" borderId="1" applyAlignment="1" pivotButton="0" quotePrefix="0" xfId="0">
      <alignment horizontal="center"/>
    </xf>
    <xf numFmtId="0" fontId="55" fillId="26" borderId="2" applyAlignment="1" pivotButton="0" quotePrefix="0" xfId="0">
      <alignment horizontal="center" vertical="center"/>
    </xf>
    <xf numFmtId="0" fontId="55" fillId="26" borderId="19" applyAlignment="1" pivotButton="0" quotePrefix="0" xfId="0">
      <alignment horizontal="center" vertical="center"/>
    </xf>
    <xf numFmtId="0" fontId="55" fillId="26" borderId="20" applyAlignment="1" pivotButton="0" quotePrefix="0" xfId="0">
      <alignment horizontal="center" vertical="center"/>
    </xf>
    <xf numFmtId="0" fontId="53" fillId="26" borderId="22" pivotButton="0" quotePrefix="0" xfId="0"/>
    <xf numFmtId="0" fontId="2" fillId="2" borderId="1" applyAlignment="1" pivotButton="0" quotePrefix="0" xfId="0">
      <alignment horizontal="center"/>
    </xf>
    <xf numFmtId="0" fontId="87" fillId="3" borderId="2" applyAlignment="1" pivotButton="0" quotePrefix="0" xfId="0">
      <alignment horizontal="center"/>
    </xf>
    <xf numFmtId="0" fontId="87" fillId="3" borderId="19" applyAlignment="1" pivotButton="0" quotePrefix="0" xfId="0">
      <alignment horizontal="center"/>
    </xf>
    <xf numFmtId="0" fontId="87" fillId="3" borderId="20" applyAlignment="1" pivotButton="0" quotePrefix="0" xfId="0">
      <alignment horizontal="center"/>
    </xf>
    <xf numFmtId="0" fontId="2" fillId="33" borderId="2" applyAlignment="1" pivotButton="0" quotePrefix="0" xfId="0">
      <alignment horizontal="center"/>
    </xf>
    <xf numFmtId="0" fontId="2" fillId="33" borderId="19" applyAlignment="1" pivotButton="0" quotePrefix="0" xfId="0">
      <alignment horizontal="center"/>
    </xf>
    <xf numFmtId="0" fontId="2" fillId="33" borderId="20" applyAlignment="1" pivotButton="0" quotePrefix="0" xfId="0">
      <alignment horizontal="center"/>
    </xf>
    <xf numFmtId="0" fontId="81" fillId="17" borderId="2" applyAlignment="1" pivotButton="0" quotePrefix="0" xfId="0">
      <alignment horizontal="center" vertical="top"/>
    </xf>
    <xf numFmtId="0" fontId="81" fillId="17" borderId="19" applyAlignment="1" pivotButton="0" quotePrefix="0" xfId="0">
      <alignment horizontal="center" vertical="top"/>
    </xf>
    <xf numFmtId="0" fontId="81" fillId="17" borderId="20" applyAlignment="1" pivotButton="0" quotePrefix="0" xfId="0">
      <alignment horizontal="center" vertical="top"/>
    </xf>
    <xf numFmtId="0" fontId="2" fillId="33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65" fillId="16" borderId="27" applyAlignment="1" pivotButton="0" quotePrefix="0" xfId="0">
      <alignment horizontal="center" vertical="center"/>
    </xf>
    <xf numFmtId="0" fontId="2" fillId="15" borderId="45" applyAlignment="1" pivotButton="0" quotePrefix="0" xfId="0">
      <alignment horizontal="center"/>
    </xf>
    <xf numFmtId="0" fontId="2" fillId="15" borderId="46" applyAlignment="1" pivotButton="0" quotePrefix="0" xfId="0">
      <alignment horizontal="center"/>
    </xf>
    <xf numFmtId="0" fontId="2" fillId="15" borderId="55" applyAlignment="1" pivotButton="0" quotePrefix="0" xfId="0">
      <alignment horizontal="center"/>
    </xf>
    <xf numFmtId="0" fontId="2" fillId="15" borderId="2" applyAlignment="1" pivotButton="0" quotePrefix="0" xfId="0">
      <alignment horizontal="center"/>
    </xf>
    <xf numFmtId="0" fontId="2" fillId="15" borderId="19" applyAlignment="1" pivotButton="0" quotePrefix="0" xfId="0">
      <alignment horizontal="center"/>
    </xf>
    <xf numFmtId="0" fontId="2" fillId="15" borderId="20" applyAlignment="1" pivotButton="0" quotePrefix="0" xfId="0">
      <alignment horizontal="center"/>
    </xf>
    <xf numFmtId="0" fontId="56" fillId="13" borderId="4" applyAlignment="1" pivotButton="0" quotePrefix="0" xfId="0">
      <alignment horizontal="left" vertical="center"/>
    </xf>
    <xf numFmtId="0" fontId="56" fillId="13" borderId="5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15" borderId="19" applyAlignment="1" pivotButton="0" quotePrefix="0" xfId="0">
      <alignment horizontal="center" vertical="center"/>
    </xf>
    <xf numFmtId="0" fontId="2" fillId="15" borderId="20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2" fillId="11" borderId="19" applyAlignment="1" pivotButton="0" quotePrefix="0" xfId="0">
      <alignment horizontal="center" vertical="center"/>
    </xf>
    <xf numFmtId="0" fontId="2" fillId="11" borderId="20" applyAlignment="1" pivotButton="0" quotePrefix="0" xfId="0">
      <alignment horizontal="center" vertical="center"/>
    </xf>
    <xf numFmtId="0" fontId="56" fillId="13" borderId="4" applyAlignment="1" pivotButton="0" quotePrefix="0" xfId="0">
      <alignment horizontal="center" vertical="center"/>
    </xf>
    <xf numFmtId="0" fontId="56" fillId="13" borderId="5" applyAlignment="1" pivotButton="0" quotePrefix="0" xfId="0">
      <alignment horizontal="center" vertical="center"/>
    </xf>
    <xf numFmtId="0" fontId="2" fillId="11" borderId="21" applyAlignment="1" pivotButton="0" quotePrefix="0" xfId="0">
      <alignment horizontal="center" vertical="center"/>
    </xf>
    <xf numFmtId="0" fontId="2" fillId="11" borderId="22" applyAlignment="1" pivotButton="0" quotePrefix="0" xfId="0">
      <alignment horizontal="center" vertical="center"/>
    </xf>
    <xf numFmtId="0" fontId="2" fillId="11" borderId="23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70" fillId="25" borderId="2" applyAlignment="1" pivotButton="0" quotePrefix="0" xfId="0">
      <alignment horizontal="center"/>
    </xf>
    <xf numFmtId="0" fontId="70" fillId="25" borderId="19" applyAlignment="1" pivotButton="0" quotePrefix="0" xfId="0">
      <alignment horizontal="center"/>
    </xf>
    <xf numFmtId="0" fontId="70" fillId="25" borderId="20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16" fillId="2" borderId="2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center"/>
    </xf>
    <xf numFmtId="0" fontId="16" fillId="2" borderId="2" applyAlignment="1" pivotButton="0" quotePrefix="0" xfId="0">
      <alignment horizontal="center"/>
    </xf>
    <xf numFmtId="0" fontId="16" fillId="2" borderId="19" applyAlignment="1" pivotButton="0" quotePrefix="0" xfId="0">
      <alignment horizontal="center"/>
    </xf>
    <xf numFmtId="0" fontId="2" fillId="21" borderId="2" applyAlignment="1" pivotButton="0" quotePrefix="0" xfId="0">
      <alignment horizontal="center" vertical="center"/>
    </xf>
    <xf numFmtId="0" fontId="2" fillId="21" borderId="20" applyAlignment="1" pivotButton="0" quotePrefix="0" xfId="0">
      <alignment horizontal="center" vertical="center"/>
    </xf>
    <xf numFmtId="0" fontId="66" fillId="0" borderId="2" applyAlignment="1" pivotButton="0" quotePrefix="0" xfId="0">
      <alignment horizontal="center"/>
    </xf>
    <xf numFmtId="0" fontId="66" fillId="0" borderId="19" applyAlignment="1" pivotButton="0" quotePrefix="0" xfId="0">
      <alignment horizontal="center"/>
    </xf>
    <xf numFmtId="0" fontId="66" fillId="0" borderId="20" applyAlignment="1" pivotButton="0" quotePrefix="0" xfId="0">
      <alignment horizontal="center"/>
    </xf>
    <xf numFmtId="0" fontId="12" fillId="0" borderId="2" applyAlignment="1" pivotButton="0" quotePrefix="0" xfId="0">
      <alignment horizontal="center"/>
    </xf>
    <xf numFmtId="0" fontId="12" fillId="0" borderId="19" applyAlignment="1" pivotButton="0" quotePrefix="0" xfId="0">
      <alignment horizontal="center"/>
    </xf>
    <xf numFmtId="0" fontId="12" fillId="0" borderId="2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20" applyAlignment="1" pivotButton="0" quotePrefix="0" xfId="0">
      <alignment horizontal="center"/>
    </xf>
    <xf numFmtId="0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/>
    </xf>
    <xf numFmtId="0" fontId="16" fillId="0" borderId="19" applyAlignment="1" pivotButton="0" quotePrefix="0" xfId="0">
      <alignment horizontal="center"/>
    </xf>
    <xf numFmtId="0" fontId="16" fillId="0" borderId="2" applyAlignment="1" pivotButton="0" quotePrefix="0" xfId="0">
      <alignment horizontal="center"/>
    </xf>
    <xf numFmtId="0" fontId="16" fillId="0" borderId="20" applyAlignment="1" pivotButton="0" quotePrefix="0" xfId="0">
      <alignment horizontal="center"/>
    </xf>
    <xf numFmtId="0" fontId="2" fillId="6" borderId="2" applyAlignment="1" pivotButton="0" quotePrefix="0" xfId="0">
      <alignment horizontal="center" vertical="center"/>
    </xf>
    <xf numFmtId="0" fontId="2" fillId="6" borderId="19" applyAlignment="1" pivotButton="0" quotePrefix="0" xfId="0">
      <alignment horizontal="center" vertical="center"/>
    </xf>
    <xf numFmtId="0" fontId="2" fillId="6" borderId="20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/>
    </xf>
    <xf numFmtId="0" fontId="2" fillId="0" borderId="22" applyAlignment="1" pivotButton="0" quotePrefix="0" xfId="0">
      <alignment horizontal="center"/>
    </xf>
    <xf numFmtId="0" fontId="2" fillId="0" borderId="23" applyAlignment="1" pivotButton="0" quotePrefix="0" xfId="0">
      <alignment horizontal="center"/>
    </xf>
    <xf numFmtId="164" fontId="60" fillId="5" borderId="2" applyAlignment="1" pivotButton="0" quotePrefix="0" xfId="2">
      <alignment horizontal="center"/>
    </xf>
    <xf numFmtId="164" fontId="60" fillId="5" borderId="19" applyAlignment="1" pivotButton="0" quotePrefix="0" xfId="2">
      <alignment horizontal="center"/>
    </xf>
    <xf numFmtId="164" fontId="60" fillId="5" borderId="20" applyAlignment="1" pivotButton="0" quotePrefix="0" xfId="2">
      <alignment horizontal="center"/>
    </xf>
    <xf numFmtId="0" fontId="60" fillId="5" borderId="30" applyAlignment="1" pivotButton="0" quotePrefix="0" xfId="0">
      <alignment horizontal="left"/>
    </xf>
    <xf numFmtId="0" fontId="60" fillId="5" borderId="31" applyAlignment="1" pivotButton="0" quotePrefix="0" xfId="0">
      <alignment horizontal="left"/>
    </xf>
    <xf numFmtId="0" fontId="60" fillId="5" borderId="32" applyAlignment="1" pivotButton="0" quotePrefix="0" xfId="0">
      <alignment horizontal="left"/>
    </xf>
    <xf numFmtId="0" fontId="12" fillId="5" borderId="2" applyAlignment="1" pivotButton="0" quotePrefix="0" xfId="0">
      <alignment horizontal="center"/>
    </xf>
    <xf numFmtId="0" fontId="12" fillId="5" borderId="20" applyAlignment="1" pivotButton="0" quotePrefix="0" xfId="0">
      <alignment horizontal="center"/>
    </xf>
    <xf numFmtId="0" fontId="2" fillId="17" borderId="21" applyAlignment="1" pivotButton="0" quotePrefix="0" xfId="0">
      <alignment horizontal="center"/>
    </xf>
    <xf numFmtId="0" fontId="2" fillId="17" borderId="22" applyAlignment="1" pivotButton="0" quotePrefix="0" xfId="0">
      <alignment horizontal="center"/>
    </xf>
    <xf numFmtId="0" fontId="2" fillId="17" borderId="23" applyAlignment="1" pivotButton="0" quotePrefix="0" xfId="0">
      <alignment horizontal="center"/>
    </xf>
    <xf numFmtId="0" fontId="0" fillId="17" borderId="25" applyAlignment="1" pivotButton="0" quotePrefix="0" xfId="0">
      <alignment horizontal="center"/>
    </xf>
    <xf numFmtId="0" fontId="0" fillId="17" borderId="0" applyAlignment="1" pivotButton="0" quotePrefix="0" xfId="0">
      <alignment horizontal="center"/>
    </xf>
    <xf numFmtId="0" fontId="0" fillId="17" borderId="30" applyAlignment="1" pivotButton="0" quotePrefix="0" xfId="0">
      <alignment horizontal="center"/>
    </xf>
    <xf numFmtId="0" fontId="0" fillId="17" borderId="31" applyAlignment="1" pivotButton="0" quotePrefix="0" xfId="0">
      <alignment horizontal="center"/>
    </xf>
    <xf numFmtId="0" fontId="0" fillId="0" borderId="25" applyAlignment="1" pivotButton="0" quotePrefix="0" xfId="0">
      <alignment horizontal="center"/>
    </xf>
    <xf numFmtId="0" fontId="0" fillId="0" borderId="30" applyAlignment="1" pivotButton="0" quotePrefix="0" xfId="0">
      <alignment horizontal="center"/>
    </xf>
    <xf numFmtId="0" fontId="0" fillId="0" borderId="31" applyAlignment="1" pivotButton="0" quotePrefix="0" xfId="0">
      <alignment horizontal="center"/>
    </xf>
    <xf numFmtId="0" fontId="68" fillId="5" borderId="21" applyAlignment="1" pivotButton="0" quotePrefix="0" xfId="0">
      <alignment horizontal="center" vertical="center"/>
    </xf>
    <xf numFmtId="0" fontId="68" fillId="5" borderId="22" applyAlignment="1" pivotButton="0" quotePrefix="0" xfId="0">
      <alignment horizontal="center" vertical="center"/>
    </xf>
    <xf numFmtId="0" fontId="68" fillId="5" borderId="23" applyAlignment="1" pivotButton="0" quotePrefix="0" xfId="0">
      <alignment horizontal="center" vertical="center"/>
    </xf>
    <xf numFmtId="0" fontId="68" fillId="5" borderId="30" applyAlignment="1" pivotButton="0" quotePrefix="0" xfId="0">
      <alignment horizontal="center" vertical="center"/>
    </xf>
    <xf numFmtId="0" fontId="68" fillId="5" borderId="31" applyAlignment="1" pivotButton="0" quotePrefix="0" xfId="0">
      <alignment horizontal="center" vertical="center"/>
    </xf>
    <xf numFmtId="0" fontId="68" fillId="5" borderId="32" applyAlignment="1" pivotButton="0" quotePrefix="0" xfId="0">
      <alignment horizontal="center" vertical="center"/>
    </xf>
    <xf numFmtId="0" fontId="69" fillId="0" borderId="1" applyAlignment="1" pivotButton="0" quotePrefix="0" xfId="0">
      <alignment horizontal="center"/>
    </xf>
    <xf numFmtId="0" fontId="58" fillId="26" borderId="9" applyAlignment="1" pivotButton="0" quotePrefix="0" xfId="0">
      <alignment horizontal="center"/>
    </xf>
    <xf numFmtId="0" fontId="58" fillId="26" borderId="0" applyAlignment="1" pivotButton="0" quotePrefix="0" xfId="0">
      <alignment horizontal="center"/>
    </xf>
    <xf numFmtId="0" fontId="25" fillId="26" borderId="0" applyAlignment="1" pivotButton="0" quotePrefix="0" xfId="0">
      <alignment horizontal="center"/>
    </xf>
    <xf numFmtId="0" fontId="25" fillId="2" borderId="0" applyAlignment="1" pivotButton="0" quotePrefix="0" xfId="0">
      <alignment horizontal="center"/>
    </xf>
    <xf numFmtId="0" fontId="59" fillId="17" borderId="9" applyAlignment="1" pivotButton="0" quotePrefix="0" xfId="0">
      <alignment horizontal="center"/>
    </xf>
    <xf numFmtId="0" fontId="59" fillId="17" borderId="0" applyAlignment="1" pivotButton="0" quotePrefix="0" xfId="0">
      <alignment horizontal="center"/>
    </xf>
    <xf numFmtId="0" fontId="13" fillId="26" borderId="0" applyAlignment="1" pivotButton="0" quotePrefix="0" xfId="0">
      <alignment horizontal="center" vertical="center"/>
    </xf>
    <xf numFmtId="0" fontId="13" fillId="26" borderId="3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25" fillId="2" borderId="25" applyAlignment="1" pivotButton="0" quotePrefix="0" xfId="0">
      <alignment horizontal="center"/>
    </xf>
    <xf numFmtId="0" fontId="58" fillId="26" borderId="9" applyAlignment="1" pivotButton="0" quotePrefix="0" xfId="0">
      <alignment horizontal="center" vertical="center"/>
    </xf>
    <xf numFmtId="0" fontId="58" fillId="26" borderId="0" applyAlignment="1" pivotButton="0" quotePrefix="0" xfId="0">
      <alignment horizontal="center" vertical="center"/>
    </xf>
    <xf numFmtId="0" fontId="37" fillId="0" borderId="6" applyAlignment="1" pivotButton="0" quotePrefix="0" xfId="0">
      <alignment horizontal="center"/>
    </xf>
    <xf numFmtId="0" fontId="37" fillId="0" borderId="9" applyAlignment="1" pivotButton="0" quotePrefix="0" xfId="0">
      <alignment horizontal="center"/>
    </xf>
    <xf numFmtId="175" fontId="23" fillId="0" borderId="0" pivotButton="0" quotePrefix="0" xfId="7"/>
    <xf numFmtId="176" fontId="22" fillId="0" borderId="0" pivotButton="0" quotePrefix="0" xfId="7"/>
    <xf numFmtId="183" fontId="22" fillId="0" borderId="0" pivotButton="0" quotePrefix="0" xfId="11"/>
    <xf numFmtId="175" fontId="39" fillId="0" borderId="0" pivotButton="0" quotePrefix="0" xfId="7"/>
    <xf numFmtId="176" fontId="39" fillId="0" borderId="0" pivotButton="0" quotePrefix="0" xfId="7"/>
    <xf numFmtId="176" fontId="23" fillId="0" borderId="0" pivotButton="0" quotePrefix="0" xfId="7"/>
    <xf numFmtId="178" fontId="28" fillId="0" borderId="0" applyAlignment="1" pivotButton="0" quotePrefix="0" xfId="7">
      <alignment horizontal="right" indent="1"/>
    </xf>
    <xf numFmtId="178" fontId="28" fillId="0" borderId="0" applyAlignment="1" pivotButton="0" quotePrefix="0" xfId="13">
      <alignment horizontal="right" indent="1"/>
    </xf>
    <xf numFmtId="179" fontId="24" fillId="0" borderId="0" applyAlignment="1" pivotButton="0" quotePrefix="0" xfId="12">
      <alignment horizontal="right" indent="1"/>
    </xf>
    <xf numFmtId="179" fontId="24" fillId="0" borderId="10" applyAlignment="1" pivotButton="0" quotePrefix="0" xfId="7">
      <alignment horizontal="right" indent="1"/>
    </xf>
    <xf numFmtId="175" fontId="28" fillId="0" borderId="0" pivotButton="0" quotePrefix="0" xfId="7"/>
    <xf numFmtId="176" fontId="28" fillId="0" borderId="0" pivotButton="0" quotePrefix="0" xfId="7"/>
    <xf numFmtId="180" fontId="28" fillId="0" borderId="0" applyAlignment="1" pivotButton="0" quotePrefix="0" xfId="13">
      <alignment horizontal="right" indent="1"/>
    </xf>
    <xf numFmtId="180" fontId="28" fillId="0" borderId="0" applyAlignment="1" pivotButton="0" quotePrefix="0" xfId="7">
      <alignment horizontal="right" indent="1"/>
    </xf>
    <xf numFmtId="180" fontId="28" fillId="0" borderId="0" applyAlignment="1" pivotButton="0" quotePrefix="0" xfId="12">
      <alignment horizontal="right" indent="1"/>
    </xf>
    <xf numFmtId="181" fontId="40" fillId="0" borderId="43" applyAlignment="1" pivotButton="0" quotePrefix="0" xfId="7">
      <alignment horizontal="right" indent="1"/>
    </xf>
    <xf numFmtId="181" fontId="40" fillId="0" borderId="0" applyAlignment="1" pivotButton="0" quotePrefix="0" xfId="7">
      <alignment horizontal="right" indent="1"/>
    </xf>
    <xf numFmtId="43" fontId="42" fillId="0" borderId="0" applyAlignment="1" pivotButton="0" quotePrefix="0" xfId="7">
      <alignment horizontal="right" indent="1"/>
    </xf>
    <xf numFmtId="43" fontId="28" fillId="0" borderId="0" applyAlignment="1" pivotButton="0" quotePrefix="0" xfId="7">
      <alignment horizontal="right" indent="1"/>
    </xf>
    <xf numFmtId="43" fontId="22" fillId="0" borderId="0" applyAlignment="1" pivotButton="0" quotePrefix="0" xfId="7">
      <alignment horizontal="right" indent="1"/>
    </xf>
    <xf numFmtId="182" fontId="40" fillId="0" borderId="43" applyAlignment="1" pivotButton="0" quotePrefix="0" xfId="11">
      <alignment horizontal="right" indent="1"/>
    </xf>
    <xf numFmtId="183" fontId="40" fillId="0" borderId="43" applyAlignment="1" pivotButton="0" quotePrefix="0" xfId="11">
      <alignment horizontal="right" indent="1"/>
    </xf>
    <xf numFmtId="180" fontId="42" fillId="0" borderId="0" applyAlignment="1" pivotButton="0" quotePrefix="0" xfId="7">
      <alignment horizontal="right" indent="1"/>
    </xf>
    <xf numFmtId="0" fontId="24" fillId="0" borderId="0" applyAlignment="1" pivotButton="0" quotePrefix="0" xfId="0">
      <alignment wrapText="1"/>
    </xf>
    <xf numFmtId="184" fontId="28" fillId="0" borderId="0" applyAlignment="1" pivotButton="0" quotePrefix="0" xfId="7">
      <alignment horizontal="right" indent="1"/>
    </xf>
    <xf numFmtId="184" fontId="28" fillId="0" borderId="0" applyAlignment="1" pivotButton="0" quotePrefix="0" xfId="12">
      <alignment horizontal="right" indent="1"/>
    </xf>
    <xf numFmtId="183" fontId="23" fillId="0" borderId="0" pivotButton="0" quotePrefix="0" xfId="7"/>
    <xf numFmtId="43" fontId="28" fillId="0" borderId="0" applyAlignment="1" pivotButton="0" quotePrefix="0" xfId="13">
      <alignment horizontal="right" indent="1"/>
    </xf>
    <xf numFmtId="43" fontId="22" fillId="0" borderId="0" applyAlignment="1" pivotButton="0" quotePrefix="0" xfId="13">
      <alignment horizontal="right" indent="1"/>
    </xf>
    <xf numFmtId="185" fontId="40" fillId="0" borderId="43" applyAlignment="1" pivotButton="0" quotePrefix="0" xfId="13">
      <alignment horizontal="right" indent="1"/>
    </xf>
    <xf numFmtId="191" fontId="39" fillId="0" borderId="0" applyAlignment="1" pivotButton="0" quotePrefix="0" xfId="13">
      <alignment horizontal="center"/>
    </xf>
    <xf numFmtId="178" fontId="22" fillId="0" borderId="0" applyAlignment="1" pivotButton="0" quotePrefix="0" xfId="13">
      <alignment horizontal="right" indent="1"/>
    </xf>
    <xf numFmtId="43" fontId="42" fillId="0" borderId="0" applyAlignment="1" pivotButton="0" quotePrefix="0" xfId="13">
      <alignment horizontal="right" indent="1"/>
    </xf>
    <xf numFmtId="185" fontId="40" fillId="0" borderId="27" applyAlignment="1" pivotButton="0" quotePrefix="0" xfId="13">
      <alignment horizontal="right" indent="1"/>
    </xf>
    <xf numFmtId="43" fontId="22" fillId="0" borderId="0" applyAlignment="1" pivotButton="0" quotePrefix="0" xfId="13">
      <alignment horizontal="left"/>
    </xf>
    <xf numFmtId="179" fontId="40" fillId="0" borderId="43" applyAlignment="1" pivotButton="0" quotePrefix="0" xfId="12">
      <alignment horizontal="right" indent="1"/>
    </xf>
    <xf numFmtId="185" fontId="22" fillId="0" borderId="0" applyAlignment="1" pivotButton="0" quotePrefix="0" xfId="7">
      <alignment horizontal="right" indent="1"/>
    </xf>
    <xf numFmtId="179" fontId="40" fillId="0" borderId="0" applyAlignment="1" pivotButton="0" quotePrefix="0" xfId="12">
      <alignment horizontal="right" indent="1"/>
    </xf>
    <xf numFmtId="179" fontId="42" fillId="0" borderId="0" applyAlignment="1" pivotButton="0" quotePrefix="0" xfId="12">
      <alignment horizontal="right" indent="1"/>
    </xf>
    <xf numFmtId="178" fontId="44" fillId="0" borderId="0" applyAlignment="1" pivotButton="0" quotePrefix="0" xfId="7">
      <alignment horizontal="right" indent="1"/>
    </xf>
    <xf numFmtId="178" fontId="22" fillId="0" borderId="0" applyAlignment="1" pivotButton="0" quotePrefix="0" xfId="7">
      <alignment horizontal="right" indent="1"/>
    </xf>
    <xf numFmtId="186" fontId="40" fillId="0" borderId="43" applyAlignment="1" pivotButton="0" quotePrefix="0" xfId="11">
      <alignment horizontal="right" indent="1"/>
    </xf>
    <xf numFmtId="187" fontId="28" fillId="0" borderId="0" applyAlignment="1" pivotButton="0" quotePrefix="0" xfId="7">
      <alignment horizontal="right" indent="1"/>
    </xf>
    <xf numFmtId="187" fontId="28" fillId="0" borderId="0" applyAlignment="1" pivotButton="0" quotePrefix="0" xfId="13">
      <alignment horizontal="right" indent="1"/>
    </xf>
    <xf numFmtId="164" fontId="42" fillId="0" borderId="0" applyAlignment="1" pivotButton="0" quotePrefix="0" xfId="2">
      <alignment horizontal="right" indent="1"/>
    </xf>
    <xf numFmtId="195" fontId="22" fillId="0" borderId="0" applyAlignment="1" pivotButton="0" quotePrefix="0" xfId="7">
      <alignment horizontal="right" indent="1"/>
    </xf>
    <xf numFmtId="183" fontId="22" fillId="0" borderId="0" applyAlignment="1" pivotButton="0" quotePrefix="0" xfId="11">
      <alignment horizontal="center"/>
    </xf>
    <xf numFmtId="183" fontId="0" fillId="0" borderId="0" pivotButton="0" quotePrefix="0" xfId="11"/>
    <xf numFmtId="179" fontId="0" fillId="0" borderId="0" applyAlignment="1" pivotButton="0" quotePrefix="0" xfId="12">
      <alignment horizontal="right" indent="1"/>
    </xf>
    <xf numFmtId="188" fontId="0" fillId="0" borderId="0" pivotButton="0" quotePrefix="0" xfId="11"/>
    <xf numFmtId="179" fontId="0" fillId="0" borderId="0" pivotButton="0" quotePrefix="0" xfId="12"/>
    <xf numFmtId="184" fontId="43" fillId="0" borderId="0" applyAlignment="1" pivotButton="0" quotePrefix="0" xfId="12">
      <alignment horizontal="left"/>
    </xf>
    <xf numFmtId="189" fontId="43" fillId="0" borderId="10" applyAlignment="1" pivotButton="0" quotePrefix="0" xfId="7">
      <alignment horizontal="left"/>
    </xf>
    <xf numFmtId="190" fontId="43" fillId="0" borderId="0" applyAlignment="1" pivotButton="0" quotePrefix="0" xfId="13">
      <alignment horizontal="left"/>
    </xf>
    <xf numFmtId="191" fontId="43" fillId="0" borderId="0" applyAlignment="1" pivotButton="0" quotePrefix="0" xfId="12">
      <alignment horizontal="left"/>
    </xf>
    <xf numFmtId="179" fontId="0" fillId="0" borderId="31" applyAlignment="1" pivotButton="0" quotePrefix="0" xfId="12">
      <alignment horizontal="right" indent="1"/>
    </xf>
    <xf numFmtId="178" fontId="0" fillId="0" borderId="0" pivotButton="0" quotePrefix="0" xfId="13"/>
    <xf numFmtId="43" fontId="0" fillId="0" borderId="0" pivotButton="0" quotePrefix="0" xfId="13"/>
    <xf numFmtId="179" fontId="2" fillId="0" borderId="0" applyAlignment="1" pivotButton="0" quotePrefix="0" xfId="12">
      <alignment horizontal="right" indent="1"/>
    </xf>
    <xf numFmtId="188" fontId="2" fillId="0" borderId="0" pivotButton="0" quotePrefix="0" xfId="11"/>
    <xf numFmtId="179" fontId="2" fillId="0" borderId="0" pivotButton="0" quotePrefix="0" xfId="12"/>
    <xf numFmtId="196" fontId="23" fillId="0" borderId="0" applyAlignment="1" pivotButton="0" quotePrefix="0" xfId="7">
      <alignment horizontal="right" indent="1"/>
    </xf>
    <xf numFmtId="192" fontId="0" fillId="0" borderId="0" applyAlignment="1" pivotButton="0" quotePrefix="0" xfId="12">
      <alignment horizontal="right" indent="1"/>
    </xf>
    <xf numFmtId="174" fontId="23" fillId="0" borderId="0" applyAlignment="1" pivotButton="0" quotePrefix="0" xfId="7">
      <alignment horizontal="right" indent="1"/>
    </xf>
    <xf numFmtId="174" fontId="28" fillId="0" borderId="0" applyAlignment="1" pivotButton="0" quotePrefix="0" xfId="7">
      <alignment horizontal="right" indent="1"/>
    </xf>
    <xf numFmtId="179" fontId="0" fillId="0" borderId="10" applyAlignment="1" pivotButton="0" quotePrefix="0" xfId="12">
      <alignment horizontal="center" wrapText="1"/>
    </xf>
    <xf numFmtId="179" fontId="1" fillId="0" borderId="10" applyAlignment="1" pivotButton="0" quotePrefix="0" xfId="0">
      <alignment horizontal="center" wrapText="1"/>
    </xf>
    <xf numFmtId="178" fontId="2" fillId="0" borderId="0" pivotButton="0" quotePrefix="0" xfId="13"/>
    <xf numFmtId="43" fontId="2" fillId="0" borderId="0" pivotButton="0" quotePrefix="0" xfId="13"/>
    <xf numFmtId="179" fontId="0" fillId="0" borderId="0" applyAlignment="1" pivotButton="0" quotePrefix="0" xfId="12">
      <alignment horizontal="center"/>
    </xf>
    <xf numFmtId="174" fontId="23" fillId="7" borderId="0" applyAlignment="1" pivotButton="0" quotePrefix="0" xfId="7">
      <alignment horizontal="right" indent="1"/>
    </xf>
    <xf numFmtId="174" fontId="22" fillId="0" borderId="0" pivotButton="0" quotePrefix="0" xfId="7"/>
    <xf numFmtId="179" fontId="12" fillId="0" borderId="0" pivotButton="0" quotePrefix="0" xfId="12"/>
    <xf numFmtId="174" fontId="22" fillId="0" borderId="0" applyAlignment="1" pivotButton="0" quotePrefix="0" xfId="7">
      <alignment horizontal="right" indent="1"/>
    </xf>
    <xf numFmtId="174" fontId="22" fillId="0" borderId="10" pivotButton="0" quotePrefix="0" xfId="7"/>
    <xf numFmtId="192" fontId="12" fillId="0" borderId="0" pivotButton="0" quotePrefix="0" xfId="12"/>
    <xf numFmtId="174" fontId="23" fillId="0" borderId="0" pivotButton="0" quotePrefix="0" xfId="7"/>
    <xf numFmtId="193" fontId="22" fillId="0" borderId="0" pivotButton="0" quotePrefix="0" xfId="7"/>
    <xf numFmtId="200" fontId="88" fillId="0" borderId="0" pivotButton="0" quotePrefix="0" xfId="0"/>
    <xf numFmtId="43" fontId="0" fillId="0" borderId="0" applyAlignment="1" pivotButton="0" quotePrefix="0" xfId="13">
      <alignment horizontal="right"/>
    </xf>
    <xf numFmtId="179" fontId="23" fillId="0" borderId="0" pivotButton="0" quotePrefix="0" xfId="7"/>
    <xf numFmtId="192" fontId="2" fillId="0" borderId="0" applyAlignment="1" pivotButton="0" quotePrefix="0" xfId="12">
      <alignment horizontal="right" indent="1"/>
    </xf>
    <xf numFmtId="184" fontId="46" fillId="0" borderId="0" applyAlignment="1" pivotButton="0" quotePrefix="0" xfId="0">
      <alignment vertical="center"/>
    </xf>
    <xf numFmtId="179" fontId="9" fillId="0" borderId="0" applyAlignment="1" pivotButton="0" quotePrefix="0" xfId="12">
      <alignment horizontal="right" indent="1"/>
    </xf>
    <xf numFmtId="188" fontId="48" fillId="0" borderId="0" pivotButton="0" quotePrefix="0" xfId="11"/>
    <xf numFmtId="177" fontId="49" fillId="0" borderId="0" applyAlignment="1" pivotButton="0" quotePrefix="0" xfId="0">
      <alignment horizontal="right"/>
    </xf>
    <xf numFmtId="177" fontId="47" fillId="0" borderId="0" applyAlignment="1" pivotButton="0" quotePrefix="0" xfId="0">
      <alignment horizontal="center"/>
    </xf>
    <xf numFmtId="174" fontId="23" fillId="5" borderId="0" applyAlignment="1" pivotButton="0" quotePrefix="0" xfId="7">
      <alignment horizontal="right" indent="1"/>
    </xf>
    <xf numFmtId="192" fontId="0" fillId="0" borderId="0" pivotButton="0" quotePrefix="0" xfId="12"/>
    <xf numFmtId="174" fontId="0" fillId="0" borderId="0" applyAlignment="1" pivotButton="0" quotePrefix="0" xfId="0">
      <alignment vertical="center"/>
    </xf>
    <xf numFmtId="178" fontId="48" fillId="0" borderId="0" pivotButton="0" quotePrefix="0" xfId="13"/>
    <xf numFmtId="43" fontId="48" fillId="0" borderId="0" pivotButton="0" quotePrefix="0" xfId="13"/>
    <xf numFmtId="174" fontId="23" fillId="0" borderId="31" applyAlignment="1" pivotButton="0" quotePrefix="0" xfId="7">
      <alignment horizontal="right" indent="1"/>
    </xf>
    <xf numFmtId="192" fontId="0" fillId="0" borderId="31" applyAlignment="1" pivotButton="0" quotePrefix="0" xfId="12">
      <alignment horizontal="right" indent="1"/>
    </xf>
    <xf numFmtId="179" fontId="25" fillId="0" borderId="0" applyAlignment="1" pivotButton="0" quotePrefix="0" xfId="12">
      <alignment horizontal="right" indent="1"/>
    </xf>
    <xf numFmtId="188" fontId="17" fillId="0" borderId="0" pivotButton="0" quotePrefix="0" xfId="11"/>
    <xf numFmtId="179" fontId="17" fillId="0" borderId="0" pivotButton="0" quotePrefix="0" xfId="12"/>
    <xf numFmtId="183" fontId="22" fillId="0" borderId="12" pivotButton="0" quotePrefix="0" xfId="11"/>
    <xf numFmtId="178" fontId="17" fillId="0" borderId="0" pivotButton="0" quotePrefix="0" xfId="13"/>
    <xf numFmtId="43" fontId="17" fillId="0" borderId="0" pivotButton="0" quotePrefix="0" xfId="13"/>
    <xf numFmtId="177" fontId="23" fillId="0" borderId="0" applyAlignment="1" pivotButton="0" quotePrefix="0" xfId="0">
      <alignment horizontal="center"/>
    </xf>
    <xf numFmtId="183" fontId="0" fillId="11" borderId="0" pivotButton="0" quotePrefix="0" xfId="11"/>
    <xf numFmtId="164" fontId="11" fillId="0" borderId="0" pivotButton="0" quotePrefix="0" xfId="2"/>
    <xf numFmtId="164" fontId="11" fillId="0" borderId="1" pivotButton="0" quotePrefix="0" xfId="2"/>
    <xf numFmtId="164" fontId="11" fillId="0" borderId="1" pivotButton="0" quotePrefix="0" xfId="0"/>
    <xf numFmtId="203" fontId="11" fillId="0" borderId="1" pivotButton="0" quotePrefix="0" xfId="2"/>
    <xf numFmtId="164" fontId="25" fillId="0" borderId="0" pivotButton="0" quotePrefix="0" xfId="2"/>
    <xf numFmtId="164" fontId="11" fillId="0" borderId="1" applyAlignment="1" pivotButton="0" quotePrefix="0" xfId="2">
      <alignment horizontal="center"/>
    </xf>
    <xf numFmtId="164" fontId="11" fillId="0" borderId="0" pivotButton="0" quotePrefix="0" xfId="0"/>
    <xf numFmtId="164" fontId="34" fillId="2" borderId="0" applyAlignment="1" pivotButton="0" quotePrefix="0" xfId="2">
      <alignment horizontal="center" vertical="center"/>
    </xf>
    <xf numFmtId="164" fontId="34" fillId="2" borderId="0" pivotButton="0" quotePrefix="0" xfId="2"/>
    <xf numFmtId="164" fontId="34" fillId="0" borderId="0" pivotButton="0" quotePrefix="0" xfId="2"/>
    <xf numFmtId="164" fontId="34" fillId="2" borderId="31" applyAlignment="1" pivotButton="0" quotePrefix="0" xfId="2">
      <alignment vertical="top"/>
    </xf>
    <xf numFmtId="164" fontId="34" fillId="2" borderId="31" applyAlignment="1" pivotButton="0" quotePrefix="0" xfId="0">
      <alignment vertical="top"/>
    </xf>
    <xf numFmtId="164" fontId="11" fillId="3" borderId="1" pivotButton="0" quotePrefix="0" xfId="2"/>
    <xf numFmtId="164" fontId="11" fillId="3" borderId="1" applyAlignment="1" pivotButton="0" quotePrefix="0" xfId="2">
      <alignment horizontal="center" vertical="center"/>
    </xf>
    <xf numFmtId="164" fontId="34" fillId="3" borderId="1" applyAlignment="1" pivotButton="0" quotePrefix="0" xfId="2">
      <alignment horizontal="center"/>
    </xf>
    <xf numFmtId="164" fontId="34" fillId="3" borderId="1" applyAlignment="1" pivotButton="0" quotePrefix="0" xfId="0">
      <alignment horizontal="center"/>
    </xf>
    <xf numFmtId="164" fontId="34" fillId="3" borderId="1" pivotButton="0" quotePrefix="0" xfId="2"/>
    <xf numFmtId="164" fontId="11" fillId="23" borderId="1" pivotButton="0" quotePrefix="0" xfId="2"/>
    <xf numFmtId="164" fontId="11" fillId="23" borderId="1" applyAlignment="1" pivotButton="0" quotePrefix="0" xfId="2">
      <alignment horizontal="center" vertical="center"/>
    </xf>
    <xf numFmtId="164" fontId="34" fillId="23" borderId="1" applyAlignment="1" pivotButton="0" quotePrefix="0" xfId="2">
      <alignment horizontal="center" vertical="center"/>
    </xf>
    <xf numFmtId="164" fontId="34" fillId="23" borderId="1" applyAlignment="1" pivotButton="0" quotePrefix="0" xfId="0">
      <alignment horizontal="center" vertical="center"/>
    </xf>
    <xf numFmtId="164" fontId="34" fillId="23" borderId="1" pivotButton="0" quotePrefix="0" xfId="2"/>
    <xf numFmtId="164" fontId="11" fillId="38" borderId="0" pivotButton="0" quotePrefix="0" xfId="2"/>
    <xf numFmtId="164" fontId="11" fillId="38" borderId="0" applyAlignment="1" pivotButton="0" quotePrefix="0" xfId="2">
      <alignment horizontal="center" vertical="center"/>
    </xf>
    <xf numFmtId="164" fontId="34" fillId="38" borderId="1" applyAlignment="1" pivotButton="0" quotePrefix="0" xfId="2">
      <alignment horizontal="center"/>
    </xf>
    <xf numFmtId="164" fontId="34" fillId="38" borderId="1" applyAlignment="1" pivotButton="0" quotePrefix="0" xfId="0">
      <alignment horizontal="center"/>
    </xf>
    <xf numFmtId="164" fontId="34" fillId="38" borderId="5" pivotButton="0" quotePrefix="0" xfId="2"/>
    <xf numFmtId="164" fontId="11" fillId="30" borderId="0" pivotButton="0" quotePrefix="0" xfId="2"/>
    <xf numFmtId="164" fontId="11" fillId="30" borderId="0" applyAlignment="1" pivotButton="0" quotePrefix="0" xfId="2">
      <alignment horizontal="center" vertical="center"/>
    </xf>
    <xf numFmtId="173" fontId="11" fillId="30" borderId="1" applyAlignment="1" pivotButton="0" quotePrefix="0" xfId="0">
      <alignment horizontal="right"/>
    </xf>
    <xf numFmtId="164" fontId="23" fillId="30" borderId="0" applyAlignment="1" pivotButton="0" quotePrefix="0" xfId="2">
      <alignment horizontal="right" indent="1"/>
    </xf>
    <xf numFmtId="164" fontId="22" fillId="30" borderId="0" applyAlignment="1" pivotButton="0" quotePrefix="0" xfId="2">
      <alignment horizontal="right" indent="1"/>
    </xf>
    <xf numFmtId="173" fontId="34" fillId="39" borderId="1" applyAlignment="1" pivotButton="0" quotePrefix="0" xfId="0">
      <alignment horizontal="right"/>
    </xf>
    <xf numFmtId="164" fontId="34" fillId="39" borderId="0" pivotButton="0" quotePrefix="0" xfId="2"/>
    <xf numFmtId="164" fontId="0" fillId="0" borderId="10" pivotButton="0" quotePrefix="0" xfId="2"/>
    <xf numFmtId="164" fontId="34" fillId="9" borderId="0" pivotButton="0" quotePrefix="0" xfId="2"/>
    <xf numFmtId="174" fontId="35" fillId="0" borderId="0" applyAlignment="1" pivotButton="0" quotePrefix="0" xfId="7">
      <alignment horizontal="right" indent="1"/>
    </xf>
    <xf numFmtId="164" fontId="11" fillId="7" borderId="0" applyAlignment="1" pivotButton="0" quotePrefix="0" xfId="0">
      <alignment horizontal="center"/>
    </xf>
    <xf numFmtId="164" fontId="11" fillId="7" borderId="0" pivotButton="0" quotePrefix="0" xfId="0"/>
    <xf numFmtId="164" fontId="11" fillId="0" borderId="0" applyAlignment="1" pivotButton="0" quotePrefix="0" xfId="0">
      <alignment horizontal="center"/>
    </xf>
    <xf numFmtId="164" fontId="11" fillId="44" borderId="24" applyAlignment="1" pivotButton="0" quotePrefix="0" xfId="0">
      <alignment horizontal="center"/>
    </xf>
    <xf numFmtId="164" fontId="11" fillId="44" borderId="0" pivotButton="0" quotePrefix="0" xfId="0"/>
    <xf numFmtId="171" fontId="11" fillId="3" borderId="5" pivotButton="0" quotePrefix="0" xfId="1"/>
    <xf numFmtId="171" fontId="11" fillId="0" borderId="0" pivotButton="0" quotePrefix="0" xfId="1"/>
    <xf numFmtId="171" fontId="11" fillId="29" borderId="1" pivotButton="0" quotePrefix="0" xfId="1"/>
    <xf numFmtId="171" fontId="11" fillId="29" borderId="1" pivotButton="0" quotePrefix="0" xfId="0"/>
    <xf numFmtId="164" fontId="11" fillId="6" borderId="1" pivotButton="0" quotePrefix="0" xfId="2"/>
    <xf numFmtId="171" fontId="11" fillId="3" borderId="1" pivotButton="0" quotePrefix="0" xfId="1"/>
    <xf numFmtId="171" fontId="11" fillId="2" borderId="1" pivotButton="0" quotePrefix="0" xfId="0"/>
    <xf numFmtId="194" fontId="11" fillId="6" borderId="1" pivotButton="0" quotePrefix="0" xfId="1"/>
    <xf numFmtId="164" fontId="11" fillId="6" borderId="1" applyAlignment="1" pivotButton="0" quotePrefix="0" xfId="2">
      <alignment vertical="top"/>
    </xf>
    <xf numFmtId="164" fontId="11" fillId="2" borderId="0" pivotButton="0" quotePrefix="0" xfId="0"/>
    <xf numFmtId="164" fontId="0" fillId="0" borderId="0" pivotButton="0" quotePrefix="0" xfId="2"/>
    <xf numFmtId="164" fontId="4" fillId="0" borderId="0" pivotButton="0" quotePrefix="0" xfId="2"/>
    <xf numFmtId="164" fontId="34" fillId="2" borderId="15" applyAlignment="1" pivotButton="0" quotePrefix="0" xfId="2">
      <alignment horizontal="center"/>
    </xf>
    <xf numFmtId="164" fontId="63" fillId="21" borderId="0" applyAlignment="1" pivotButton="0" quotePrefix="0" xfId="2">
      <alignment horizontal="center"/>
    </xf>
    <xf numFmtId="164" fontId="57" fillId="0" borderId="1" applyAlignment="1" pivotButton="0" quotePrefix="0" xfId="2">
      <alignment horizontal="center" vertical="center"/>
    </xf>
    <xf numFmtId="164" fontId="57" fillId="0" borderId="1" applyAlignment="1" pivotButton="0" quotePrefix="0" xfId="2">
      <alignment horizontal="center"/>
    </xf>
    <xf numFmtId="164" fontId="57" fillId="0" borderId="1" pivotButton="0" quotePrefix="0" xfId="2"/>
    <xf numFmtId="164" fontId="57" fillId="0" borderId="2" applyAlignment="1" pivotButton="0" quotePrefix="0" xfId="2">
      <alignment horizontal="center"/>
    </xf>
    <xf numFmtId="164" fontId="73" fillId="0" borderId="15" applyAlignment="1" pivotButton="0" quotePrefix="0" xfId="2">
      <alignment horizontal="center"/>
    </xf>
    <xf numFmtId="164" fontId="63" fillId="0" borderId="0" applyAlignment="1" pivotButton="0" quotePrefix="0" xfId="2">
      <alignment horizontal="center"/>
    </xf>
    <xf numFmtId="164" fontId="57" fillId="0" borderId="0" pivotButton="0" quotePrefix="0" xfId="2"/>
    <xf numFmtId="164" fontId="57" fillId="5" borderId="2" applyAlignment="1" pivotButton="0" quotePrefix="0" xfId="2">
      <alignment horizontal="center"/>
    </xf>
    <xf numFmtId="164" fontId="57" fillId="5" borderId="1" applyAlignment="1" pivotButton="0" quotePrefix="0" xfId="2">
      <alignment horizontal="center"/>
    </xf>
    <xf numFmtId="164" fontId="57" fillId="0" borderId="3" applyAlignment="1" pivotButton="0" quotePrefix="0" xfId="2">
      <alignment horizontal="center"/>
    </xf>
    <xf numFmtId="164" fontId="57" fillId="0" borderId="5" applyAlignment="1" pivotButton="0" quotePrefix="0" xfId="2">
      <alignment horizontal="center"/>
    </xf>
    <xf numFmtId="164" fontId="15" fillId="0" borderId="0" pivotButton="0" quotePrefix="0" xfId="0"/>
    <xf numFmtId="164" fontId="0" fillId="0" borderId="0" applyAlignment="1" pivotButton="0" quotePrefix="0" xfId="2">
      <alignment horizontal="center"/>
    </xf>
    <xf numFmtId="171" fontId="11" fillId="0" borderId="1" pivotButton="0" quotePrefix="0" xfId="1"/>
    <xf numFmtId="0" fontId="1" fillId="0" borderId="18" applyAlignment="1" pivotButton="0" quotePrefix="0" xfId="0">
      <alignment horizontal="center" wrapText="1"/>
    </xf>
    <xf numFmtId="164" fontId="0" fillId="0" borderId="1" applyAlignment="1" pivotButton="0" quotePrefix="0" xfId="2">
      <alignment horizontal="center" vertical="center"/>
    </xf>
    <xf numFmtId="0" fontId="74" fillId="12" borderId="48" applyAlignment="1" pivotButton="0" quotePrefix="0" xfId="0">
      <alignment horizontal="center"/>
    </xf>
    <xf numFmtId="164" fontId="11" fillId="2" borderId="2" applyAlignment="1" pivotButton="0" quotePrefix="0" xfId="2">
      <alignment horizontal="center"/>
    </xf>
    <xf numFmtId="197" fontId="8" fillId="5" borderId="1" applyAlignment="1" pivotButton="0" quotePrefix="0" xfId="0">
      <alignment horizontal="right"/>
    </xf>
    <xf numFmtId="197" fontId="8" fillId="2" borderId="1" applyAlignment="1" pivotButton="0" quotePrefix="0" xfId="0">
      <alignment horizontal="right"/>
    </xf>
    <xf numFmtId="197" fontId="7" fillId="5" borderId="1" applyAlignment="1" pivotButton="0" quotePrefix="0" xfId="0">
      <alignment horizontal="right"/>
    </xf>
    <xf numFmtId="197" fontId="7" fillId="2" borderId="1" applyAlignment="1" pivotButton="0" quotePrefix="0" xfId="0">
      <alignment horizontal="right"/>
    </xf>
    <xf numFmtId="197" fontId="7" fillId="5" borderId="4" applyAlignment="1" pivotButton="0" quotePrefix="0" xfId="0">
      <alignment horizontal="right"/>
    </xf>
    <xf numFmtId="197" fontId="7" fillId="5" borderId="5" applyAlignment="1" pivotButton="0" quotePrefix="0" xfId="0">
      <alignment horizontal="right"/>
    </xf>
    <xf numFmtId="197" fontId="7" fillId="0" borderId="1" applyAlignment="1" pivotButton="0" quotePrefix="0" xfId="0">
      <alignment horizontal="right"/>
    </xf>
    <xf numFmtId="0" fontId="60" fillId="5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center"/>
    </xf>
    <xf numFmtId="197" fontId="0" fillId="11" borderId="0" pivotButton="0" quotePrefix="0" xfId="0"/>
    <xf numFmtId="164" fontId="0" fillId="2" borderId="20" pivotButton="0" quotePrefix="0" xfId="2"/>
    <xf numFmtId="0" fontId="2" fillId="5" borderId="4" applyAlignment="1" pivotButton="0" quotePrefix="0" xfId="0">
      <alignment horizontal="left"/>
    </xf>
    <xf numFmtId="164" fontId="1" fillId="5" borderId="0" applyAlignment="1" pivotButton="0" quotePrefix="0" xfId="2">
      <alignment horizontal="center"/>
    </xf>
    <xf numFmtId="164" fontId="0" fillId="5" borderId="0" applyAlignment="1" pivotButton="0" quotePrefix="0" xfId="2">
      <alignment horizontal="center"/>
    </xf>
    <xf numFmtId="164" fontId="1" fillId="5" borderId="0" applyAlignment="1" pivotButton="0" quotePrefix="0" xfId="0">
      <alignment horizontal="center"/>
    </xf>
    <xf numFmtId="164" fontId="0" fillId="5" borderId="0" pivotButton="0" quotePrefix="0" xfId="2"/>
    <xf numFmtId="164" fontId="0" fillId="9" borderId="0" pivotButton="0" quotePrefix="0" xfId="0"/>
    <xf numFmtId="164" fontId="0" fillId="2" borderId="24" pivotButton="0" quotePrefix="0" xfId="2"/>
    <xf numFmtId="164" fontId="0" fillId="2" borderId="23" pivotButton="0" quotePrefix="0" xfId="2"/>
    <xf numFmtId="164" fontId="0" fillId="5" borderId="8" pivotButton="0" quotePrefix="0" xfId="2"/>
    <xf numFmtId="164" fontId="0" fillId="5" borderId="10" pivotButton="0" quotePrefix="0" xfId="2"/>
    <xf numFmtId="0" fontId="1" fillId="5" borderId="0" applyAlignment="1" pivotButton="0" quotePrefix="0" xfId="0">
      <alignment horizontal="center"/>
    </xf>
    <xf numFmtId="164" fontId="0" fillId="0" borderId="0" pivotButton="0" quotePrefix="0" xfId="0"/>
    <xf numFmtId="171" fontId="0" fillId="0" borderId="1" pivotButton="0" quotePrefix="0" xfId="1"/>
    <xf numFmtId="164" fontId="0" fillId="0" borderId="20" pivotButton="0" quotePrefix="0" xfId="0"/>
    <xf numFmtId="164" fontId="0" fillId="0" borderId="1" pivotButton="0" quotePrefix="0" xfId="2"/>
    <xf numFmtId="164" fontId="0" fillId="5" borderId="23" pivotButton="0" quotePrefix="0" xfId="2"/>
    <xf numFmtId="164" fontId="1" fillId="5" borderId="24" pivotButton="0" quotePrefix="0" xfId="2"/>
    <xf numFmtId="199" fontId="1" fillId="5" borderId="24" pivotButton="0" quotePrefix="0" xfId="2"/>
    <xf numFmtId="199" fontId="1" fillId="0" borderId="24" pivotButton="0" quotePrefix="0" xfId="2"/>
    <xf numFmtId="164" fontId="0" fillId="2" borderId="32" pivotButton="0" quotePrefix="0" xfId="2"/>
    <xf numFmtId="164" fontId="0" fillId="2" borderId="13" pivotButton="0" quotePrefix="0" xfId="2"/>
    <xf numFmtId="164" fontId="2" fillId="2" borderId="24" pivotButton="0" quotePrefix="0" xfId="2"/>
    <xf numFmtId="164" fontId="12" fillId="5" borderId="10" pivotButton="0" quotePrefix="0" xfId="2"/>
    <xf numFmtId="0" fontId="2" fillId="5" borderId="29" applyAlignment="1" pivotButton="0" quotePrefix="0" xfId="0">
      <alignment horizontal="left"/>
    </xf>
    <xf numFmtId="164" fontId="3" fillId="7" borderId="1" pivotButton="0" quotePrefix="0" xfId="2"/>
    <xf numFmtId="164" fontId="0" fillId="2" borderId="28" pivotButton="0" quotePrefix="0" xfId="2"/>
    <xf numFmtId="0" fontId="1" fillId="0" borderId="0" applyAlignment="1" pivotButton="0" quotePrefix="0" xfId="0">
      <alignment horizontal="center"/>
    </xf>
    <xf numFmtId="164" fontId="27" fillId="22" borderId="4" applyAlignment="1" applyProtection="1" pivotButton="0" quotePrefix="0" xfId="2">
      <alignment vertical="center"/>
      <protection locked="0" hidden="0"/>
    </xf>
    <xf numFmtId="164" fontId="27" fillId="22" borderId="4" applyAlignment="1" applyProtection="1" pivotButton="0" quotePrefix="0" xfId="2">
      <alignment vertical="center" wrapText="1"/>
      <protection locked="0" hidden="0"/>
    </xf>
    <xf numFmtId="164" fontId="11" fillId="15" borderId="1" pivotButton="0" quotePrefix="0" xfId="2"/>
    <xf numFmtId="164" fontId="23" fillId="15" borderId="1" applyAlignment="1" applyProtection="1" pivotButton="0" quotePrefix="0" xfId="2">
      <alignment vertical="top"/>
      <protection locked="0" hidden="0"/>
    </xf>
    <xf numFmtId="164" fontId="11" fillId="15" borderId="1" pivotButton="0" quotePrefix="0" xfId="0"/>
    <xf numFmtId="164" fontId="34" fillId="0" borderId="1" pivotButton="0" quotePrefix="0" xfId="2"/>
    <xf numFmtId="164" fontId="11" fillId="22" borderId="1" pivotButton="0" quotePrefix="0" xfId="2"/>
    <xf numFmtId="164" fontId="23" fillId="22" borderId="1" applyAlignment="1" applyProtection="1" pivotButton="0" quotePrefix="0" xfId="2">
      <alignment vertical="top"/>
      <protection locked="0" hidden="0"/>
    </xf>
    <xf numFmtId="164" fontId="11" fillId="22" borderId="1" pivotButton="0" quotePrefix="0" xfId="0"/>
    <xf numFmtId="164" fontId="11" fillId="22" borderId="4" pivotButton="0" quotePrefix="0" xfId="0"/>
    <xf numFmtId="164" fontId="0" fillId="0" borderId="0" applyAlignment="1" pivotButton="0" quotePrefix="0" xfId="0">
      <alignment wrapText="1"/>
    </xf>
    <xf numFmtId="171" fontId="0" fillId="0" borderId="0" pivotButton="0" quotePrefix="0" xfId="1"/>
    <xf numFmtId="172" fontId="1" fillId="11" borderId="0" applyAlignment="1" pivotButton="0" quotePrefix="0" xfId="0">
      <alignment horizontal="center"/>
    </xf>
    <xf numFmtId="0" fontId="2" fillId="0" borderId="29" applyAlignment="1" pivotButton="0" quotePrefix="0" xfId="0">
      <alignment horizontal="center"/>
    </xf>
    <xf numFmtId="164" fontId="32" fillId="4" borderId="22" applyAlignment="1" pivotButton="0" quotePrefix="0" xfId="2">
      <alignment horizontal="center"/>
    </xf>
    <xf numFmtId="164" fontId="12" fillId="2" borderId="24" pivotButton="0" quotePrefix="0" xfId="2"/>
    <xf numFmtId="164" fontId="33" fillId="4" borderId="24" pivotButton="0" quotePrefix="0" xfId="2"/>
    <xf numFmtId="164" fontId="33" fillId="4" borderId="33" pivotButton="0" quotePrefix="0" xfId="2"/>
    <xf numFmtId="164" fontId="0" fillId="5" borderId="13" pivotButton="0" quotePrefix="0" xfId="0"/>
    <xf numFmtId="164" fontId="0" fillId="0" borderId="10" pivotButton="0" quotePrefix="0" xfId="0"/>
    <xf numFmtId="164" fontId="0" fillId="40" borderId="1" applyAlignment="1" pivotButton="0" quotePrefix="0" xfId="2">
      <alignment horizontal="center"/>
    </xf>
    <xf numFmtId="164" fontId="32" fillId="16" borderId="0" applyAlignment="1" pivotButton="0" quotePrefix="0" xfId="2">
      <alignment horizontal="center"/>
    </xf>
    <xf numFmtId="164" fontId="33" fillId="16" borderId="0" pivotButton="0" quotePrefix="0" xfId="0"/>
    <xf numFmtId="0" fontId="1" fillId="0" borderId="4" applyAlignment="1" pivotButton="0" quotePrefix="0" xfId="0">
      <alignment horizontal="center"/>
    </xf>
    <xf numFmtId="164" fontId="0" fillId="0" borderId="24" applyAlignment="1" pivotButton="0" quotePrefix="0" xfId="2">
      <alignment horizontal="center"/>
    </xf>
    <xf numFmtId="164" fontId="0" fillId="0" borderId="32" applyAlignment="1" pivotButton="0" quotePrefix="0" xfId="2">
      <alignment horizontal="center"/>
    </xf>
    <xf numFmtId="164" fontId="0" fillId="2" borderId="0" applyAlignment="1" pivotButton="0" quotePrefix="0" xfId="2">
      <alignment horizontal="center"/>
    </xf>
    <xf numFmtId="164" fontId="0" fillId="2" borderId="1" pivotButton="0" quotePrefix="0" xfId="2"/>
    <xf numFmtId="0" fontId="0" fillId="0" borderId="1" applyAlignment="1" pivotButton="0" quotePrefix="0" xfId="0">
      <alignment horizontal="left" wrapText="1" indent="1"/>
    </xf>
    <xf numFmtId="0" fontId="1" fillId="0" borderId="1" applyAlignment="1" pivotButton="0" quotePrefix="0" xfId="0">
      <alignment horizontal="left" wrapText="1" indent="1"/>
    </xf>
    <xf numFmtId="0" fontId="1" fillId="6" borderId="48" applyAlignment="1" pivotButton="0" quotePrefix="0" xfId="0">
      <alignment horizontal="center" vertical="center" wrapText="1"/>
    </xf>
    <xf numFmtId="171" fontId="0" fillId="0" borderId="0" applyAlignment="1" pivotButton="0" quotePrefix="0" xfId="1">
      <alignment horizontal="center" vertical="center"/>
    </xf>
    <xf numFmtId="0" fontId="1" fillId="0" borderId="9" pivotButton="0" quotePrefix="0" xfId="0"/>
    <xf numFmtId="0" fontId="1" fillId="6" borderId="14" applyAlignment="1" pivotButton="0" quotePrefix="0" xfId="0">
      <alignment horizontal="center" vertical="center" wrapText="1"/>
    </xf>
    <xf numFmtId="0" fontId="1" fillId="6" borderId="38" applyAlignment="1" pivotButton="0" quotePrefix="0" xfId="0">
      <alignment horizontal="center" vertical="center" wrapText="1"/>
    </xf>
    <xf numFmtId="0" fontId="1" fillId="6" borderId="53" applyAlignment="1" pivotButton="0" quotePrefix="0" xfId="0">
      <alignment horizontal="center" vertical="center" wrapText="1"/>
    </xf>
    <xf numFmtId="0" fontId="1" fillId="2" borderId="53" applyAlignment="1" pivotButton="0" quotePrefix="0" xfId="0">
      <alignment horizontal="center" vertical="center" wrapText="1"/>
    </xf>
    <xf numFmtId="0" fontId="0" fillId="23" borderId="38" applyAlignment="1" pivotButton="0" quotePrefix="0" xfId="0">
      <alignment horizontal="center" vertical="center" wrapText="1"/>
    </xf>
    <xf numFmtId="0" fontId="1" fillId="23" borderId="38" applyAlignment="1" pivotButton="0" quotePrefix="0" xfId="0">
      <alignment horizontal="center" vertical="center" wrapText="1"/>
    </xf>
    <xf numFmtId="0" fontId="0" fillId="2" borderId="38" applyAlignment="1" pivotButton="0" quotePrefix="0" xfId="0">
      <alignment horizontal="center" vertical="center" wrapText="1"/>
    </xf>
    <xf numFmtId="0" fontId="1" fillId="2" borderId="38" applyAlignment="1" pivotButton="0" quotePrefix="0" xfId="0">
      <alignment horizontal="center" vertical="center" wrapText="1"/>
    </xf>
    <xf numFmtId="0" fontId="1" fillId="43" borderId="53" applyAlignment="1" pivotButton="0" quotePrefix="0" xfId="0">
      <alignment horizontal="center" vertical="center" wrapText="1"/>
    </xf>
    <xf numFmtId="0" fontId="0" fillId="11" borderId="65" applyAlignment="1" pivotButton="0" quotePrefix="0" xfId="0">
      <alignment horizontal="center" vertical="center" wrapText="1"/>
    </xf>
    <xf numFmtId="0" fontId="1" fillId="11" borderId="65" applyAlignment="1" pivotButton="0" quotePrefix="0" xfId="0">
      <alignment horizontal="center" vertical="center" wrapText="1"/>
    </xf>
    <xf numFmtId="178" fontId="8" fillId="0" borderId="0" pivotButton="0" quotePrefix="0" xfId="1"/>
    <xf numFmtId="178" fontId="8" fillId="0" borderId="1" pivotButton="0" quotePrefix="0" xfId="1"/>
    <xf numFmtId="204" fontId="93" fillId="0" borderId="0" applyAlignment="1" pivotButton="0" quotePrefix="0" xfId="0">
      <alignment horizontal="left" vertical="top" wrapText="1" readingOrder="1"/>
    </xf>
    <xf numFmtId="201" fontId="93" fillId="0" borderId="0" applyAlignment="1" pivotButton="0" quotePrefix="0" xfId="0">
      <alignment horizontal="right" vertical="top" wrapText="1" readingOrder="1"/>
    </xf>
    <xf numFmtId="202" fontId="94" fillId="0" borderId="59" applyAlignment="1" pivotButton="0" quotePrefix="0" xfId="0">
      <alignment horizontal="right" vertical="top" wrapText="1" readingOrder="1"/>
    </xf>
    <xf numFmtId="178" fontId="8" fillId="0" borderId="0" pivotButton="0" quotePrefix="0" xfId="0"/>
    <xf numFmtId="178" fontId="8" fillId="0" borderId="0" applyAlignment="1" pivotButton="0" quotePrefix="0" xfId="1">
      <alignment vertical="top"/>
    </xf>
    <xf numFmtId="201" fontId="93" fillId="0" borderId="61" applyAlignment="1" pivotButton="0" quotePrefix="0" xfId="0">
      <alignment horizontal="right" vertical="top" wrapText="1" readingOrder="1"/>
    </xf>
    <xf numFmtId="202" fontId="94" fillId="0" borderId="0" applyAlignment="1" pivotButton="0" quotePrefix="0" xfId="0">
      <alignment horizontal="right" vertical="top" wrapText="1" readingOrder="1"/>
    </xf>
    <xf numFmtId="171" fontId="95" fillId="0" borderId="26" pivotButton="0" quotePrefix="0" xfId="1"/>
    <xf numFmtId="178" fontId="96" fillId="14" borderId="1" pivotButton="0" quotePrefix="0" xfId="1"/>
    <xf numFmtId="178" fontId="8" fillId="0" borderId="20" pivotButton="0" quotePrefix="0" xfId="1"/>
    <xf numFmtId="178" fontId="8" fillId="0" borderId="5" pivotButton="0" quotePrefix="0" xfId="1"/>
    <xf numFmtId="178" fontId="95" fillId="14" borderId="1" pivotButton="0" quotePrefix="0" xfId="1"/>
    <xf numFmtId="178" fontId="8" fillId="8" borderId="0" pivotButton="0" quotePrefix="0" xfId="1"/>
    <xf numFmtId="164" fontId="0" fillId="5" borderId="1" pivotButton="0" quotePrefix="0" xfId="2"/>
    <xf numFmtId="164" fontId="1" fillId="0" borderId="1" pivotButton="0" quotePrefix="0" xfId="2"/>
    <xf numFmtId="164" fontId="2" fillId="0" borderId="1" pivotButton="0" quotePrefix="0" xfId="2"/>
    <xf numFmtId="164" fontId="0" fillId="12" borderId="0" pivotButton="0" quotePrefix="0" xfId="2"/>
    <xf numFmtId="164" fontId="0" fillId="0" borderId="5" pivotButton="0" quotePrefix="0" xfId="2"/>
    <xf numFmtId="164" fontId="0" fillId="5" borderId="5" pivotButton="0" quotePrefix="0" xfId="2"/>
    <xf numFmtId="164" fontId="12" fillId="5" borderId="1" pivotButton="0" quotePrefix="0" xfId="2"/>
    <xf numFmtId="164" fontId="2" fillId="5" borderId="1" pivotButton="0" quotePrefix="0" xfId="2"/>
    <xf numFmtId="164" fontId="2" fillId="0" borderId="0" pivotButton="0" quotePrefix="0" xfId="2"/>
    <xf numFmtId="164" fontId="2" fillId="8" borderId="0" pivotButton="0" quotePrefix="0" xfId="2"/>
    <xf numFmtId="164" fontId="53" fillId="26" borderId="1" applyAlignment="1" pivotButton="0" quotePrefix="0" xfId="0">
      <alignment horizontal="right"/>
    </xf>
    <xf numFmtId="164" fontId="54" fillId="26" borderId="1" applyAlignment="1" pivotButton="0" quotePrefix="0" xfId="0">
      <alignment horizontal="right"/>
    </xf>
    <xf numFmtId="0" fontId="55" fillId="26" borderId="1" applyAlignment="1" pivotButton="0" quotePrefix="0" xfId="0">
      <alignment horizontal="center" vertical="center"/>
    </xf>
    <xf numFmtId="164" fontId="0" fillId="7" borderId="1" pivotButton="0" quotePrefix="0" xfId="2"/>
    <xf numFmtId="164" fontId="82" fillId="0" borderId="1" applyAlignment="1" pivotButton="0" quotePrefix="0" xfId="2">
      <alignment vertical="top"/>
    </xf>
    <xf numFmtId="164" fontId="82" fillId="0" borderId="1" pivotButton="0" quotePrefix="0" xfId="0"/>
    <xf numFmtId="164" fontId="0" fillId="0" borderId="1" pivotButton="0" quotePrefix="0" xfId="0"/>
    <xf numFmtId="164" fontId="82" fillId="7" borderId="1" applyAlignment="1" pivotButton="0" quotePrefix="0" xfId="2">
      <alignment vertical="top"/>
    </xf>
    <xf numFmtId="164" fontId="82" fillId="7" borderId="1" pivotButton="0" quotePrefix="0" xfId="0"/>
    <xf numFmtId="199" fontId="0" fillId="0" borderId="1" pivotButton="0" quotePrefix="0" xfId="0"/>
    <xf numFmtId="199" fontId="86" fillId="35" borderId="56" pivotButton="0" quotePrefix="0" xfId="0"/>
    <xf numFmtId="199" fontId="86" fillId="35" borderId="15" pivotButton="0" quotePrefix="0" xfId="0"/>
    <xf numFmtId="164" fontId="1" fillId="7" borderId="1" pivotButton="0" quotePrefix="0" xfId="2"/>
    <xf numFmtId="0" fontId="81" fillId="17" borderId="1" applyAlignment="1" pivotButton="0" quotePrefix="0" xfId="0">
      <alignment horizontal="center" vertical="top"/>
    </xf>
    <xf numFmtId="164" fontId="81" fillId="17" borderId="1" pivotButton="0" quotePrefix="0" xfId="0"/>
    <xf numFmtId="164" fontId="82" fillId="0" borderId="0" applyAlignment="1" pivotButton="0" quotePrefix="0" xfId="2">
      <alignment vertical="top"/>
    </xf>
    <xf numFmtId="164" fontId="82" fillId="0" borderId="0" pivotButton="0" quotePrefix="0" xfId="0"/>
    <xf numFmtId="199" fontId="86" fillId="35" borderId="1" pivotButton="0" quotePrefix="0" xfId="0"/>
    <xf numFmtId="199" fontId="2" fillId="2" borderId="1" pivotButton="0" quotePrefix="0" xfId="0"/>
    <xf numFmtId="0" fontId="87" fillId="3" borderId="1" applyAlignment="1" pivotButton="0" quotePrefix="0" xfId="0">
      <alignment horizontal="center"/>
    </xf>
    <xf numFmtId="164" fontId="1" fillId="5" borderId="1" pivotButton="0" quotePrefix="0" xfId="2"/>
    <xf numFmtId="164" fontId="2" fillId="2" borderId="1" pivotButton="0" quotePrefix="0" xfId="0"/>
    <xf numFmtId="164" fontId="2" fillId="2" borderId="1" applyAlignment="1" pivotButton="0" quotePrefix="0" xfId="0">
      <alignment horizontal="center"/>
    </xf>
    <xf numFmtId="164" fontId="82" fillId="5" borderId="0" applyAlignment="1" pivotButton="0" quotePrefix="0" xfId="2">
      <alignment vertical="top"/>
    </xf>
    <xf numFmtId="164" fontId="82" fillId="5" borderId="0" pivotButton="0" quotePrefix="0" xfId="0"/>
    <xf numFmtId="164" fontId="2" fillId="2" borderId="0" pivotButton="0" quotePrefix="0" xfId="2"/>
    <xf numFmtId="164" fontId="2" fillId="2" borderId="0" pivotButton="0" quotePrefix="0" xfId="0"/>
    <xf numFmtId="164" fontId="2" fillId="2" borderId="0" applyAlignment="1" pivotButton="0" quotePrefix="0" xfId="0">
      <alignment horizontal="right"/>
    </xf>
    <xf numFmtId="164" fontId="2" fillId="0" borderId="0" pivotButton="0" quotePrefix="0" xfId="0"/>
    <xf numFmtId="164" fontId="2" fillId="0" borderId="0" applyAlignment="1" pivotButton="0" quotePrefix="0" xfId="0">
      <alignment horizontal="right"/>
    </xf>
    <xf numFmtId="0" fontId="2" fillId="15" borderId="36" applyAlignment="1" pivotButton="0" quotePrefix="0" xfId="0">
      <alignment horizontal="center"/>
    </xf>
    <xf numFmtId="164" fontId="2" fillId="15" borderId="36" applyAlignment="1" pivotButton="0" quotePrefix="0" xfId="2">
      <alignment horizontal="center"/>
    </xf>
    <xf numFmtId="164" fontId="2" fillId="15" borderId="1" applyAlignment="1" pivotButton="0" quotePrefix="0" xfId="2">
      <alignment horizontal="center"/>
    </xf>
    <xf numFmtId="0" fontId="2" fillId="15" borderId="1" applyAlignment="1" pivotButton="0" quotePrefix="0" xfId="0">
      <alignment horizontal="center"/>
    </xf>
    <xf numFmtId="164" fontId="2" fillId="15" borderId="20" applyAlignment="1" pivotButton="0" quotePrefix="0" xfId="2">
      <alignment horizontal="center"/>
    </xf>
    <xf numFmtId="164" fontId="2" fillId="15" borderId="2" applyAlignment="1" pivotButton="0" quotePrefix="0" xfId="2">
      <alignment horizont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/>
    </xf>
    <xf numFmtId="164" fontId="56" fillId="15" borderId="1" applyAlignment="1" pivotButton="0" quotePrefix="0" xfId="2">
      <alignment horizontal="center"/>
    </xf>
    <xf numFmtId="0" fontId="1" fillId="0" borderId="22" applyAlignment="1" pivotButton="0" quotePrefix="0" xfId="0">
      <alignment horizontal="center"/>
    </xf>
    <xf numFmtId="0" fontId="2" fillId="11" borderId="1" applyAlignment="1" pivotButton="0" quotePrefix="0" xfId="0">
      <alignment horizontal="center" vertical="center"/>
    </xf>
    <xf numFmtId="0" fontId="56" fillId="13" borderId="1" applyAlignment="1" pivotButton="0" quotePrefix="0" xfId="0">
      <alignment horizontal="center" vertical="center"/>
    </xf>
    <xf numFmtId="0" fontId="56" fillId="13" borderId="1" applyAlignment="1" pivotButton="0" quotePrefix="0" xfId="0">
      <alignment horizontal="left" vertical="center"/>
    </xf>
    <xf numFmtId="0" fontId="2" fillId="11" borderId="4" applyAlignment="1" pivotButton="0" quotePrefix="0" xfId="0">
      <alignment horizontal="center" vertical="center"/>
    </xf>
    <xf numFmtId="0" fontId="70" fillId="25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2" fillId="21" borderId="1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/>
    </xf>
    <xf numFmtId="164" fontId="60" fillId="5" borderId="1" applyAlignment="1" pivotButton="0" quotePrefix="0" xfId="2">
      <alignment horizontal="center"/>
    </xf>
    <xf numFmtId="164" fontId="60" fillId="5" borderId="1" applyAlignment="1" pivotButton="0" quotePrefix="0" xfId="0">
      <alignment horizontal="center"/>
    </xf>
    <xf numFmtId="0" fontId="60" fillId="5" borderId="5" applyAlignment="1" pivotButton="0" quotePrefix="0" xfId="0">
      <alignment horizontal="left"/>
    </xf>
    <xf numFmtId="164" fontId="56" fillId="5" borderId="1" applyAlignment="1" pivotButton="0" quotePrefix="0" xfId="0">
      <alignment horizontal="center"/>
    </xf>
    <xf numFmtId="0" fontId="2" fillId="17" borderId="4" applyAlignment="1" pivotButton="0" quotePrefix="0" xfId="0">
      <alignment horizontal="center"/>
    </xf>
    <xf numFmtId="0" fontId="1" fillId="17" borderId="25" applyAlignment="1" pivotButton="0" quotePrefix="0" xfId="0">
      <alignment horizontal="center"/>
    </xf>
    <xf numFmtId="164" fontId="0" fillId="17" borderId="0" pivotButton="0" quotePrefix="0" xfId="2"/>
    <xf numFmtId="0" fontId="1" fillId="17" borderId="30" applyAlignment="1" pivotButton="0" quotePrefix="0" xfId="0">
      <alignment horizontal="center"/>
    </xf>
    <xf numFmtId="164" fontId="0" fillId="17" borderId="31" pivotButton="0" quotePrefix="0" xfId="2"/>
    <xf numFmtId="0" fontId="1" fillId="0" borderId="25" applyAlignment="1" pivotButton="0" quotePrefix="0" xfId="0">
      <alignment horizontal="center"/>
    </xf>
    <xf numFmtId="0" fontId="1" fillId="0" borderId="30" applyAlignment="1" pivotButton="0" quotePrefix="0" xfId="0">
      <alignment horizontal="center"/>
    </xf>
    <xf numFmtId="164" fontId="0" fillId="0" borderId="31" pivotButton="0" quotePrefix="0" xfId="2"/>
    <xf numFmtId="0" fontId="68" fillId="5" borderId="1" applyAlignment="1" pivotButton="0" quotePrefix="0" xfId="0">
      <alignment horizontal="center" vertical="center"/>
    </xf>
    <xf numFmtId="164" fontId="2" fillId="0" borderId="22" applyAlignment="1" pivotButton="0" quotePrefix="0" xfId="2">
      <alignment vertical="center"/>
    </xf>
    <xf numFmtId="164" fontId="1" fillId="0" borderId="22" applyAlignment="1" pivotButton="0" quotePrefix="0" xfId="2">
      <alignment vertical="center"/>
    </xf>
    <xf numFmtId="164" fontId="2" fillId="0" borderId="1" applyAlignment="1" pivotButton="0" quotePrefix="0" xfId="2">
      <alignment vertical="center"/>
    </xf>
    <xf numFmtId="164" fontId="1" fillId="0" borderId="0" applyAlignment="1" pivotButton="0" quotePrefix="0" xfId="2">
      <alignment vertical="center"/>
    </xf>
    <xf numFmtId="164" fontId="12" fillId="0" borderId="31" applyAlignment="1" pivotButton="0" quotePrefix="0" xfId="2">
      <alignment horizontal="center"/>
    </xf>
    <xf numFmtId="164" fontId="12" fillId="0" borderId="0" applyAlignment="1" pivotButton="0" quotePrefix="0" xfId="2">
      <alignment horizontal="center"/>
    </xf>
    <xf numFmtId="164" fontId="12" fillId="0" borderId="2" pivotButton="0" quotePrefix="0" xfId="2"/>
    <xf numFmtId="164" fontId="0" fillId="0" borderId="4" pivotButton="0" quotePrefix="0" xfId="2"/>
    <xf numFmtId="164" fontId="12" fillId="5" borderId="2" pivotButton="0" quotePrefix="0" xfId="2"/>
    <xf numFmtId="164" fontId="0" fillId="0" borderId="2" pivotButton="0" quotePrefix="0" xfId="2"/>
    <xf numFmtId="164" fontId="0" fillId="26" borderId="0" pivotButton="0" quotePrefix="0" xfId="0"/>
    <xf numFmtId="0" fontId="1" fillId="0" borderId="4" applyAlignment="1" pivotButton="0" quotePrefix="0" xfId="0">
      <alignment horizontal="center" vertical="center" wrapText="1"/>
    </xf>
    <xf numFmtId="164" fontId="2" fillId="17" borderId="0" pivotButton="0" quotePrefix="0" xfId="0"/>
    <xf numFmtId="164" fontId="12" fillId="0" borderId="5" pivotButton="0" quotePrefix="0" xfId="2"/>
    <xf numFmtId="164" fontId="12" fillId="0" borderId="1" pivotButton="0" quotePrefix="0" xfId="2"/>
    <xf numFmtId="164" fontId="2" fillId="26" borderId="0" pivotButton="0" quotePrefix="0" xfId="0"/>
    <xf numFmtId="164" fontId="12" fillId="0" borderId="30" pivotButton="0" quotePrefix="0" xfId="2"/>
    <xf numFmtId="164" fontId="12" fillId="0" borderId="0" pivotButton="0" quotePrefix="0" xfId="2"/>
  </cellXfs>
  <cellStyles count="14">
    <cellStyle name="Normal" xfId="0" builtinId="0"/>
    <cellStyle name="Vírgula" xfId="1" builtinId="3"/>
    <cellStyle name="Moeda" xfId="2" builtinId="4"/>
    <cellStyle name="Moeda 2" xfId="3"/>
    <cellStyle name="Moeda 3" xfId="4"/>
    <cellStyle name="Moeda 4" xfId="5"/>
    <cellStyle name="Normal 2 2" xfId="6"/>
    <cellStyle name="Normal 2" xfId="7"/>
    <cellStyle name="Hiperlink" xfId="8" builtinId="8"/>
    <cellStyle name="Normal 3" xfId="9"/>
    <cellStyle name="Porcentagem" xfId="10" builtinId="5"/>
    <cellStyle name="Currency 2" xfId="11"/>
    <cellStyle name="Percent 2" xfId="12"/>
    <cellStyle name="Comma 2" xfId="1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externalLink" Target="/xl/externalLinks/externalLink1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omments/comment1.xml><?xml version="1.0" encoding="utf-8"?>
<comments xmlns="http://schemas.openxmlformats.org/spreadsheetml/2006/main">
  <authors>
    <author>DavidJohnWeihs</author>
    <author>Kelly Carroll</author>
  </authors>
  <commentList>
    <comment ref="C49" authorId="0" shapeId="0">
      <text>
        <t>Senar que seria 0,25%
Não tem ICMS, PIS ou COFINS
IRPJ – 1,2%
CSLL – 1,08%
Adicional IRPJ – mais ou menos 1% das vendas.</t>
      </text>
    </comment>
    <comment ref="C53" authorId="0" shapeId="0">
      <text>
        <t>DavidJohnWeihs:
Estamos lucro presumido em vez do lucro real.</t>
      </text>
    </comment>
    <comment ref="D90" authorId="1" shapeId="0">
      <text>
        <t>Kelly Carroll:
presumindo pluma e soja = ir &amp; csll only (2.28%)
corn - IR, CSLL, Senar &amp; Funrural (5.13%)</t>
      </text>
    </comment>
    <comment ref="D92" authorId="1" shapeId="0">
      <text>
        <t>Kelly Carroll:
fines = in carroll and john operational plus interest expense Agroservice &amp; juros pago marine bank, emprestimo pago set 2018</t>
      </text>
    </comment>
  </commentList>
</comments>
</file>

<file path=xl/comments/comment2.xml><?xml version="1.0" encoding="utf-8"?>
<comments xmlns="http://schemas.openxmlformats.org/spreadsheetml/2006/main">
  <authors>
    <author>Cliente</author>
  </authors>
  <commentList>
    <comment ref="H3" authorId="0" shapeId="0">
      <text>
        <t>Cliente:
aluguel trator puxar pipa</t>
      </text>
    </comment>
  </commentList>
</comments>
</file>

<file path=xl/comments/comment3.xml><?xml version="1.0" encoding="utf-8"?>
<comments xmlns="http://schemas.openxmlformats.org/spreadsheetml/2006/main">
  <authors>
    <author>Romerio Cotrim</author>
  </authors>
  <commentList>
    <comment ref="C18" authorId="0" shapeId="0">
      <text>
        <t xml:space="preserve">Romerio Cotrim:
reforma da cabine </t>
      </text>
    </comment>
  </commentList>
</comments>
</file>

<file path=xl/comments/comment4.xml><?xml version="1.0" encoding="utf-8"?>
<comments xmlns="http://schemas.openxmlformats.org/spreadsheetml/2006/main">
  <authors>
    <author>Cliente</author>
    <author>Marcos Luiz Schuh</author>
    <author>David Weihs</author>
    <author>Romerio</author>
  </authors>
  <commentList>
    <comment ref="H5" authorId="0" shapeId="0">
      <text>
        <t>Cliente:
fica mensal 68.20% do salario vigente que baseado no salario de hoje, dará R$ 750,20.</t>
      </text>
    </comment>
    <comment ref="G28" authorId="1" shapeId="0">
      <text>
        <t xml:space="preserve">Marcos Luiz Schuh:
sem area de algodão </t>
      </text>
    </comment>
    <comment ref="G29" authorId="1" shapeId="0">
      <text>
        <t xml:space="preserve">Marcos Luiz Schuh:
sem area de algodão </t>
      </text>
    </comment>
    <comment ref="H31" authorId="0" shapeId="0">
      <text>
        <t>Cliente:
$15.000/ano.
50% escritorio
50% fazenda (35% Agroinvest e 65% Agrosercie</t>
      </text>
    </comment>
    <comment ref="H32" authorId="0" shapeId="0">
      <text>
        <t xml:space="preserve">Cliente:
Sf 2 - 3 meses 
Sf3 - 1 ano
Controle de sesão </t>
      </text>
    </comment>
    <comment ref="K32" authorId="2" shapeId="0">
      <text>
        <t>David Weihs:
Foi 12 mil para Nic e 6 mil para Carlos.
Na proxima reuniao Nic ja avisou que o custo para ter ele participar inves de R$12.000 vai aumentar para R$13.000.</t>
      </text>
    </comment>
    <comment ref="I41" authorId="3" shapeId="0">
      <text>
        <t xml:space="preserve">Romerio:
Analise macronutrientes </t>
      </text>
    </comment>
    <comment ref="J41" authorId="3" shapeId="0">
      <text>
        <t xml:space="preserve">Romerio:
Analises macro e micro nutrientes </t>
      </text>
    </comment>
  </commentList>
</comments>
</file>

<file path=xl/comments/comment5.xml><?xml version="1.0" encoding="utf-8"?>
<comments xmlns="http://schemas.openxmlformats.org/spreadsheetml/2006/main">
  <authors>
    <author>Meu Computador</author>
    <author>Romerio</author>
  </authors>
  <commentList>
    <comment ref="I1" authorId="0" shapeId="0">
      <text>
        <t xml:space="preserve">Eliz:Salário+HE/12
</t>
      </text>
    </comment>
    <comment ref="K1" authorId="0" shapeId="0">
      <text>
        <t xml:space="preserve">Eliz:Soma-se c+d+e+f+g+h*2.7% é a participação da empresa ao INSS do empregado.
</t>
      </text>
    </comment>
    <comment ref="L1" authorId="0" shapeId="0">
      <text>
        <t xml:space="preserve">Eliz:c+d+e+f+g*8% 
</t>
      </text>
    </comment>
    <comment ref="B18" authorId="1" shapeId="0">
      <text>
        <t xml:space="preserve">Romerio:
30% de custo mensal da agroinvest 
</t>
      </text>
    </comment>
  </commentList>
</comments>
</file>

<file path=xl/comments/comment6.xml><?xml version="1.0" encoding="utf-8"?>
<comments xmlns="http://schemas.openxmlformats.org/spreadsheetml/2006/main">
  <authors>
    <author>Cliente</author>
  </authors>
  <commentList>
    <comment ref="C4" authorId="0" shapeId="0">
      <text>
        <t>Cliente:
1,5 sc de milho/ha</t>
      </text>
    </comment>
  </commentList>
</comments>
</file>

<file path=xl/comments/comment7.xml><?xml version="1.0" encoding="utf-8"?>
<comments xmlns="http://schemas.openxmlformats.org/spreadsheetml/2006/main">
  <authors>
    <author>Cliente</author>
    <author>Angelo</author>
    <author>Marcio</author>
  </authors>
  <commentList>
    <comment ref="D6" authorId="0" shapeId="0">
      <text>
        <t>Cliente:
aplicação micronutriente soja/milho/algodão</t>
      </text>
    </comment>
    <comment ref="O8" authorId="0" shapeId="0">
      <text>
        <t xml:space="preserve">Cliente:
solido 500reais/H
mix cobertura.
</t>
      </text>
    </comment>
    <comment ref="Z10" authorId="1" shapeId="0">
      <text>
        <t>Angelo:
750 litros mês a 7,50 r$.
Considerando voar 5 Hr/mês de media, consumo medio 150l/hr.</t>
      </text>
    </comment>
    <comment ref="Q15" authorId="2" shapeId="0">
      <text>
        <t>Marcio:
DIVIDIDO POR 10 ANOS
Feito em2020</t>
      </text>
    </comment>
  </commentList>
</comments>
</file>

<file path=xl/comments/comment8.xml><?xml version="1.0" encoding="utf-8"?>
<comments xmlns="http://schemas.openxmlformats.org/spreadsheetml/2006/main">
  <authors>
    <author>Lenovo</author>
    <author>Cliente</author>
  </authors>
  <commentList>
    <comment ref="F5" authorId="0" shapeId="0">
      <text>
        <t>Lenovo:
motorista, talvez estagiario</t>
      </text>
    </comment>
    <comment ref="C8" authorId="1" shapeId="0">
      <text>
        <t>Cliente:
chaveiro, sacola, chocolate</t>
      </text>
    </comment>
    <comment ref="A9" authorId="1" shapeId="0">
      <text>
        <t>Cliente:
Caneca</t>
      </text>
    </comment>
    <comment ref="C13" authorId="0" shapeId="0">
      <text>
        <t>Lenovo:
85 por pessoa
12 colaboradores 
cada um levar alguem 24</t>
      </text>
    </comment>
    <comment ref="B29" authorId="0" shapeId="0">
      <text>
        <t>Lenovo:
referente a Wanderson e Romerio</t>
      </text>
    </comment>
  </commentList>
</comments>
</file>

<file path=xl/comments/comment9.xml><?xml version="1.0" encoding="utf-8"?>
<comments xmlns="http://schemas.openxmlformats.org/spreadsheetml/2006/main">
  <authors>
    <author>user</author>
  </authors>
  <commentList>
    <comment ref="K3" authorId="0" shapeId="0">
      <text>
        <t xml:space="preserve">3 horas cada semana a partir de Novembro + 6 sabados de Novembro a Janeiro. 
Novembro= 22 horas 
Dezembro=22 horas
Janeiro= 22 horas
 </t>
      </text>
    </comment>
    <comment ref="L3" authorId="0" shapeId="0">
      <text>
        <t xml:space="preserve">Feriado dia 02 e 15 de Novembro. </t>
      </text>
    </comment>
    <comment ref="J5" authorId="0" shapeId="0">
      <text>
        <t>Referente a safra 21-22</t>
      </text>
    </comment>
    <comment ref="C18" authorId="0" shapeId="0">
      <text>
        <t xml:space="preserve">Media 11 km/litro </t>
      </text>
    </comment>
  </commentList>
</comments>
</file>

<file path=xl/comments/comment10.xml><?xml version="1.0" encoding="utf-8"?>
<comments xmlns="http://schemas.openxmlformats.org/spreadsheetml/2006/main">
  <authors>
    <author>Angelo</author>
  </authors>
  <commentList>
    <comment ref="C7" authorId="0" shapeId="0">
      <text>
        <t>Angelo:
300 mao de obra manutançao
350 km.</t>
      </text>
    </comment>
    <comment ref="C26" authorId="0" shapeId="0">
      <text>
        <t>Angelo:
3 feriados  e 3 domingos.</t>
      </text>
    </comment>
    <comment ref="C36" authorId="0" shapeId="0">
      <text>
        <t>Angelo:
6 meses a 1.024,17 R$
e 6 meses a 1.208,52 R$ (18%)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/Users/marco/Documents/SCHUH%20m/Safra%202020-2021/OR&#199;AMENTO%20SAFRA%2020-21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lanilha1"/>
      <sheetName val="ORÇAMENTO 19-20"/>
      <sheetName val="Peças e concertos"/>
      <sheetName val="Diesel, Gasolina"/>
      <sheetName val="Lubrificantes"/>
      <sheetName val="Alimentos"/>
      <sheetName val="Veiculos"/>
      <sheetName val="Utilidades"/>
      <sheetName val="Suprimentos-Serv.Profiss."/>
      <sheetName val="Avião "/>
      <sheetName val="Sal., Provis. e Encarg."/>
      <sheetName val="Quimic. Fertil. Sement."/>
      <sheetName val="Contrat. Serviços "/>
      <sheetName val="Depreciasão "/>
      <sheetName val="Valdimir"/>
      <sheetName val="Romerio (colh)"/>
      <sheetName val="RH "/>
      <sheetName val="Angelo"/>
      <sheetName val=" Marcio Plant e Equi Tec"/>
      <sheetName val="Piru"/>
      <sheetName val="Mineiro "/>
      <sheetName val="Dalv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7">
          <cell r="N7">
            <v>0</v>
          </cell>
        </row>
        <row r="10">
          <cell r="D10">
            <v>0</v>
          </cell>
          <cell r="I10">
            <v>0</v>
          </cell>
        </row>
        <row r="11">
          <cell r="D11">
            <v>0</v>
          </cell>
          <cell r="I11">
            <v>0</v>
          </cell>
        </row>
        <row r="12">
          <cell r="D12">
            <v>0</v>
          </cell>
          <cell r="I12">
            <v>0</v>
          </cell>
        </row>
        <row r="13">
          <cell r="D13">
            <v>0</v>
          </cell>
          <cell r="I13">
            <v>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I104"/>
  <sheetViews>
    <sheetView tabSelected="1" topLeftCell="A19" zoomScale="90" zoomScaleNormal="90" workbookViewId="0">
      <selection activeCell="L23" sqref="L23"/>
    </sheetView>
  </sheetViews>
  <sheetFormatPr baseColWidth="8" defaultColWidth="8.85546875" defaultRowHeight="15"/>
  <cols>
    <col width="1.42578125" customWidth="1" style="856" min="1" max="1"/>
    <col width="2.7109375" customWidth="1" style="856" min="2" max="2"/>
    <col width="39.28515625" customWidth="1" style="856" min="3" max="3"/>
    <col width="31" bestFit="1" customWidth="1" style="857" min="4" max="4"/>
    <col width="4.85546875" customWidth="1" style="857" min="5" max="5"/>
    <col width="25.140625" customWidth="1" style="857" min="6" max="6"/>
    <col width="3.28515625" customWidth="1" style="857" min="7" max="7"/>
    <col width="15.85546875" bestFit="1" customWidth="1" style="857" min="8" max="8"/>
    <col width="2.140625" customWidth="1" style="857" min="9" max="9"/>
    <col width="17.28515625" bestFit="1" customWidth="1" style="357" min="10" max="10"/>
    <col width="1.28515625" customWidth="1" style="357" min="11" max="11"/>
    <col width="25.5703125" customWidth="1" style="856" min="12" max="12"/>
    <col width="27.5703125" bestFit="1" customWidth="1" style="856" min="13" max="13"/>
    <col hidden="1" width="12.28515625" customWidth="1" style="856" min="14" max="14"/>
    <col hidden="1" width="15" customWidth="1" style="856" min="15" max="15"/>
    <col hidden="1" width="12.28515625" customWidth="1" style="856" min="16" max="16"/>
    <col hidden="1" width="15" customWidth="1" style="856" min="17" max="17"/>
    <col hidden="1" style="856" min="18" max="18"/>
    <col hidden="1" width="12.42578125" customWidth="1" style="856" min="19" max="19"/>
    <col hidden="1" style="856" min="20" max="20"/>
    <col hidden="1" width="12.42578125" customWidth="1" style="856" min="21" max="21"/>
    <col hidden="1" style="856" min="22" max="22"/>
    <col hidden="1" width="12.42578125" customWidth="1" style="856" min="23" max="23"/>
    <col hidden="1" style="856" min="24" max="26"/>
    <col width="35.42578125" customWidth="1" style="856" min="27" max="27"/>
    <col width="15.28515625" customWidth="1" style="856" min="28" max="28"/>
    <col width="14.7109375" bestFit="1" customWidth="1" style="856" min="29" max="29"/>
    <col width="8.85546875" customWidth="1" style="856" min="30" max="30"/>
    <col width="7.42578125" bestFit="1" customWidth="1" style="856" min="31" max="31"/>
    <col width="8.85546875" customWidth="1" style="856" min="32" max="32"/>
    <col width="9.28515625" customWidth="1" style="856" min="33" max="33"/>
    <col width="8.85546875" customWidth="1" style="856" min="34" max="16384"/>
  </cols>
  <sheetData>
    <row r="1" ht="15.75" customHeight="1" s="1173">
      <c r="B1" s="1100" t="inlineStr">
        <is>
          <t xml:space="preserve">AGROINVEST </t>
        </is>
      </c>
      <c r="C1" s="1315" t="inlineStr">
        <is>
          <t xml:space="preserve">AGROINVEST </t>
        </is>
      </c>
      <c r="D1" s="1315" t="inlineStr">
        <is>
          <t xml:space="preserve">AGROINVEST </t>
        </is>
      </c>
      <c r="E1" s="1315" t="inlineStr">
        <is>
          <t xml:space="preserve">AGROINVEST </t>
        </is>
      </c>
      <c r="F1" s="1315" t="inlineStr">
        <is>
          <t xml:space="preserve">AGROINVEST </t>
        </is>
      </c>
      <c r="G1" s="1315" t="inlineStr">
        <is>
          <t xml:space="preserve">AGROINVEST </t>
        </is>
      </c>
      <c r="H1" s="1315" t="inlineStr">
        <is>
          <t xml:space="preserve">AGROINVEST </t>
        </is>
      </c>
      <c r="I1" s="1315" t="inlineStr">
        <is>
          <t xml:space="preserve">AGROINVEST </t>
        </is>
      </c>
      <c r="J1" s="1315" t="inlineStr">
        <is>
          <t xml:space="preserve">AGROINVEST </t>
        </is>
      </c>
      <c r="K1" s="1101" t="n"/>
      <c r="L1" s="195" t="n"/>
    </row>
    <row r="2">
      <c r="B2" s="1102" t="inlineStr">
        <is>
          <t>2025-2026 (01 Outubro - 30 Setembro)</t>
        </is>
      </c>
      <c r="C2" s="1316" t="inlineStr">
        <is>
          <t>2025-2026 (01 Outubro - 30 Setembro)</t>
        </is>
      </c>
      <c r="D2" s="1316" t="inlineStr">
        <is>
          <t>2025-2026 (01 Outubro - 30 Setembro)</t>
        </is>
      </c>
      <c r="E2" s="1316" t="inlineStr">
        <is>
          <t>2025-2026 (01 Outubro - 30 Setembro)</t>
        </is>
      </c>
      <c r="F2" s="1316" t="inlineStr">
        <is>
          <t>2025-2026 (01 Outubro - 30 Setembro)</t>
        </is>
      </c>
      <c r="G2" s="1316" t="inlineStr">
        <is>
          <t>2025-2026 (01 Outubro - 30 Setembro)</t>
        </is>
      </c>
      <c r="H2" s="1316" t="inlineStr">
        <is>
          <t>2025-2026 (01 Outubro - 30 Setembro)</t>
        </is>
      </c>
      <c r="I2" s="1316" t="inlineStr">
        <is>
          <t>2025-2026 (01 Outubro - 30 Setembro)</t>
        </is>
      </c>
      <c r="J2" s="1316" t="inlineStr">
        <is>
          <t>2025-2026 (01 Outubro - 30 Setembro)</t>
        </is>
      </c>
      <c r="K2" s="1103" t="n"/>
      <c r="L2" s="199" t="n"/>
      <c r="AB2" s="1317">
        <f>$AB$16+(AD2*$AB$19)</f>
        <v/>
      </c>
      <c r="AC2" s="201" t="n"/>
      <c r="AD2" s="201" t="n">
        <v>1.2</v>
      </c>
      <c r="AE2" s="1318" t="n"/>
      <c r="AF2" s="1318" t="n"/>
      <c r="AG2" s="1318" t="n"/>
      <c r="AH2" s="201" t="n"/>
    </row>
    <row r="3" ht="11.25" customHeight="1" s="1173">
      <c r="B3" s="203" t="inlineStr">
        <is>
          <t>Fatores Importantes :</t>
        </is>
      </c>
      <c r="C3" s="204" t="n"/>
      <c r="D3" s="205" t="n"/>
      <c r="E3" s="205" t="n"/>
      <c r="F3" s="1319" t="n"/>
      <c r="G3" s="1319" t="n"/>
      <c r="H3" s="205" t="n"/>
      <c r="I3" s="205" t="n"/>
      <c r="J3" s="206" t="n"/>
      <c r="K3" s="206" t="n"/>
      <c r="L3" s="694" t="n"/>
      <c r="AB3" s="1320">
        <f>$AB$16+(AD3*$AB$19)</f>
        <v/>
      </c>
      <c r="AC3" s="208" t="n"/>
      <c r="AD3" s="208" t="n">
        <v>1.15</v>
      </c>
      <c r="AE3" s="1321" t="n"/>
      <c r="AF3" s="1321" t="n"/>
      <c r="AG3" s="1321" t="n"/>
      <c r="AH3" s="201" t="n"/>
    </row>
    <row r="4" ht="15.75" customHeight="1" s="1173">
      <c r="B4" s="210" t="n"/>
      <c r="C4" s="273" t="n"/>
      <c r="D4" s="212" t="inlineStr">
        <is>
          <t>Algodão</t>
        </is>
      </c>
      <c r="E4" s="323" t="n"/>
      <c r="F4" s="212" t="inlineStr">
        <is>
          <t>Soja</t>
        </is>
      </c>
      <c r="G4" s="214" t="n"/>
      <c r="H4" s="212" t="inlineStr">
        <is>
          <t>Milho</t>
        </is>
      </c>
      <c r="I4" s="215" t="n"/>
      <c r="J4" s="216" t="inlineStr">
        <is>
          <t>Caroço</t>
        </is>
      </c>
      <c r="K4" s="217" t="n"/>
      <c r="L4" s="695" t="inlineStr">
        <is>
          <t>Total</t>
        </is>
      </c>
      <c r="AB4" s="1317">
        <f>$AB$16+(AD4*$AB$19)</f>
        <v/>
      </c>
      <c r="AC4" s="218" t="n"/>
      <c r="AD4" s="201" t="n">
        <v>1.1</v>
      </c>
      <c r="AE4" s="1322" t="n"/>
      <c r="AF4" s="1322" t="n"/>
      <c r="AG4" s="1322" t="n"/>
      <c r="AH4" s="709" t="n"/>
    </row>
    <row r="5" ht="12.75" customHeight="1" s="1173">
      <c r="B5" s="210" t="n"/>
      <c r="C5" s="221" t="inlineStr">
        <is>
          <t>Hectares de Produção (todas fazendas)</t>
        </is>
      </c>
      <c r="D5" s="222" t="n">
        <v>0</v>
      </c>
      <c r="E5" s="1323" t="n"/>
      <c r="F5" s="222" t="n">
        <v>900</v>
      </c>
      <c r="G5" s="1324" t="n"/>
      <c r="H5" s="222" t="n">
        <v>1380</v>
      </c>
      <c r="I5" s="1324" t="n"/>
      <c r="J5" s="222" t="inlineStr">
        <is>
          <t>N/A</t>
        </is>
      </c>
      <c r="K5" s="217" t="n"/>
      <c r="L5" s="696">
        <f>D5+F5+H5</f>
        <v/>
      </c>
      <c r="AA5" s="336" t="inlineStr">
        <is>
          <t xml:space="preserve"> </t>
        </is>
      </c>
      <c r="AB5" s="1320">
        <f>$AB$16+(AD5*$AB$19)</f>
        <v/>
      </c>
      <c r="AC5" s="208" t="n"/>
      <c r="AD5" s="208" t="n">
        <v>1.05</v>
      </c>
      <c r="AE5" s="1321" t="n"/>
      <c r="AF5" s="1321" t="n"/>
      <c r="AG5" s="1321" t="n"/>
      <c r="AH5" s="709" t="n"/>
    </row>
    <row r="6" ht="12.75" customHeight="1" s="1173">
      <c r="B6" s="210" t="n"/>
      <c r="C6" s="273" t="n"/>
      <c r="D6" s="1325">
        <f>D5/$L5</f>
        <v/>
      </c>
      <c r="E6" s="228" t="inlineStr">
        <is>
          <t xml:space="preserve"> </t>
        </is>
      </c>
      <c r="F6" s="1325">
        <f>F5/$L5</f>
        <v/>
      </c>
      <c r="G6" s="1325" t="inlineStr">
        <is>
          <t xml:space="preserve"> </t>
        </is>
      </c>
      <c r="H6" s="1325">
        <f>H5/$L5</f>
        <v/>
      </c>
      <c r="I6" s="228" t="n"/>
      <c r="J6" s="229" t="n"/>
      <c r="K6" s="229" t="n"/>
      <c r="L6" s="1326">
        <f>SUM(D6:K6)</f>
        <v/>
      </c>
      <c r="AB6" s="1327">
        <f>D80</f>
        <v/>
      </c>
      <c r="AC6" s="336" t="n"/>
      <c r="AD6" s="232" t="n">
        <v>1</v>
      </c>
      <c r="AE6" s="233" t="inlineStr">
        <is>
          <t>= 100% Metas / Bonus / 70% salario bruta</t>
        </is>
      </c>
      <c r="AF6" s="1328" t="n"/>
      <c r="AG6" s="1328" t="n"/>
    </row>
    <row r="7" ht="15.75" customHeight="1" s="1173">
      <c r="B7" s="210" t="n"/>
      <c r="C7" s="221" t="inlineStr">
        <is>
          <t>Hectares de Produção (parte de CF)</t>
        </is>
      </c>
      <c r="D7" s="222" t="n">
        <v>0</v>
      </c>
      <c r="E7" s="222" t="n"/>
      <c r="F7" s="222">
        <f>F5</f>
        <v/>
      </c>
      <c r="G7" s="222" t="n">
        <v>5750</v>
      </c>
      <c r="H7" s="222">
        <f>H5</f>
        <v/>
      </c>
      <c r="I7" s="1324" t="n"/>
      <c r="J7" s="222" t="inlineStr">
        <is>
          <t>N/A</t>
        </is>
      </c>
      <c r="K7" s="217" t="n"/>
      <c r="L7" s="696">
        <f>D7+F7+H7</f>
        <v/>
      </c>
      <c r="M7" s="856" t="inlineStr">
        <is>
          <t>Produtividade reducao:</t>
        </is>
      </c>
      <c r="AA7" s="235" t="n"/>
      <c r="AB7" s="1320">
        <f>$AB$16+(AD7*$AB$19)</f>
        <v/>
      </c>
      <c r="AC7" s="208" t="n"/>
      <c r="AD7" s="208" t="n">
        <v>0.9</v>
      </c>
      <c r="AE7" s="1321" t="n"/>
      <c r="AF7" s="1321" t="n"/>
      <c r="AG7" s="1321" t="n"/>
      <c r="AH7" s="709" t="n"/>
      <c r="AI7" s="709" t="n"/>
    </row>
    <row r="8" ht="11.25" customHeight="1" s="1173">
      <c r="B8" s="210" t="n"/>
      <c r="C8" s="236" t="inlineStr">
        <is>
          <t>(Carroll, mais de um terço das outras fazendas)</t>
        </is>
      </c>
      <c r="D8" s="1325">
        <f>D7/$L7</f>
        <v/>
      </c>
      <c r="E8" s="228" t="inlineStr">
        <is>
          <t xml:space="preserve"> </t>
        </is>
      </c>
      <c r="F8" s="1325">
        <f>F7/$L7</f>
        <v/>
      </c>
      <c r="G8" s="1325" t="inlineStr">
        <is>
          <t xml:space="preserve"> </t>
        </is>
      </c>
      <c r="H8" s="1325">
        <f>H7/$L7</f>
        <v/>
      </c>
      <c r="I8" s="228" t="n"/>
      <c r="J8" s="229" t="n"/>
      <c r="K8" s="229" t="n"/>
      <c r="L8" s="1326">
        <f>SUM(D8:K8)</f>
        <v/>
      </c>
      <c r="AA8" s="709" t="n">
        <v>0</v>
      </c>
      <c r="AB8" s="1317">
        <f>$AB$16+(AD8*$AB$19)</f>
        <v/>
      </c>
      <c r="AC8" s="201" t="n"/>
      <c r="AD8" s="201" t="n">
        <v>0.75</v>
      </c>
      <c r="AE8" s="1322" t="n"/>
      <c r="AF8" s="1322" t="n"/>
      <c r="AG8" s="1322" t="n"/>
      <c r="AH8" s="709" t="n"/>
    </row>
    <row r="9" ht="15.75" customHeight="1" s="1173" thickBot="1">
      <c r="B9" s="210" t="n"/>
      <c r="C9" s="273" t="inlineStr">
        <is>
          <t xml:space="preserve"> </t>
        </is>
      </c>
      <c r="D9" s="1329" t="inlineStr">
        <is>
          <t xml:space="preserve"> </t>
        </is>
      </c>
      <c r="E9" s="1330" t="inlineStr">
        <is>
          <t xml:space="preserve"> </t>
        </is>
      </c>
      <c r="F9" s="1329" t="inlineStr">
        <is>
          <t xml:space="preserve"> </t>
        </is>
      </c>
      <c r="G9" s="1331" t="inlineStr">
        <is>
          <t xml:space="preserve"> </t>
        </is>
      </c>
      <c r="H9" s="1329" t="inlineStr">
        <is>
          <t xml:space="preserve"> </t>
        </is>
      </c>
      <c r="I9" s="228" t="n"/>
      <c r="J9" s="229" t="n"/>
      <c r="K9" s="229" t="n"/>
      <c r="L9" s="1326" t="n"/>
      <c r="AA9" s="857">
        <f>AB6-AA10</f>
        <v/>
      </c>
      <c r="AB9" s="1320">
        <f>$AB$16+(AD9*$AB$19)</f>
        <v/>
      </c>
      <c r="AC9" s="208" t="n"/>
      <c r="AD9" s="208" t="n">
        <v>0.65</v>
      </c>
      <c r="AE9" s="1321" t="n"/>
      <c r="AF9" s="1321" t="n"/>
      <c r="AG9" s="1321" t="n"/>
      <c r="AH9" s="709" t="n"/>
    </row>
    <row r="10" ht="15.75" customHeight="1" s="1173" thickBot="1">
      <c r="B10" s="210" t="n"/>
      <c r="C10" s="273" t="inlineStr">
        <is>
          <t>Pressupostos de Produção</t>
        </is>
      </c>
      <c r="D10" s="1332" t="n">
        <v>0</v>
      </c>
      <c r="E10" s="241" t="n"/>
      <c r="F10" s="1332" t="n">
        <v>70</v>
      </c>
      <c r="G10" s="1333" t="n"/>
      <c r="H10" s="1332" t="n">
        <v>180</v>
      </c>
      <c r="I10" s="1334" t="n"/>
      <c r="J10" s="215" t="inlineStr">
        <is>
          <t>N/A</t>
        </is>
      </c>
      <c r="K10" s="215" t="n"/>
      <c r="L10" s="243" t="n"/>
      <c r="M10" s="856" t="inlineStr">
        <is>
          <t>Resultado: (realizado orçamento)</t>
        </is>
      </c>
      <c r="AA10" s="244" t="n"/>
      <c r="AB10" s="1317">
        <f>$AB$16+(AD10*$AB$19)</f>
        <v/>
      </c>
      <c r="AC10" s="201" t="n"/>
      <c r="AD10" s="201" t="n">
        <v>0.5</v>
      </c>
      <c r="AE10" s="1322" t="n"/>
      <c r="AF10" s="1322" t="n"/>
      <c r="AG10" s="1322" t="n"/>
      <c r="AH10" s="709" t="n"/>
    </row>
    <row r="11" ht="15.75" customHeight="1" s="1173">
      <c r="B11" s="210" t="n"/>
      <c r="C11" s="273" t="n"/>
      <c r="D11" s="1335" t="inlineStr">
        <is>
          <t>Arrobas/HA</t>
        </is>
      </c>
      <c r="E11" s="323" t="n"/>
      <c r="F11" s="1335" t="inlineStr">
        <is>
          <t>Sacas/HA</t>
        </is>
      </c>
      <c r="G11" s="1335" t="n"/>
      <c r="H11" s="1335" t="inlineStr">
        <is>
          <t>Sacas/HA</t>
        </is>
      </c>
      <c r="I11" s="1335" t="n"/>
      <c r="J11" s="217" t="n"/>
      <c r="K11" s="215" t="n"/>
      <c r="L11" s="243" t="n"/>
      <c r="M11" s="856" t="inlineStr">
        <is>
          <t>Receita algodao</t>
        </is>
      </c>
      <c r="AA11" s="244">
        <f>D43</f>
        <v/>
      </c>
      <c r="AB11" s="1320">
        <f>$AB$16+(AD11*$AB$19)</f>
        <v/>
      </c>
      <c r="AC11" s="208" t="n"/>
      <c r="AD11" s="208" t="n">
        <v>0.4</v>
      </c>
      <c r="AE11" s="1321" t="n"/>
      <c r="AF11" s="1321" t="n"/>
      <c r="AG11" s="1321" t="n"/>
      <c r="AH11" s="709" t="n"/>
    </row>
    <row r="12" ht="13.5" customHeight="1" s="1173" thickBot="1">
      <c r="B12" s="210" t="n"/>
      <c r="C12" s="273" t="n"/>
      <c r="D12" s="1336" t="n"/>
      <c r="E12" s="247" t="n"/>
      <c r="F12" s="1336" t="n"/>
      <c r="G12" s="1336" t="n"/>
      <c r="H12" s="1336" t="n"/>
      <c r="I12" s="1336" t="n"/>
      <c r="J12" s="215" t="n"/>
      <c r="K12" s="215" t="n"/>
      <c r="L12" s="243" t="n"/>
      <c r="M12" s="856" t="inlineStr">
        <is>
          <t>Receita milho</t>
        </is>
      </c>
      <c r="AA12" s="244">
        <f>D45</f>
        <v/>
      </c>
      <c r="AB12" s="1317">
        <f>$AB$16+(AD12*$AB$19)</f>
        <v/>
      </c>
      <c r="AC12" s="201" t="n"/>
      <c r="AD12" s="201" t="n">
        <v>0.25</v>
      </c>
      <c r="AE12" s="1322" t="n"/>
      <c r="AF12" s="1322" t="n"/>
      <c r="AG12" s="1322" t="n"/>
      <c r="AH12" s="709" t="n"/>
    </row>
    <row r="13" ht="15.75" customHeight="1" s="1173" thickBot="1">
      <c r="B13" s="210" t="n"/>
      <c r="C13" s="248" t="inlineStr">
        <is>
          <t xml:space="preserve">Os Preços-Alvo - USD </t>
        </is>
      </c>
      <c r="D13" s="1337" t="n">
        <v>0</v>
      </c>
      <c r="E13" s="250" t="n"/>
      <c r="F13" s="1338" t="n">
        <v>20</v>
      </c>
      <c r="G13" s="250" t="n"/>
      <c r="H13" s="1338">
        <f>60/D29</f>
        <v/>
      </c>
      <c r="I13" s="252" t="n"/>
      <c r="J13" s="1338" t="n"/>
      <c r="K13" s="1339" t="n"/>
      <c r="L13" s="243" t="n"/>
      <c r="M13" s="856" t="inlineStr">
        <is>
          <t>Receita soja</t>
        </is>
      </c>
      <c r="P13" s="856" t="inlineStr">
        <is>
          <t>Total Arrobas:</t>
        </is>
      </c>
      <c r="Q13" s="856" t="n">
        <v>465439.97376</v>
      </c>
      <c r="AA13" s="244">
        <f>D44</f>
        <v/>
      </c>
      <c r="AB13" s="1320">
        <f>$AB$16+(AD13*$AB$19)</f>
        <v/>
      </c>
      <c r="AC13" s="208" t="n"/>
      <c r="AD13" s="208" t="n">
        <v>0.2</v>
      </c>
      <c r="AE13" s="1321" t="n"/>
      <c r="AF13" s="1321" t="n"/>
      <c r="AG13" s="1321" t="n"/>
      <c r="AH13" s="709" t="n"/>
    </row>
    <row r="14" ht="12.75" customHeight="1" s="1173">
      <c r="B14" s="210" t="n"/>
      <c r="C14" s="1104" t="inlineStr">
        <is>
          <t>(Vamos utilizar o preço médio de venda fixo  para produção total)</t>
        </is>
      </c>
      <c r="D14" s="323" t="inlineStr">
        <is>
          <t>Por lb</t>
        </is>
      </c>
      <c r="E14" s="323" t="n"/>
      <c r="F14" s="323" t="inlineStr">
        <is>
          <t xml:space="preserve">Por Saca </t>
        </is>
      </c>
      <c r="G14" s="323" t="n"/>
      <c r="H14" s="323" t="inlineStr">
        <is>
          <t>Por Saca</t>
        </is>
      </c>
      <c r="I14" s="323" t="n"/>
      <c r="J14" s="254" t="inlineStr">
        <is>
          <t>Por tonelada</t>
        </is>
      </c>
      <c r="K14" s="255" t="n"/>
      <c r="L14" s="243" t="n"/>
      <c r="P14" s="856" t="inlineStr">
        <is>
          <t>Total Kilos:</t>
        </is>
      </c>
      <c r="Q14" s="856">
        <f>Q13*15</f>
        <v/>
      </c>
      <c r="AB14" s="1317">
        <f>$AB$16+(AD14*$AB$19)</f>
        <v/>
      </c>
      <c r="AC14" s="256" t="n"/>
      <c r="AD14" s="201" t="n">
        <v>0.15</v>
      </c>
      <c r="AE14" s="1322" t="n"/>
      <c r="AF14" s="1322" t="n"/>
      <c r="AG14" s="1322" t="n"/>
      <c r="AH14" s="709" t="n"/>
    </row>
    <row r="15" ht="27" customHeight="1" s="1173">
      <c r="B15" s="210" t="n"/>
      <c r="C15" s="1340" t="inlineStr">
        <is>
          <t>(Vamos utilizar o preço médio de venda fixo  para produção total)</t>
        </is>
      </c>
      <c r="D15" s="257" t="inlineStr">
        <is>
          <t xml:space="preserve"> </t>
        </is>
      </c>
      <c r="E15" s="323" t="n"/>
      <c r="F15" s="323" t="n"/>
      <c r="G15" s="323" t="n"/>
      <c r="H15" s="323" t="n"/>
      <c r="I15" s="323" t="n"/>
      <c r="J15" s="254" t="n"/>
      <c r="K15" s="255" t="n"/>
      <c r="L15" s="243" t="n"/>
      <c r="P15" s="856" t="inlineStr">
        <is>
          <t>Total Pounds:</t>
        </is>
      </c>
      <c r="Q15" s="856">
        <f>Q14/0.45359237</f>
        <v/>
      </c>
      <c r="AB15" s="1320">
        <f>$AB$16+(AD15*$AB$19)</f>
        <v/>
      </c>
      <c r="AC15" s="208" t="n"/>
      <c r="AD15" s="208" t="n">
        <v>0.1</v>
      </c>
      <c r="AE15" s="1321" t="n"/>
      <c r="AF15" s="1321" t="n"/>
      <c r="AG15" s="1321" t="n"/>
      <c r="AH15" s="709" t="n"/>
    </row>
    <row r="16" ht="15.75" customHeight="1" s="1173">
      <c r="B16" s="210" t="n"/>
      <c r="C16" s="248" t="inlineStr">
        <is>
          <t>Os Preços-Alvo -  BRL</t>
        </is>
      </c>
      <c r="D16" s="1341">
        <f>D13*2.2046*D29*15</f>
        <v/>
      </c>
      <c r="E16" s="323" t="n"/>
      <c r="F16" s="1341">
        <f>F13*D29</f>
        <v/>
      </c>
      <c r="G16" s="1341" t="n"/>
      <c r="H16" s="1341">
        <f>H13*D29</f>
        <v/>
      </c>
      <c r="I16" s="323" t="n"/>
      <c r="J16" s="1342">
        <f>J13*D29</f>
        <v/>
      </c>
      <c r="K16" s="255" t="n"/>
      <c r="L16" s="243" t="n"/>
      <c r="P16" s="856" t="inlineStr">
        <is>
          <t>Total Reais:</t>
        </is>
      </c>
      <c r="Q16" s="1343">
        <f>Q15*D13*D29</f>
        <v/>
      </c>
      <c r="AB16" s="1317" t="n">
        <v>1813938</v>
      </c>
      <c r="AD16" s="201" t="n">
        <v>0</v>
      </c>
      <c r="AH16" s="709" t="n"/>
    </row>
    <row r="17" ht="12.75" customHeight="1" s="1173">
      <c r="B17" s="210" t="n"/>
      <c r="C17" s="273" t="n"/>
      <c r="D17" s="217" t="inlineStr">
        <is>
          <t>Por Arroba</t>
        </is>
      </c>
      <c r="E17" s="323" t="n"/>
      <c r="F17" s="1344" t="inlineStr">
        <is>
          <t>Por Saca</t>
        </is>
      </c>
      <c r="G17" s="1344" t="n"/>
      <c r="H17" s="323" t="inlineStr">
        <is>
          <t>Por Saca</t>
        </is>
      </c>
      <c r="I17" s="323" t="n"/>
      <c r="J17" s="217" t="inlineStr">
        <is>
          <t>Por tonelada</t>
        </is>
      </c>
      <c r="K17" s="215" t="n"/>
      <c r="L17" s="243" t="n"/>
      <c r="P17" s="856" t="inlineStr">
        <is>
          <t>Check:</t>
        </is>
      </c>
      <c r="Q17" s="1343">
        <f>Q16-D43</f>
        <v/>
      </c>
      <c r="AD17" s="201" t="n"/>
    </row>
    <row r="18" ht="13.5" customHeight="1" s="1173" thickBot="1">
      <c r="B18" s="210" t="n"/>
      <c r="C18" s="273" t="n"/>
      <c r="D18" s="215" t="n"/>
      <c r="E18" s="247" t="n"/>
      <c r="F18" s="1345" t="n"/>
      <c r="G18" s="1345" t="n"/>
      <c r="H18" s="247" t="n"/>
      <c r="I18" s="247" t="n"/>
      <c r="J18" s="215" t="n"/>
      <c r="K18" s="215" t="n"/>
      <c r="L18" s="243" t="n"/>
      <c r="AA18" s="262" t="n"/>
      <c r="AB18" s="857" t="n"/>
      <c r="AC18" s="262" t="n"/>
      <c r="AD18" s="201" t="n"/>
    </row>
    <row r="19" ht="15.75" customHeight="1" s="1173" thickBot="1">
      <c r="B19" s="210" t="n"/>
      <c r="C19" s="273" t="inlineStr">
        <is>
          <t xml:space="preserve">Custo do descaroçamento por arroba pluma </t>
        </is>
      </c>
      <c r="D19" s="1346" t="n">
        <v>8.25</v>
      </c>
      <c r="E19" s="264" t="n"/>
      <c r="F19" s="1347" t="n"/>
      <c r="G19" s="701" t="n"/>
      <c r="H19" s="1348" t="n"/>
      <c r="I19" s="1349" t="n"/>
      <c r="J19" s="265" t="n"/>
      <c r="K19" s="265" t="n"/>
      <c r="L19" s="243" t="n"/>
      <c r="AB19" s="860">
        <f>AB6-AB16</f>
        <v/>
      </c>
    </row>
    <row r="20" ht="15.75" customHeight="1" s="1173" thickBot="1">
      <c r="B20" s="210" t="n"/>
      <c r="C20" s="273" t="n"/>
      <c r="D20" s="1350" t="n"/>
      <c r="E20" s="267" t="n"/>
      <c r="F20" s="1351" t="n"/>
      <c r="G20" s="267" t="n"/>
      <c r="H20" s="1348" t="n"/>
      <c r="I20" s="1349" t="n"/>
      <c r="J20" s="265" t="n"/>
      <c r="K20" s="265" t="n"/>
      <c r="L20" s="243" t="n"/>
      <c r="AB20" s="291">
        <f>1-(AA9/AB19)</f>
        <v/>
      </c>
      <c r="AC20" s="705">
        <f>(AC21*AB20)/AB21</f>
        <v/>
      </c>
      <c r="AD20" s="856" t="inlineStr">
        <is>
          <t>Meta</t>
        </is>
      </c>
    </row>
    <row r="21" ht="15.75" customHeight="1" s="1173" thickBot="1">
      <c r="B21" s="210" t="n"/>
      <c r="C21" s="273" t="inlineStr">
        <is>
          <t>Percentual vendidos no Pessoa Juridica</t>
        </is>
      </c>
      <c r="D21" s="1352" t="n">
        <v>1</v>
      </c>
      <c r="E21" s="247" t="n"/>
      <c r="F21" s="1353">
        <f>D19-F19</f>
        <v/>
      </c>
      <c r="G21" s="247" t="n"/>
      <c r="H21" s="215" t="inlineStr">
        <is>
          <t xml:space="preserve"> </t>
        </is>
      </c>
      <c r="I21" s="215" t="n"/>
      <c r="J21" s="1354" t="n"/>
      <c r="K21" s="1355" t="n"/>
      <c r="L21" s="243" t="n"/>
      <c r="AB21" s="856" t="n">
        <v>100</v>
      </c>
      <c r="AC21" s="856" t="n">
        <v>70</v>
      </c>
    </row>
    <row r="22" ht="15.75" customHeight="1" s="1173" thickBot="1">
      <c r="B22" s="210" t="n"/>
      <c r="C22" s="273" t="inlineStr">
        <is>
          <t>Percentual da algodão exportado</t>
        </is>
      </c>
      <c r="D22" s="1352" t="n">
        <v>1</v>
      </c>
      <c r="E22" s="247" t="n"/>
      <c r="F22" s="215" t="inlineStr">
        <is>
          <t xml:space="preserve"> </t>
        </is>
      </c>
      <c r="G22" s="247" t="n"/>
      <c r="H22" s="215" t="inlineStr">
        <is>
          <t xml:space="preserve"> </t>
        </is>
      </c>
      <c r="I22" s="215" t="n"/>
      <c r="J22" s="1354" t="n"/>
      <c r="K22" s="1355" t="n"/>
      <c r="L22" s="243" t="n"/>
    </row>
    <row r="23" ht="15.75" customHeight="1" s="1173" thickBot="1">
      <c r="B23" s="210" t="n"/>
      <c r="C23" s="273" t="inlineStr">
        <is>
          <t>Percentual da soja e milho vendidos na Bahia</t>
        </is>
      </c>
      <c r="D23" s="1352" t="n">
        <v>1</v>
      </c>
      <c r="E23" s="247" t="n"/>
      <c r="F23" s="215" t="inlineStr">
        <is>
          <t xml:space="preserve"> </t>
        </is>
      </c>
      <c r="G23" s="247" t="n"/>
      <c r="H23" s="215" t="inlineStr">
        <is>
          <t xml:space="preserve"> </t>
        </is>
      </c>
      <c r="I23" s="215" t="n"/>
      <c r="J23" s="1354" t="n"/>
      <c r="K23" s="1355" t="n"/>
      <c r="L23" s="243" t="n"/>
    </row>
    <row r="24" ht="15.75" customHeight="1" s="1173" thickBot="1">
      <c r="B24" s="210" t="n"/>
      <c r="C24" s="273" t="inlineStr">
        <is>
          <t>Percentual da caroço vendidos para indústria</t>
        </is>
      </c>
      <c r="D24" s="1352" t="n">
        <v>1</v>
      </c>
      <c r="E24" s="247" t="n"/>
      <c r="F24" s="215" t="inlineStr">
        <is>
          <t xml:space="preserve"> </t>
        </is>
      </c>
      <c r="G24" s="247" t="n"/>
      <c r="H24" s="215" t="inlineStr">
        <is>
          <t xml:space="preserve"> </t>
        </is>
      </c>
      <c r="I24" s="215" t="n"/>
      <c r="J24" s="1354" t="n"/>
      <c r="K24" s="1355" t="n"/>
      <c r="L24" s="243" t="n"/>
    </row>
    <row r="25" s="1173" thickBot="1">
      <c r="B25" s="210" t="n"/>
      <c r="C25" s="273" t="n"/>
      <c r="D25" s="1356" t="n"/>
      <c r="E25" s="215" t="n"/>
      <c r="F25" s="273" t="n"/>
      <c r="G25" s="215" t="n"/>
      <c r="H25" s="1357" t="n"/>
      <c r="I25" s="215" t="n"/>
      <c r="J25" s="215" t="n"/>
      <c r="K25" s="215" t="n"/>
      <c r="L25" s="243" t="n"/>
    </row>
    <row r="26" ht="15.75" customHeight="1" s="1173" thickBot="1">
      <c r="B26" s="210" t="n"/>
      <c r="C26" s="273" t="inlineStr">
        <is>
          <t>Pluma Percentuais</t>
        </is>
      </c>
      <c r="D26" s="1352" t="n">
        <v>0.4</v>
      </c>
      <c r="E26" s="247" t="n"/>
      <c r="F26" s="215" t="inlineStr">
        <is>
          <t xml:space="preserve"> </t>
        </is>
      </c>
      <c r="G26" s="247" t="n"/>
      <c r="H26" s="215" t="inlineStr">
        <is>
          <t xml:space="preserve"> </t>
        </is>
      </c>
      <c r="I26" s="215" t="n"/>
      <c r="J26" s="1352" t="n">
        <v>0.52</v>
      </c>
      <c r="K26" s="1355" t="n"/>
      <c r="L26" s="243" t="n"/>
    </row>
    <row r="27" ht="15.75" customHeight="1" s="1173" thickBot="1">
      <c r="B27" s="210" t="n"/>
      <c r="C27" s="273" t="n"/>
      <c r="D27" s="1354" t="n"/>
      <c r="E27" s="247" t="n"/>
      <c r="F27" s="215" t="n"/>
      <c r="G27" s="247" t="n"/>
      <c r="H27" s="215" t="n"/>
      <c r="I27" s="215" t="n"/>
      <c r="J27" s="1355" t="n"/>
      <c r="K27" s="1355" t="n"/>
      <c r="L27" s="243" t="n"/>
    </row>
    <row r="28" ht="15.75" customHeight="1" s="1173" thickBot="1">
      <c r="B28" s="210" t="n"/>
      <c r="C28" s="273" t="inlineStr">
        <is>
          <t>Subsídios</t>
        </is>
      </c>
      <c r="D28" s="275" t="n">
        <v>0</v>
      </c>
      <c r="E28" s="247" t="n"/>
      <c r="F28" s="215" t="n"/>
      <c r="G28" s="247" t="n"/>
      <c r="H28" s="215" t="n"/>
      <c r="I28" s="215" t="n"/>
      <c r="J28" s="1355" t="n"/>
      <c r="K28" s="1355" t="n"/>
      <c r="L28" s="243" t="n"/>
    </row>
    <row r="29" ht="15.75" customHeight="1" s="1173" thickBot="1">
      <c r="B29" s="210" t="n"/>
      <c r="C29" s="273" t="inlineStr">
        <is>
          <t>Taxa de câmbio (R$ por USD)</t>
        </is>
      </c>
      <c r="D29" s="1358" t="n">
        <v>5.4</v>
      </c>
      <c r="E29" s="1358" t="n"/>
      <c r="F29" s="1358" t="inlineStr">
        <is>
          <t>BRL/USD</t>
        </is>
      </c>
      <c r="G29" s="247" t="n"/>
      <c r="H29" s="215" t="n"/>
      <c r="I29" s="215" t="n"/>
      <c r="J29" s="1338" t="n"/>
      <c r="K29" s="1355" t="n"/>
      <c r="L29" s="243" t="n"/>
    </row>
    <row r="30" ht="12.75" customHeight="1" s="1173">
      <c r="B30" s="210" t="n"/>
      <c r="C30" s="273" t="n"/>
      <c r="D30" s="277" t="n"/>
      <c r="E30" s="247" t="n"/>
      <c r="F30" s="215" t="n"/>
      <c r="G30" s="247" t="n"/>
      <c r="H30" s="215" t="n"/>
      <c r="I30" s="215" t="n"/>
      <c r="J30" s="1355" t="n"/>
      <c r="K30" s="1355" t="n"/>
      <c r="L30" s="243" t="n"/>
    </row>
    <row r="31" ht="12.75" customHeight="1" s="1173">
      <c r="B31" s="210" t="n"/>
      <c r="C31" s="273" t="n"/>
      <c r="D31" s="277" t="n"/>
      <c r="E31" s="277" t="n"/>
      <c r="F31" s="277" t="n"/>
      <c r="G31" s="277" t="inlineStr">
        <is>
          <t xml:space="preserve"> </t>
        </is>
      </c>
      <c r="H31" s="277" t="n"/>
      <c r="I31" s="215" t="n"/>
      <c r="J31" s="1355" t="n"/>
      <c r="K31" s="1355" t="n"/>
      <c r="L31" s="243" t="n"/>
    </row>
    <row r="32" ht="15.75" customHeight="1" s="1173" thickBot="1">
      <c r="B32" s="210" t="n"/>
      <c r="C32" s="856" t="inlineStr">
        <is>
          <t>Em EUA dolares $$ por hectare</t>
        </is>
      </c>
      <c r="D32" s="212">
        <f>D35</f>
        <v/>
      </c>
      <c r="F32" s="212">
        <f>F35</f>
        <v/>
      </c>
      <c r="G32" s="214" t="n"/>
      <c r="H32" s="212">
        <f>H35</f>
        <v/>
      </c>
      <c r="J32" s="357" t="n"/>
      <c r="K32" s="357" t="n"/>
      <c r="L32" s="199" t="n"/>
    </row>
    <row r="33" ht="13.5" customHeight="1" s="1173" thickBot="1">
      <c r="B33" s="210" t="n"/>
      <c r="C33" s="273" t="inlineStr">
        <is>
          <t>Custo defensivos, adubo, e semente - 24/25</t>
        </is>
      </c>
      <c r="D33" s="281" t="n">
        <v>0</v>
      </c>
      <c r="E33" s="1359" t="n"/>
      <c r="F33" s="283">
        <f>'Quimi. Fert. Semente'!G27</f>
        <v/>
      </c>
      <c r="G33" s="1360" t="inlineStr">
        <is>
          <t xml:space="preserve"> </t>
        </is>
      </c>
      <c r="H33" s="283">
        <f>'Quimi. Fert. Semente'!G28</f>
        <v/>
      </c>
      <c r="I33" s="285" t="n"/>
      <c r="J33" s="215" t="n"/>
      <c r="K33" s="215" t="n"/>
      <c r="L33" s="243" t="n"/>
    </row>
    <row r="34" ht="12.75" customFormat="1" customHeight="1" s="856">
      <c r="B34" s="210" t="n"/>
      <c r="C34" s="273" t="n"/>
      <c r="D34" s="277" t="n">
        <v>0</v>
      </c>
      <c r="E34" s="277" t="n"/>
      <c r="F34" s="277">
        <f>(F33*D29)-F36</f>
        <v/>
      </c>
      <c r="G34" s="277" t="n"/>
      <c r="H34" s="277">
        <f>(H33*D29)-H36</f>
        <v/>
      </c>
      <c r="I34" s="215" t="n"/>
      <c r="J34" s="1361" t="n"/>
      <c r="K34" s="1355" t="n"/>
      <c r="L34" s="243" t="n"/>
      <c r="M34" s="856" t="n"/>
      <c r="Q34" s="856" t="n"/>
      <c r="R34" s="856" t="n"/>
      <c r="S34" s="856" t="n"/>
      <c r="T34" s="856" t="n"/>
      <c r="U34" s="856" t="n"/>
      <c r="V34" s="856" t="n"/>
      <c r="W34" s="856" t="n"/>
    </row>
    <row r="35" ht="15.75" customFormat="1" customHeight="1" s="856" thickBot="1">
      <c r="B35" s="210" t="n"/>
      <c r="C35" s="856" t="inlineStr">
        <is>
          <t>Em BR reais R$ por hectare</t>
        </is>
      </c>
      <c r="D35" s="212">
        <f>D4</f>
        <v/>
      </c>
      <c r="E35" s="857" t="n"/>
      <c r="F35" s="212">
        <f>F4</f>
        <v/>
      </c>
      <c r="G35" s="214" t="n"/>
      <c r="H35" s="212">
        <f>H4</f>
        <v/>
      </c>
      <c r="I35" s="857" t="n"/>
      <c r="J35" s="357" t="n"/>
      <c r="K35" s="357" t="n"/>
      <c r="L35" s="199" t="n"/>
      <c r="M35" s="856" t="n"/>
      <c r="Q35" s="856" t="n"/>
      <c r="R35" s="856" t="n"/>
      <c r="S35" s="856" t="n"/>
      <c r="T35" s="856" t="n"/>
      <c r="U35" s="856" t="n"/>
      <c r="V35" s="856" t="n"/>
      <c r="W35" s="856" t="n"/>
    </row>
    <row r="36" ht="13.5" customFormat="1" customHeight="1" s="856" thickBot="1">
      <c r="B36" s="210" t="n"/>
      <c r="C36" s="273" t="inlineStr">
        <is>
          <t>Custo projetado de produção  25-26</t>
        </is>
      </c>
      <c r="D36" s="287" t="n">
        <v>0</v>
      </c>
      <c r="E36" s="323" t="n"/>
      <c r="F36" s="287">
        <f>'Quimi. Fert. Semente'!G22*'Orçam-Realiza'!D29</f>
        <v/>
      </c>
      <c r="G36" s="288" t="inlineStr">
        <is>
          <t xml:space="preserve"> </t>
        </is>
      </c>
      <c r="H36" s="287">
        <f>'Quimi. Fert. Semente'!G23*'Orçam-Realiza'!D29</f>
        <v/>
      </c>
      <c r="I36" s="285" t="n"/>
      <c r="J36" s="1362" t="n"/>
      <c r="K36" s="215" t="n"/>
      <c r="L36" s="243" t="n"/>
      <c r="M36" s="856" t="n"/>
      <c r="Q36" s="856" t="n"/>
      <c r="R36" s="856" t="n"/>
      <c r="S36" s="856" t="n"/>
      <c r="T36" s="856" t="n"/>
      <c r="U36" s="856" t="n"/>
      <c r="V36" s="856" t="n"/>
      <c r="W36" s="856" t="n"/>
    </row>
    <row r="37" ht="13.5" customFormat="1" customHeight="1" s="856" thickBot="1">
      <c r="B37" s="210" t="n"/>
      <c r="C37" s="273" t="inlineStr">
        <is>
          <t>Custo do ano anterior de produção - 2024</t>
        </is>
      </c>
      <c r="D37" s="290" t="n">
        <v>0</v>
      </c>
      <c r="E37" s="323" t="n"/>
      <c r="F37" s="290">
        <f>F33*D29</f>
        <v/>
      </c>
      <c r="G37" s="288" t="n"/>
      <c r="H37" s="290">
        <f>H33*D29</f>
        <v/>
      </c>
      <c r="I37" s="285" t="n"/>
      <c r="J37" s="1362" t="n"/>
      <c r="K37" s="215" t="n"/>
      <c r="L37" s="243" t="n"/>
      <c r="M37" s="856" t="n"/>
      <c r="Q37" s="856" t="n"/>
      <c r="R37" s="856" t="n"/>
      <c r="S37" s="856" t="n"/>
      <c r="T37" s="856" t="n"/>
      <c r="U37" s="856" t="n"/>
      <c r="V37" s="856" t="n"/>
      <c r="W37" s="856" t="n"/>
    </row>
    <row r="38" ht="12.75" customFormat="1" customHeight="1" s="856">
      <c r="B38" s="210" t="n"/>
      <c r="C38" s="273" t="n"/>
      <c r="D38" s="292" t="n"/>
      <c r="E38" s="247" t="n"/>
      <c r="F38" s="292" t="n"/>
      <c r="G38" s="292" t="n"/>
      <c r="H38" s="292" t="n"/>
      <c r="I38" s="285" t="n"/>
      <c r="J38" s="215" t="n"/>
      <c r="K38" s="215" t="n"/>
      <c r="L38" s="243" t="n"/>
      <c r="M38" s="856" t="n"/>
      <c r="Q38" s="856" t="n"/>
      <c r="R38" s="856" t="n"/>
      <c r="S38" s="856" t="n"/>
      <c r="T38" s="856" t="n"/>
      <c r="U38" s="856" t="n"/>
      <c r="V38" s="856" t="n"/>
      <c r="W38" s="856" t="n"/>
    </row>
    <row r="39" ht="12.75" customFormat="1" customHeight="1" s="856">
      <c r="B39" s="210" t="n"/>
      <c r="C39" s="273" t="n"/>
      <c r="D39" s="292" t="n"/>
      <c r="E39" s="247" t="n"/>
      <c r="F39" s="292" t="n"/>
      <c r="G39" s="292" t="n"/>
      <c r="H39" s="292" t="n"/>
      <c r="I39" s="285" t="n"/>
      <c r="J39" s="215" t="n"/>
      <c r="K39" s="215" t="n"/>
      <c r="L39" s="243" t="n"/>
      <c r="M39" s="856" t="n"/>
      <c r="O39" s="856" t="inlineStr">
        <is>
          <t>Algodão</t>
        </is>
      </c>
      <c r="Q39" s="856" t="inlineStr">
        <is>
          <t>Soja</t>
        </is>
      </c>
      <c r="R39" s="856" t="n"/>
      <c r="S39" s="856" t="inlineStr">
        <is>
          <t>Milho</t>
        </is>
      </c>
      <c r="T39" s="856" t="n"/>
      <c r="U39" s="856" t="n"/>
      <c r="V39" s="856" t="n"/>
      <c r="W39" s="856" t="n"/>
    </row>
    <row r="40" customFormat="1" s="856">
      <c r="B40" s="210" t="n"/>
      <c r="C40" s="856" t="n"/>
      <c r="D40" s="293" t="inlineStr">
        <is>
          <t>2025 - 2026 Safra</t>
        </is>
      </c>
      <c r="E40" s="294" t="n"/>
      <c r="F40" s="294" t="n"/>
      <c r="G40" s="294" t="n"/>
      <c r="H40" s="295" t="n"/>
      <c r="I40" s="857" t="n"/>
      <c r="J40" s="357" t="n"/>
      <c r="K40" s="357" t="n"/>
      <c r="L40" s="199" t="n"/>
      <c r="M40" s="856" t="n"/>
      <c r="O40" s="856" t="n">
        <v>3801.367589508236</v>
      </c>
      <c r="P40" s="856">
        <f>O40/Q40</f>
        <v/>
      </c>
      <c r="Q40" s="856" t="n">
        <v>1154.559924</v>
      </c>
      <c r="R40" s="856" t="n"/>
      <c r="S40" s="856" t="n">
        <v>1647.227904</v>
      </c>
      <c r="T40" s="856" t="n"/>
      <c r="U40" s="856" t="n"/>
      <c r="V40" s="856" t="n"/>
      <c r="W40" s="856" t="n"/>
    </row>
    <row r="41" customFormat="1" s="856">
      <c r="B41" s="210" t="n"/>
      <c r="C41" s="856" t="n"/>
      <c r="D41" s="857" t="n"/>
      <c r="E41" s="857" t="n"/>
      <c r="F41" s="296" t="inlineStr">
        <is>
          <t>Percentual  da</t>
        </is>
      </c>
      <c r="G41" s="1363" t="n"/>
      <c r="H41" s="857" t="n"/>
      <c r="I41" s="298" t="n"/>
      <c r="J41" s="357" t="n"/>
      <c r="K41" s="357" t="n"/>
      <c r="L41" s="199" t="n"/>
      <c r="M41" s="856" t="n"/>
      <c r="O41" s="299">
        <f>D5</f>
        <v/>
      </c>
      <c r="P41" s="299" t="n"/>
      <c r="Q41" s="299">
        <f>F5</f>
        <v/>
      </c>
      <c r="R41" s="299" t="n"/>
      <c r="S41" s="299">
        <f>H5</f>
        <v/>
      </c>
      <c r="T41" s="856" t="n"/>
      <c r="U41" s="856" t="n"/>
      <c r="V41" s="856" t="n"/>
      <c r="W41" s="856" t="n"/>
    </row>
    <row r="42" customFormat="1" s="856">
      <c r="B42" s="210" t="n"/>
      <c r="C42" s="300" t="n"/>
      <c r="D42" s="301" t="inlineStr">
        <is>
          <t>BRL$</t>
        </is>
      </c>
      <c r="E42" s="318" t="n"/>
      <c r="F42" s="303" t="inlineStr">
        <is>
          <t>Receitas</t>
        </is>
      </c>
      <c r="G42" s="1364" t="n"/>
      <c r="H42" s="857" t="n"/>
      <c r="I42" s="298" t="n"/>
      <c r="J42" s="357" t="n"/>
      <c r="K42" s="357" t="n"/>
      <c r="L42" s="199" t="n"/>
      <c r="M42" s="856" t="n"/>
      <c r="Q42" s="856" t="n"/>
      <c r="R42" s="856" t="n"/>
      <c r="S42" s="856" t="n"/>
      <c r="T42" s="856" t="n"/>
      <c r="U42" s="856" t="n"/>
      <c r="V42" s="856" t="n"/>
      <c r="W42" s="856" t="n"/>
    </row>
    <row r="43" customFormat="1" s="856">
      <c r="B43" s="210" t="n"/>
      <c r="C43" s="856" t="inlineStr">
        <is>
          <t>Vendas de algodão</t>
        </is>
      </c>
      <c r="D43" s="306">
        <f>D16*D10*D26*(D7+H43)</f>
        <v/>
      </c>
      <c r="E43" s="306" t="n"/>
      <c r="F43" s="1365">
        <f>D43/$D$48</f>
        <v/>
      </c>
      <c r="G43" s="1366" t="n"/>
      <c r="H43" s="192" t="n"/>
      <c r="I43" s="1367" t="n"/>
      <c r="J43" s="1368" t="n"/>
      <c r="K43" s="357" t="n"/>
      <c r="L43" s="1369" t="n"/>
      <c r="M43" s="856" t="n"/>
      <c r="Q43" s="856" t="n"/>
      <c r="R43" s="856" t="n"/>
      <c r="S43" s="856" t="n"/>
      <c r="T43" s="856" t="n"/>
      <c r="U43" s="856" t="n"/>
      <c r="V43" s="856" t="n"/>
      <c r="W43" s="856" t="n"/>
    </row>
    <row r="44" customFormat="1" s="856">
      <c r="B44" s="312" t="n"/>
      <c r="C44" s="856" t="inlineStr">
        <is>
          <t>Vendas de soja</t>
        </is>
      </c>
      <c r="D44" s="306">
        <f>F16*F10*F7</f>
        <v/>
      </c>
      <c r="E44" s="306" t="n"/>
      <c r="F44" s="1365">
        <f>D44/$D$48</f>
        <v/>
      </c>
      <c r="G44" s="1366" t="n"/>
      <c r="H44" s="192" t="n"/>
      <c r="I44" s="1367" t="n"/>
      <c r="J44" s="1370" t="n"/>
      <c r="K44" s="357" t="n"/>
      <c r="L44" s="199" t="n"/>
      <c r="M44" s="856" t="n"/>
      <c r="O44" s="299" t="n">
        <v>10327</v>
      </c>
      <c r="P44" s="299" t="n"/>
      <c r="Q44" s="299" t="n">
        <v>392</v>
      </c>
      <c r="R44" s="299" t="n"/>
      <c r="S44" s="299" t="n">
        <v>691</v>
      </c>
      <c r="T44" s="856" t="n"/>
      <c r="U44" s="856" t="n"/>
      <c r="V44" s="856" t="n"/>
      <c r="W44" s="856" t="n"/>
    </row>
    <row r="45" customFormat="1" s="856">
      <c r="B45" s="853" t="n"/>
      <c r="C45" s="856" t="inlineStr">
        <is>
          <t>Vendas de milho</t>
        </is>
      </c>
      <c r="D45" s="306">
        <f>H16*H10*H7</f>
        <v/>
      </c>
      <c r="E45" s="306" t="n"/>
      <c r="F45" s="1365">
        <f>D45/$D$48</f>
        <v/>
      </c>
      <c r="G45" s="1366" t="n"/>
      <c r="H45" s="192" t="n"/>
      <c r="I45" s="1367" t="n"/>
      <c r="J45" s="1371" t="n"/>
      <c r="K45" s="357" t="n"/>
      <c r="L45" s="199" t="n"/>
      <c r="M45" s="856" t="n"/>
      <c r="Q45" s="856" t="n"/>
      <c r="R45" s="856" t="n"/>
      <c r="S45" s="856" t="n"/>
      <c r="T45" s="856" t="n"/>
      <c r="U45" s="856" t="n"/>
      <c r="V45" s="856" t="n"/>
      <c r="W45" s="856" t="n"/>
      <c r="AC45" s="856" t="n"/>
      <c r="AD45" s="856" t="n"/>
    </row>
    <row r="46" customFormat="1" s="856">
      <c r="B46" s="316" t="inlineStr">
        <is>
          <t>RECEITAS</t>
        </is>
      </c>
      <c r="C46" s="273" t="inlineStr">
        <is>
          <t>Vendas de caroço</t>
        </is>
      </c>
      <c r="D46" s="306">
        <f>(D10*D7*J26*15)/1000*J16</f>
        <v/>
      </c>
      <c r="E46" s="306" t="n"/>
      <c r="F46" s="1365">
        <f>D46/$D$48</f>
        <v/>
      </c>
      <c r="G46" s="1366" t="n"/>
      <c r="H46" s="192" t="n"/>
      <c r="I46" s="1367" t="n"/>
      <c r="J46" s="1371" t="n"/>
      <c r="K46" s="357" t="n"/>
      <c r="L46" s="199" t="n"/>
      <c r="M46" s="856" t="n"/>
      <c r="Q46" s="856" t="n"/>
      <c r="R46" s="856" t="n"/>
      <c r="S46" s="856" t="n"/>
      <c r="T46" s="856" t="n"/>
      <c r="U46" s="856" t="n"/>
      <c r="V46" s="856" t="n"/>
      <c r="W46" s="856" t="n"/>
      <c r="AC46" s="857" t="n"/>
      <c r="AD46" s="317" t="n"/>
    </row>
    <row r="47" customFormat="1" s="856">
      <c r="B47" s="853" t="n"/>
      <c r="C47" s="856" t="inlineStr">
        <is>
          <t>Subsídio</t>
        </is>
      </c>
      <c r="D47" s="318">
        <f>D28</f>
        <v/>
      </c>
      <c r="E47" s="306" t="n"/>
      <c r="F47" s="1372">
        <f>D47/$D$48</f>
        <v/>
      </c>
      <c r="G47" s="1366" t="n"/>
      <c r="H47" s="192" t="n"/>
      <c r="I47" s="1367" t="n"/>
      <c r="J47" s="357" t="n"/>
      <c r="K47" s="357" t="n"/>
      <c r="L47" s="199" t="n"/>
      <c r="M47" s="856" t="n"/>
      <c r="N47" s="1373" t="n"/>
      <c r="O47" s="1374" t="n"/>
      <c r="Q47" s="856" t="n"/>
      <c r="R47" s="856" t="n"/>
      <c r="S47" s="856" t="n"/>
      <c r="T47" s="856" t="n"/>
      <c r="U47" s="856" t="n"/>
      <c r="V47" s="856" t="n"/>
      <c r="W47" s="856" t="n"/>
    </row>
    <row r="48" customFormat="1" s="856">
      <c r="B48" s="853" t="n"/>
      <c r="C48" s="336" t="inlineStr">
        <is>
          <t xml:space="preserve">    Receita Operacional Bruta</t>
        </is>
      </c>
      <c r="D48" s="323">
        <f>SUM(D43:D47)</f>
        <v/>
      </c>
      <c r="E48" s="323" t="n"/>
      <c r="F48" s="1375">
        <f>D48/$D$48</f>
        <v/>
      </c>
      <c r="G48" s="1376" t="n"/>
      <c r="H48" s="326" t="n"/>
      <c r="I48" s="1377" t="n"/>
      <c r="J48" s="328" t="n">
        <v>0.0353</v>
      </c>
      <c r="K48" s="328" t="n"/>
      <c r="L48" s="329" t="n"/>
      <c r="M48" s="991" t="n"/>
      <c r="N48" s="1373" t="n"/>
      <c r="O48" s="1374" t="n"/>
      <c r="Q48" s="856" t="n"/>
      <c r="R48" s="856" t="n"/>
      <c r="S48" s="856" t="n"/>
      <c r="T48" s="856" t="n"/>
      <c r="U48" s="856" t="n"/>
      <c r="V48" s="856" t="n"/>
      <c r="W48" s="856" t="n"/>
    </row>
    <row r="49" customFormat="1" s="856">
      <c r="B49" s="853" t="n"/>
      <c r="C49" s="856" t="inlineStr">
        <is>
          <t xml:space="preserve">(-) Deduções Vendas Tributos </t>
        </is>
      </c>
      <c r="D49" s="1378">
        <f>((0.25+1.2+1.08+1)%*D48)*-1</f>
        <v/>
      </c>
      <c r="E49" s="306" t="n"/>
      <c r="F49" s="1379">
        <f>D49/$D$48</f>
        <v/>
      </c>
      <c r="G49" s="1366" t="n"/>
      <c r="H49" s="192" t="n"/>
      <c r="I49" s="1367" t="n"/>
      <c r="J49" s="357" t="n"/>
      <c r="K49" s="357" t="n"/>
      <c r="L49" s="199" t="n"/>
      <c r="M49" s="857" t="n"/>
      <c r="N49" s="1373" t="n"/>
      <c r="O49" s="1374" t="n"/>
      <c r="Q49" s="856" t="n"/>
      <c r="R49" s="856" t="n"/>
      <c r="S49" s="856" t="n"/>
      <c r="T49" s="856" t="n"/>
      <c r="U49" s="856" t="n"/>
      <c r="V49" s="856" t="n"/>
      <c r="W49" s="856" t="n"/>
    </row>
    <row r="50" customFormat="1" s="856">
      <c r="B50" s="853" t="n"/>
      <c r="C50" s="856" t="n"/>
      <c r="D50" s="1380" t="n">
        <v>0</v>
      </c>
      <c r="E50" s="306" t="n"/>
      <c r="F50" s="1379">
        <f>D50/$D$48</f>
        <v/>
      </c>
      <c r="G50" s="1366" t="n"/>
      <c r="H50" s="192" t="n"/>
      <c r="I50" s="1367" t="n"/>
      <c r="J50" s="357" t="n"/>
      <c r="K50" s="357" t="n"/>
      <c r="L50" s="199" t="n"/>
      <c r="M50" s="856" t="n"/>
      <c r="N50" s="1373" t="n"/>
      <c r="O50" s="1374" t="n"/>
      <c r="Q50" s="856" t="n"/>
      <c r="R50" s="856" t="n"/>
      <c r="S50" s="856" t="n"/>
      <c r="T50" s="856" t="n"/>
      <c r="U50" s="856" t="n"/>
      <c r="V50" s="856" t="n"/>
      <c r="W50" s="856" t="n"/>
    </row>
    <row r="51">
      <c r="B51" s="853" t="n"/>
      <c r="C51" s="273" t="n"/>
      <c r="D51" s="1381" t="n">
        <v>0</v>
      </c>
      <c r="E51" s="306" t="n"/>
      <c r="F51" s="1382" t="inlineStr">
        <is>
          <t>Se tiver, estes serão removidos diretamente do Receita Liquida</t>
        </is>
      </c>
      <c r="G51" s="1383" t="inlineStr">
        <is>
          <t>Se tiver, estes serão removidos diretamente do Receita Liquida</t>
        </is>
      </c>
      <c r="H51" s="1383" t="inlineStr">
        <is>
          <t>Se tiver, estes serão removidos diretamente do Receita Liquida</t>
        </is>
      </c>
      <c r="I51" s="1383" t="inlineStr">
        <is>
          <t>Se tiver, estes serão removidos diretamente do Receita Liquida</t>
        </is>
      </c>
      <c r="J51" s="1383" t="inlineStr">
        <is>
          <t>Se tiver, estes serão removidos diretamente do Receita Liquida</t>
        </is>
      </c>
      <c r="K51" s="1383" t="inlineStr">
        <is>
          <t>Se tiver, estes serão removidos diretamente do Receita Liquida</t>
        </is>
      </c>
      <c r="L51" s="1383" t="inlineStr">
        <is>
          <t>Se tiver, estes serão removidos diretamente do Receita Liquida</t>
        </is>
      </c>
      <c r="M51" s="856" t="n"/>
      <c r="N51" s="1373" t="n"/>
      <c r="O51" s="1374" t="n"/>
    </row>
    <row r="52" customFormat="1" s="336">
      <c r="B52" s="333" t="n"/>
      <c r="C52" s="273" t="n"/>
      <c r="D52" s="1381" t="n">
        <v>0</v>
      </c>
      <c r="E52" s="306" t="n"/>
      <c r="F52" s="1383" t="inlineStr">
        <is>
          <t>Se tiver, estes serão removidos diretamente do Receita Liquida</t>
        </is>
      </c>
      <c r="G52" s="1383" t="inlineStr">
        <is>
          <t>Se tiver, estes serão removidos diretamente do Receita Liquida</t>
        </is>
      </c>
      <c r="H52" s="1383" t="inlineStr">
        <is>
          <t>Se tiver, estes serão removidos diretamente do Receita Liquida</t>
        </is>
      </c>
      <c r="I52" s="1383" t="inlineStr">
        <is>
          <t>Se tiver, estes serão removidos diretamente do Receita Liquida</t>
        </is>
      </c>
      <c r="J52" s="1383" t="inlineStr">
        <is>
          <t>Se tiver, estes serão removidos diretamente do Receita Liquida</t>
        </is>
      </c>
      <c r="K52" s="1383" t="inlineStr">
        <is>
          <t>Se tiver, estes serão removidos diretamente do Receita Liquida</t>
        </is>
      </c>
      <c r="L52" s="1383" t="inlineStr">
        <is>
          <t>Se tiver, estes serão removidos diretamente do Receita Liquida</t>
        </is>
      </c>
      <c r="M52" s="706" t="n"/>
      <c r="N52" s="1384" t="n"/>
      <c r="O52" s="1385" t="n"/>
      <c r="P52" s="336" t="n"/>
    </row>
    <row r="53">
      <c r="B53" s="853" t="n"/>
      <c r="C53" s="336" t="inlineStr">
        <is>
          <t xml:space="preserve">    Receita Operacional Líquida</t>
        </is>
      </c>
      <c r="D53" s="323">
        <f>SUM(D48:D52)</f>
        <v/>
      </c>
      <c r="E53" s="323" t="n"/>
      <c r="F53" s="1375">
        <f>D53/$D$48</f>
        <v/>
      </c>
      <c r="G53" s="1376" t="n"/>
      <c r="H53" s="192" t="n"/>
      <c r="I53" s="1377" t="n"/>
      <c r="J53" s="328" t="n"/>
      <c r="K53" s="328" t="n"/>
      <c r="L53" s="329" t="n"/>
      <c r="M53" s="707" t="n"/>
      <c r="N53" s="1373" t="n"/>
      <c r="O53" s="1374" t="n"/>
    </row>
    <row r="54">
      <c r="B54" s="853" t="n"/>
      <c r="C54" s="273" t="n"/>
      <c r="D54" s="306" t="n"/>
      <c r="E54" s="306" t="n"/>
      <c r="F54" s="1365" t="n"/>
      <c r="G54" s="1366" t="n"/>
      <c r="H54" s="11" t="inlineStr">
        <is>
          <t xml:space="preserve">alvo </t>
        </is>
      </c>
      <c r="I54" s="1386" t="n"/>
      <c r="J54" s="298" t="inlineStr">
        <is>
          <t xml:space="preserve">actual </t>
        </is>
      </c>
      <c r="K54" s="298" t="n"/>
      <c r="L54" s="338" t="inlineStr">
        <is>
          <t>Variencia</t>
        </is>
      </c>
      <c r="M54" s="856" t="n"/>
      <c r="N54" s="1373" t="n"/>
      <c r="O54" s="1374" t="n"/>
      <c r="AA54" s="856" t="inlineStr">
        <is>
          <t xml:space="preserve">  </t>
        </is>
      </c>
    </row>
    <row r="55">
      <c r="B55" s="333" t="inlineStr">
        <is>
          <t>(-) Indenização trabalhistas e ambientais</t>
        </is>
      </c>
      <c r="C55" s="339" t="inlineStr">
        <is>
          <t>(-) Milho Adubo (N,P,K,Calcario)</t>
        </is>
      </c>
      <c r="D55" s="1387">
        <f>-'Quimi. Fert. Semente'!N6*'Orçam-Realiza'!D29</f>
        <v/>
      </c>
      <c r="E55" s="306" t="n"/>
      <c r="F55" s="1379">
        <f>D55/$D$79</f>
        <v/>
      </c>
      <c r="G55" s="1366" t="n"/>
      <c r="H55" s="1388" t="n"/>
      <c r="I55" s="1389" t="n"/>
      <c r="J55" s="1390" t="n"/>
      <c r="K55" s="854" t="n"/>
      <c r="L55" s="1391">
        <f>H55-J55</f>
        <v/>
      </c>
      <c r="M55" s="856" t="n"/>
      <c r="N55" s="1373" t="n"/>
      <c r="O55" s="1374" t="n"/>
      <c r="Q55" s="856" t="inlineStr">
        <is>
          <t>Seed</t>
        </is>
      </c>
      <c r="S55" s="856" t="inlineStr">
        <is>
          <t>Chemical</t>
        </is>
      </c>
      <c r="U55" s="856" t="inlineStr">
        <is>
          <t>Fertilizer</t>
        </is>
      </c>
      <c r="V55" s="856" t="inlineStr">
        <is>
          <t>Total</t>
        </is>
      </c>
    </row>
    <row r="56">
      <c r="B56" s="333" t="inlineStr">
        <is>
          <t>(-) Multas de Fiscalização</t>
        </is>
      </c>
      <c r="C56" s="339" t="inlineStr">
        <is>
          <t>(-) Milho Semente</t>
        </is>
      </c>
      <c r="D56" s="1387">
        <f>-'Quimi. Fert. Semente'!D8*'Orçam-Realiza'!D29</f>
        <v/>
      </c>
      <c r="E56" s="306" t="n"/>
      <c r="F56" s="1379">
        <f>D56/$D$79</f>
        <v/>
      </c>
      <c r="G56" s="1366" t="n"/>
      <c r="H56" s="1388" t="n"/>
      <c r="I56" s="1392" t="n"/>
      <c r="J56" s="1390" t="n"/>
      <c r="K56" s="854" t="n"/>
      <c r="L56" s="1391">
        <f>H56-J56</f>
        <v/>
      </c>
      <c r="M56" s="856" t="n"/>
      <c r="N56" s="1373" t="n"/>
      <c r="O56" s="1374" t="n"/>
      <c r="Q56" s="856" t="inlineStr">
        <is>
          <t>Seed</t>
        </is>
      </c>
      <c r="S56" s="856" t="inlineStr">
        <is>
          <t>Chemical</t>
        </is>
      </c>
      <c r="U56" s="856" t="inlineStr">
        <is>
          <t>Fertilizer</t>
        </is>
      </c>
      <c r="V56" s="856" t="inlineStr">
        <is>
          <t>Total</t>
        </is>
      </c>
      <c r="AG56" s="1393" t="n"/>
    </row>
    <row r="57" customFormat="1" s="336">
      <c r="B57" s="333" t="n"/>
      <c r="C57" s="339" t="inlineStr">
        <is>
          <t xml:space="preserve">(-) Milho Defensivos </t>
        </is>
      </c>
      <c r="D57" s="1387">
        <f>-'Quimi. Fert. Semente'!I8*'Orçam-Realiza'!D29</f>
        <v/>
      </c>
      <c r="E57" s="306" t="n"/>
      <c r="F57" s="1379">
        <f>D57/$D$79</f>
        <v/>
      </c>
      <c r="G57" s="1366" t="n"/>
      <c r="H57" s="1388" t="n"/>
      <c r="I57" s="1392" t="n"/>
      <c r="J57" s="1390" t="n"/>
      <c r="K57" s="854" t="n"/>
      <c r="L57" s="1391">
        <f>H57-J57</f>
        <v/>
      </c>
      <c r="M57" s="336" t="n"/>
      <c r="N57" s="1384" t="n"/>
      <c r="O57" s="1385" t="n"/>
      <c r="P57" s="336" t="n"/>
    </row>
    <row r="58" customFormat="1" s="336">
      <c r="B58" s="333" t="n"/>
      <c r="C58" s="350" t="inlineStr">
        <is>
          <t>(-) Soja Adubo (N,P,K,Calcario)</t>
        </is>
      </c>
      <c r="D58" s="1387">
        <f>-'Quimi. Fert. Semente'!N5*'Orçam-Realiza'!D29</f>
        <v/>
      </c>
      <c r="E58" s="306" t="n"/>
      <c r="F58" s="1379">
        <f>D58/$D$79</f>
        <v/>
      </c>
      <c r="G58" s="1366" t="n"/>
      <c r="H58" s="1388" t="n"/>
      <c r="I58" s="1392" t="n"/>
      <c r="J58" s="1390" t="n"/>
      <c r="K58" s="854" t="n"/>
      <c r="L58" s="1391">
        <f>H58-J58</f>
        <v/>
      </c>
      <c r="M58" s="336" t="n"/>
      <c r="N58" s="1384" t="n"/>
      <c r="O58" s="1385" t="n"/>
      <c r="P58" s="336" t="n"/>
    </row>
    <row r="59" customFormat="1" s="336">
      <c r="B59" s="333" t="n"/>
      <c r="C59" s="350" t="inlineStr">
        <is>
          <t>(-) Soja Semente</t>
        </is>
      </c>
      <c r="D59" s="1387">
        <f>-'Quimi. Fert. Semente'!D5*'Orçam-Realiza'!D29</f>
        <v/>
      </c>
      <c r="E59" s="306" t="n"/>
      <c r="F59" s="1379">
        <f>D59/$D$79</f>
        <v/>
      </c>
      <c r="G59" s="1366" t="n"/>
      <c r="H59" s="1388" t="n"/>
      <c r="I59" s="1392" t="n"/>
      <c r="J59" s="1390" t="n"/>
      <c r="K59" s="854" t="n"/>
      <c r="L59" s="1391">
        <f>H59-J59</f>
        <v/>
      </c>
      <c r="M59" s="336" t="n"/>
      <c r="N59" s="1384" t="n"/>
      <c r="O59" s="1385" t="n"/>
      <c r="P59" s="336" t="n"/>
    </row>
    <row r="60" customFormat="1" s="336">
      <c r="B60" s="333" t="n"/>
      <c r="C60" s="350" t="inlineStr">
        <is>
          <t xml:space="preserve">(-) Soja Defensivos </t>
        </is>
      </c>
      <c r="D60" s="1387">
        <f>-'Quimi. Fert. Semente'!I5*'Orçam-Realiza'!D29</f>
        <v/>
      </c>
      <c r="E60" s="306" t="n"/>
      <c r="F60" s="1379">
        <f>D60/$D$79</f>
        <v/>
      </c>
      <c r="G60" s="1366" t="n"/>
      <c r="H60" s="1388" t="n"/>
      <c r="I60" s="1392" t="n"/>
      <c r="J60" s="1390" t="n"/>
      <c r="K60" s="854" t="n"/>
      <c r="L60" s="1391">
        <f>H60-J60</f>
        <v/>
      </c>
      <c r="M60" s="336" t="n"/>
      <c r="N60" s="1384" t="n"/>
      <c r="O60" s="1385" t="n"/>
      <c r="P60" s="336" t="n"/>
    </row>
    <row r="61" customFormat="1" s="336">
      <c r="B61" s="333" t="n"/>
      <c r="C61" s="351" t="inlineStr">
        <is>
          <t>(-) Algodão Adubo (N,P,K,Calcario)</t>
        </is>
      </c>
      <c r="D61" s="1387">
        <f>-('[1]Quimic. Fertil. Sement.'!N7)*4</f>
        <v/>
      </c>
      <c r="E61" s="306" t="n"/>
      <c r="F61" s="1379">
        <f>D61/$D$79</f>
        <v/>
      </c>
      <c r="G61" s="1366" t="n"/>
      <c r="H61" s="1388" t="n"/>
      <c r="I61" s="1392" t="n"/>
      <c r="J61" s="1390" t="n"/>
      <c r="K61" s="854" t="n"/>
      <c r="L61" s="1391">
        <f>H61-J61</f>
        <v/>
      </c>
      <c r="M61" s="336" t="n"/>
      <c r="N61" s="1384" t="n"/>
      <c r="O61" s="1385" t="n"/>
      <c r="P61" s="336" t="n"/>
    </row>
    <row r="62" customFormat="1" s="336">
      <c r="B62" s="333" t="n"/>
      <c r="C62" s="351" t="inlineStr">
        <is>
          <t>(-) Algodão Semente</t>
        </is>
      </c>
      <c r="D62" s="1387">
        <f>-(SUM('[1]Quimic. Fertil. Sement.'!D10:D13))*4</f>
        <v/>
      </c>
      <c r="E62" s="306" t="n"/>
      <c r="F62" s="1379">
        <f>D62/$D$79</f>
        <v/>
      </c>
      <c r="G62" s="1366" t="n"/>
      <c r="H62" s="1388" t="n"/>
      <c r="I62" s="1392" t="n"/>
      <c r="J62" s="1390" t="n"/>
      <c r="K62" s="854" t="n"/>
      <c r="L62" s="1391">
        <f>H62-J62</f>
        <v/>
      </c>
      <c r="M62" s="336" t="n"/>
      <c r="N62" s="1384" t="n"/>
      <c r="O62" s="1385" t="n"/>
      <c r="P62" s="336" t="n"/>
    </row>
    <row r="63" customFormat="1" s="336">
      <c r="B63" s="333" t="n"/>
      <c r="C63" s="351" t="inlineStr">
        <is>
          <t xml:space="preserve">(-) Algdodão Defensivos </t>
        </is>
      </c>
      <c r="D63" s="1387">
        <f>-(SUM('[1]Quimic. Fertil. Sement.'!I10:I13))*4</f>
        <v/>
      </c>
      <c r="E63" s="306" t="n"/>
      <c r="F63" s="1379">
        <f>D63/$D$79</f>
        <v/>
      </c>
      <c r="G63" s="1366" t="n"/>
      <c r="H63" s="1388" t="n"/>
      <c r="I63" s="1392" t="n"/>
      <c r="J63" s="1390" t="n"/>
      <c r="K63" s="854" t="n"/>
      <c r="L63" s="1391">
        <f>H63-J63</f>
        <v/>
      </c>
      <c r="M63" s="336" t="n"/>
      <c r="N63" s="1384" t="n"/>
      <c r="O63" s="1385" t="n"/>
      <c r="P63" s="336" t="n"/>
    </row>
    <row r="64">
      <c r="B64" s="333" t="inlineStr">
        <is>
          <t>(-) C.P.V (Custo do Produção Vendido)</t>
        </is>
      </c>
      <c r="C64" s="856" t="inlineStr">
        <is>
          <t>(-) arrendamento</t>
        </is>
      </c>
      <c r="D64" s="1387" t="n"/>
      <c r="E64" s="306" t="n"/>
      <c r="F64" s="1379">
        <f>D64/$D$79</f>
        <v/>
      </c>
      <c r="G64" s="1366" t="n"/>
      <c r="H64" s="1388" t="n"/>
      <c r="I64" s="1392" t="n"/>
      <c r="J64" s="1390" t="n"/>
      <c r="K64" s="854" t="n"/>
      <c r="L64" s="1391" t="n">
        <v>0</v>
      </c>
      <c r="M64" s="856" t="n"/>
      <c r="N64" s="1373" t="n"/>
      <c r="O64" s="1374" t="n"/>
      <c r="Q64" s="856" t="inlineStr">
        <is>
          <t>Seed</t>
        </is>
      </c>
      <c r="S64" s="856" t="inlineStr">
        <is>
          <t>Chemical</t>
        </is>
      </c>
      <c r="U64" s="856" t="inlineStr">
        <is>
          <t>Fertilizer</t>
        </is>
      </c>
      <c r="V64" s="856" t="inlineStr">
        <is>
          <t>Total</t>
        </is>
      </c>
    </row>
    <row r="65">
      <c r="B65" s="853" t="n"/>
      <c r="C65" s="856" t="inlineStr">
        <is>
          <t>(-) Salários, Provisões e Encargos (fazenda)</t>
        </is>
      </c>
      <c r="D65" s="1387">
        <f>-'Orçamento Resumo'!K15</f>
        <v/>
      </c>
      <c r="E65" s="306" t="n"/>
      <c r="F65" s="1379">
        <f>D65/$D$79</f>
        <v/>
      </c>
      <c r="G65" s="1366" t="n"/>
      <c r="H65" s="1394" t="n"/>
      <c r="I65" s="1392" t="n"/>
      <c r="J65" s="1390" t="n"/>
      <c r="K65" s="854" t="n"/>
      <c r="L65" s="1391">
        <f>H65-J65</f>
        <v/>
      </c>
      <c r="M65" s="1393">
        <f>(D65/5750)</f>
        <v/>
      </c>
      <c r="N65" s="1373" t="n"/>
      <c r="O65" s="1374" t="n"/>
      <c r="P65" s="856" t="n">
        <v>116.0925205923788</v>
      </c>
      <c r="Q65" s="856" t="n">
        <v>982142.7242115247</v>
      </c>
      <c r="R65" s="856" t="n">
        <v>489</v>
      </c>
      <c r="S65" s="856" t="n">
        <v>4136940</v>
      </c>
      <c r="T65" s="856" t="n">
        <v>355.9074794076213</v>
      </c>
      <c r="U65" s="856" t="n">
        <v>3010977.275788476</v>
      </c>
      <c r="V65" s="856">
        <f>T65+R65+P65</f>
        <v/>
      </c>
      <c r="W65" s="856">
        <f>U65+S65+Q65</f>
        <v/>
      </c>
    </row>
    <row r="66" customFormat="1" s="856">
      <c r="B66" s="853" t="n"/>
      <c r="C66" s="856" t="inlineStr">
        <is>
          <t xml:space="preserve">(-) Combustível e óleo </t>
        </is>
      </c>
      <c r="D66" s="1387">
        <f>-SUM('Orçamento Resumo'!B15:D15)</f>
        <v/>
      </c>
      <c r="E66" s="306" t="n"/>
      <c r="F66" s="1379">
        <f>D66/$D$79</f>
        <v/>
      </c>
      <c r="G66" s="1366" t="n"/>
      <c r="H66" s="1394" t="n"/>
      <c r="I66" s="1392" t="n"/>
      <c r="J66" s="1390" t="n"/>
      <c r="K66" s="854" t="n"/>
      <c r="L66" s="1391">
        <f>H66-J66</f>
        <v/>
      </c>
      <c r="M66" s="1393">
        <f>(D66/5750)</f>
        <v/>
      </c>
      <c r="N66" s="1373" t="n"/>
      <c r="O66" s="1374" t="n"/>
      <c r="P66" s="856" t="n">
        <v>44</v>
      </c>
      <c r="Q66" s="856" t="n">
        <v>17600</v>
      </c>
      <c r="R66" s="856" t="n">
        <v>290.4639988143208</v>
      </c>
      <c r="S66" s="856" t="n">
        <v>116185.5995257283</v>
      </c>
      <c r="T66" s="856" t="n">
        <v>152.93</v>
      </c>
      <c r="U66" s="856" t="n">
        <v>61172</v>
      </c>
      <c r="V66" s="856">
        <f>T66+R66+P66</f>
        <v/>
      </c>
      <c r="W66" s="856">
        <f>U66+S66+Q66</f>
        <v/>
      </c>
    </row>
    <row r="67">
      <c r="B67" s="853" t="n"/>
      <c r="C67" s="856" t="inlineStr">
        <is>
          <t>(-) Avião</t>
        </is>
      </c>
      <c r="D67" s="1387">
        <f>-'Orçamento Resumo'!L15</f>
        <v/>
      </c>
      <c r="E67" s="306" t="n"/>
      <c r="F67" s="1379">
        <f>D67/$D$79</f>
        <v/>
      </c>
      <c r="G67" s="1366" t="n"/>
      <c r="H67" s="1394" t="n"/>
      <c r="I67" s="1392" t="n"/>
      <c r="J67" s="1390" t="n"/>
      <c r="K67" s="854" t="n"/>
      <c r="L67" s="1391">
        <f>H67-J67</f>
        <v/>
      </c>
      <c r="M67" s="1393">
        <f>(D67/5750)</f>
        <v/>
      </c>
      <c r="N67" s="1373" t="n"/>
      <c r="O67" s="1374" t="n"/>
    </row>
    <row r="68" ht="15.75" customHeight="1" s="1173">
      <c r="B68" s="853" t="n"/>
      <c r="C68" s="856" t="inlineStr">
        <is>
          <t>(-) Depreciação (fazenda)</t>
        </is>
      </c>
      <c r="D68" s="1395">
        <f>-'Deprecisação '!Q174</f>
        <v/>
      </c>
      <c r="E68" s="306" t="n"/>
      <c r="F68" s="1379">
        <f>D68/$D$79</f>
        <v/>
      </c>
      <c r="G68" s="1366" t="n"/>
      <c r="H68" s="1388" t="n"/>
      <c r="I68" s="1392" t="n"/>
      <c r="J68" s="1390" t="n"/>
      <c r="K68" s="854" t="n"/>
      <c r="L68" s="1391" t="n">
        <v>0</v>
      </c>
      <c r="M68" s="1393">
        <f>(D68/5750)</f>
        <v/>
      </c>
      <c r="N68" s="1373" t="n"/>
      <c r="O68" s="1374" t="n"/>
      <c r="Q68" s="856">
        <f>SUM(Q65:Q66)</f>
        <v/>
      </c>
      <c r="R68" s="856" t="n"/>
      <c r="S68" s="856">
        <f>SUM(S65:S66)</f>
        <v/>
      </c>
      <c r="U68" s="856">
        <f>SUM(U65:U66)</f>
        <v/>
      </c>
      <c r="V68" s="856">
        <f>SUM(V65:V66)</f>
        <v/>
      </c>
      <c r="W68" s="856">
        <f>SUM(W65:W66)</f>
        <v/>
      </c>
    </row>
    <row r="69" customFormat="1" s="856">
      <c r="B69" s="853" t="n"/>
      <c r="C69" s="856" t="inlineStr">
        <is>
          <t xml:space="preserve">(-) Manutenção, Concerto e Peças </t>
        </is>
      </c>
      <c r="D69" s="1387">
        <f>-'Orçamento Resumo'!E15</f>
        <v/>
      </c>
      <c r="E69" s="306" t="n"/>
      <c r="F69" s="1379">
        <f>D69/$D$79</f>
        <v/>
      </c>
      <c r="G69" s="1366" t="n"/>
      <c r="H69" s="1394" t="n"/>
      <c r="I69" s="1392" t="n"/>
      <c r="J69" s="1390" t="n"/>
      <c r="K69" s="854" t="n"/>
      <c r="L69" s="1391">
        <f>H69-J69</f>
        <v/>
      </c>
      <c r="M69" s="1393">
        <f>(D69/5750)</f>
        <v/>
      </c>
      <c r="N69" s="1373" t="n"/>
      <c r="O69" s="1374" t="n"/>
      <c r="P69" s="1396" t="n"/>
      <c r="Q69" s="857" t="n"/>
      <c r="S69" s="1393" t="n"/>
      <c r="U69" s="1393" t="n"/>
      <c r="W69" s="1393" t="n"/>
      <c r="AD69" s="1397" t="n"/>
      <c r="AE69" s="860" t="n"/>
    </row>
    <row r="70">
      <c r="B70" s="853" t="n"/>
      <c r="C70" s="856" t="inlineStr">
        <is>
          <t>(-) Alimentos</t>
        </is>
      </c>
      <c r="D70" s="1387">
        <f>-'Orçamento Resumo'!P15</f>
        <v/>
      </c>
      <c r="E70" s="306" t="n"/>
      <c r="F70" s="1379">
        <f>D70/$D$79</f>
        <v/>
      </c>
      <c r="G70" s="1366" t="n"/>
      <c r="H70" s="1394" t="n"/>
      <c r="I70" s="1392" t="n"/>
      <c r="J70" s="1390" t="n"/>
      <c r="K70" s="854" t="n"/>
      <c r="L70" s="1391">
        <f>H70-J70</f>
        <v/>
      </c>
      <c r="M70" s="1393">
        <f>(D70/5750)</f>
        <v/>
      </c>
      <c r="N70" s="1373" t="n"/>
      <c r="O70" s="1374" t="n"/>
      <c r="AD70" s="1397" t="n"/>
      <c r="AE70" s="860" t="n"/>
    </row>
    <row r="71">
      <c r="B71" s="853" t="n"/>
      <c r="C71" s="856" t="inlineStr">
        <is>
          <t>(-) Contratacao Serviços/Frete (terceiros)</t>
        </is>
      </c>
      <c r="D71" s="1387">
        <f>-'Orçamento Resumo'!M15</f>
        <v/>
      </c>
      <c r="E71" s="306" t="n"/>
      <c r="F71" s="1379">
        <f>D71/$D$79</f>
        <v/>
      </c>
      <c r="G71" s="1366" t="n"/>
      <c r="H71" s="1394" t="n"/>
      <c r="I71" s="1392" t="n"/>
      <c r="J71" s="1390" t="n"/>
      <c r="K71" s="854" t="n"/>
      <c r="L71" s="1391">
        <f>H71-J71</f>
        <v/>
      </c>
      <c r="M71" s="1393">
        <f>(D71/5750)</f>
        <v/>
      </c>
      <c r="N71" s="1373" t="n"/>
      <c r="O71" s="1374" t="n"/>
      <c r="P71" s="1396" t="n"/>
      <c r="Q71" s="857" t="n"/>
      <c r="S71" s="1393" t="n"/>
      <c r="U71" s="1393" t="n"/>
      <c r="W71" s="1393" t="n"/>
      <c r="AD71" s="1397" t="n"/>
      <c r="AE71" s="860" t="n"/>
    </row>
    <row r="72">
      <c r="B72" s="853" t="n"/>
      <c r="C72" s="856" t="inlineStr">
        <is>
          <t>(-) Silo Bag</t>
        </is>
      </c>
      <c r="D72" s="1387">
        <f>-'Orçamento Resumo'!F15</f>
        <v/>
      </c>
      <c r="E72" s="306" t="n"/>
      <c r="F72" s="1379">
        <f>D72/$D$79</f>
        <v/>
      </c>
      <c r="G72" s="1366" t="n"/>
      <c r="H72" s="1394" t="n"/>
      <c r="I72" s="1392" t="n"/>
      <c r="J72" s="1390" t="n"/>
      <c r="K72" s="854" t="n"/>
      <c r="L72" s="1391">
        <f>H72-J72</f>
        <v/>
      </c>
      <c r="M72" s="1393">
        <f>(D72/5750)</f>
        <v/>
      </c>
      <c r="N72" s="1373" t="n"/>
      <c r="O72" s="1374" t="n"/>
      <c r="AD72" s="1397" t="n"/>
      <c r="AE72" s="860" t="n"/>
    </row>
    <row r="73">
      <c r="B73" s="853" t="n"/>
      <c r="C73" s="856" t="inlineStr">
        <is>
          <t>(-) Veiculo</t>
        </is>
      </c>
      <c r="D73" s="1387">
        <f>-'Orçamento Resumo'!G15</f>
        <v/>
      </c>
      <c r="E73" s="306" t="n"/>
      <c r="F73" s="1379">
        <f>D73/$D$79</f>
        <v/>
      </c>
      <c r="G73" s="1366" t="n"/>
      <c r="H73" s="1394" t="n"/>
      <c r="I73" s="1392" t="n"/>
      <c r="J73" s="1390" t="n"/>
      <c r="K73" s="854" t="n"/>
      <c r="L73" s="1391">
        <f>H73-J73</f>
        <v/>
      </c>
      <c r="M73" s="1393">
        <f>(D73/5750)</f>
        <v/>
      </c>
      <c r="N73" s="1373" t="n"/>
      <c r="O73" s="1374" t="n"/>
      <c r="AD73" s="1397" t="n"/>
      <c r="AE73" s="860" t="n"/>
    </row>
    <row r="74">
      <c r="B74" s="853" t="n"/>
      <c r="C74" s="856" t="inlineStr">
        <is>
          <t>(-) Seguros</t>
        </is>
      </c>
      <c r="D74" s="1387">
        <f>-'Orçamento Resumo'!N15</f>
        <v/>
      </c>
      <c r="E74" s="306" t="n"/>
      <c r="F74" s="1379">
        <f>D74/$D$79</f>
        <v/>
      </c>
      <c r="G74" s="1366" t="n"/>
      <c r="H74" s="1394" t="n"/>
      <c r="I74" s="1392" t="n"/>
      <c r="K74" s="854" t="n"/>
      <c r="L74" s="1391">
        <f>H74-J74</f>
        <v/>
      </c>
      <c r="M74" s="1393">
        <f>(D74/5750)</f>
        <v/>
      </c>
      <c r="N74" s="1373" t="n"/>
      <c r="O74" s="1374" t="n"/>
      <c r="P74" s="1396" t="n"/>
      <c r="Q74" s="857" t="n"/>
      <c r="S74" s="1393" t="n"/>
      <c r="U74" s="1393" t="n"/>
      <c r="W74" s="1393" t="n"/>
      <c r="AD74" s="1397" t="n"/>
      <c r="AE74" s="860" t="n"/>
    </row>
    <row r="75">
      <c r="B75" s="853" t="n"/>
      <c r="C75" s="856" t="inlineStr">
        <is>
          <t>(-) Suprimentos</t>
        </is>
      </c>
      <c r="D75" s="1387">
        <f>-'Orçamento Resumo'!I15</f>
        <v/>
      </c>
      <c r="E75" s="306" t="n"/>
      <c r="F75" s="1379">
        <f>D75/$D$79</f>
        <v/>
      </c>
      <c r="G75" s="1366" t="n"/>
      <c r="H75" s="1394" t="n"/>
      <c r="I75" s="1392" t="n"/>
      <c r="J75" s="1390" t="n"/>
      <c r="K75" s="854" t="n"/>
      <c r="L75" s="1391">
        <f>H75-J75</f>
        <v/>
      </c>
      <c r="M75" s="1393">
        <f>(D75/5750)</f>
        <v/>
      </c>
      <c r="N75" s="1373" t="n"/>
      <c r="O75" s="1374" t="n"/>
      <c r="AA75" s="1393" t="n"/>
      <c r="AD75" s="1397" t="n"/>
      <c r="AE75" s="860" t="n"/>
    </row>
    <row r="76">
      <c r="B76" s="853" t="n"/>
      <c r="C76" s="856" t="inlineStr">
        <is>
          <t>(-) Utilidades (fazenda)</t>
        </is>
      </c>
      <c r="D76" s="1387">
        <f>-'Orçamento Resumo'!O15</f>
        <v/>
      </c>
      <c r="E76" s="306" t="n"/>
      <c r="F76" s="1379">
        <f>D76/$D$79</f>
        <v/>
      </c>
      <c r="G76" s="1366" t="n"/>
      <c r="H76" s="709" t="n"/>
      <c r="I76" s="1392" t="n"/>
      <c r="J76" s="1390" t="n"/>
      <c r="K76" s="854" t="n"/>
      <c r="L76" s="1391">
        <f>H76-J76</f>
        <v/>
      </c>
      <c r="M76" s="1393">
        <f>(D76/5750)</f>
        <v/>
      </c>
      <c r="N76" s="1373" t="n"/>
      <c r="O76" s="1374" t="n"/>
      <c r="AC76" s="494" t="n"/>
      <c r="AD76" s="1397" t="n"/>
      <c r="AE76" s="860" t="n"/>
    </row>
    <row r="77">
      <c r="B77" s="853" t="n"/>
      <c r="C77" s="856" t="inlineStr">
        <is>
          <t>(-) Aluguel de carro</t>
        </is>
      </c>
      <c r="D77" s="1387">
        <f>-'Orçamento Resumo'!H15</f>
        <v/>
      </c>
      <c r="E77" s="306" t="n"/>
      <c r="F77" s="1379">
        <f>D77/$D$79</f>
        <v/>
      </c>
      <c r="G77" s="1366" t="n"/>
      <c r="H77" s="1394" t="n"/>
      <c r="I77" s="1392" t="n"/>
      <c r="J77" s="1390" t="n"/>
      <c r="K77" s="854" t="n"/>
      <c r="L77" s="1391">
        <f>H77-J77</f>
        <v/>
      </c>
      <c r="M77" s="1393">
        <f>(D77/5750)</f>
        <v/>
      </c>
      <c r="N77" s="1373" t="n"/>
      <c r="O77" s="1374" t="n"/>
      <c r="AC77" s="494" t="n"/>
      <c r="AD77" s="1397" t="n"/>
      <c r="AE77" s="860" t="n"/>
    </row>
    <row r="78">
      <c r="B78" s="853" t="n"/>
      <c r="C78" s="856" t="inlineStr">
        <is>
          <t>(-) Serviços profissionais</t>
        </is>
      </c>
      <c r="D78" s="1387">
        <f>-'Orçamento Resumo'!J15</f>
        <v/>
      </c>
      <c r="E78" s="306" t="n"/>
      <c r="F78" s="1379">
        <f>D78/$D$79</f>
        <v/>
      </c>
      <c r="G78" s="1366" t="n"/>
      <c r="H78" s="1394" t="n"/>
      <c r="I78" s="1392" t="n"/>
      <c r="J78" s="1390" t="n"/>
      <c r="K78" s="854" t="n"/>
      <c r="L78" s="1391">
        <f>H78-J78</f>
        <v/>
      </c>
      <c r="M78" s="1393">
        <f>(D78/5750)</f>
        <v/>
      </c>
      <c r="N78" s="1373" t="n"/>
      <c r="O78" s="1374" t="n"/>
      <c r="AC78" s="494" t="n"/>
      <c r="AD78" s="1397" t="n"/>
      <c r="AE78" s="860" t="n"/>
    </row>
    <row r="79" ht="26.25" customHeight="1" s="1173">
      <c r="B79" s="853" t="n"/>
      <c r="C79" s="336" t="n"/>
      <c r="D79" s="1381">
        <f>SUM(D55:D78)</f>
        <v/>
      </c>
      <c r="E79" s="323" t="n"/>
      <c r="F79" s="1398">
        <f>SUM(F55:F78)</f>
        <v/>
      </c>
      <c r="G79" s="1376" t="n"/>
      <c r="H79" s="360">
        <f>SUM(H55:H78)</f>
        <v/>
      </c>
      <c r="I79" s="360" t="n"/>
      <c r="J79" s="360">
        <f>SUM(J55:J78)</f>
        <v/>
      </c>
      <c r="K79" s="328">
        <f>SUM(K55:K78)</f>
        <v/>
      </c>
      <c r="L79" s="1399">
        <f>SUM(L55:L78)</f>
        <v/>
      </c>
      <c r="M79" s="1393">
        <f>SUM(M66:M78)</f>
        <v/>
      </c>
      <c r="N79" s="1373" t="n"/>
      <c r="O79" s="1374" t="n"/>
      <c r="AD79" s="1397" t="n"/>
      <c r="AE79" s="860" t="n"/>
    </row>
    <row r="80" ht="21" customHeight="1" s="1173">
      <c r="B80" s="853" t="n"/>
      <c r="C80" s="362" t="inlineStr">
        <is>
          <t xml:space="preserve">    Lucro Bruto</t>
        </is>
      </c>
      <c r="D80" s="364">
        <f>D53+D79</f>
        <v/>
      </c>
      <c r="E80" s="364" t="n"/>
      <c r="F80" s="1400">
        <f>D80/$D$48</f>
        <v/>
      </c>
      <c r="G80" s="1401" t="n"/>
      <c r="H80" s="1108" t="n"/>
      <c r="I80" s="1402" t="n"/>
      <c r="J80" s="1402" t="n"/>
      <c r="K80" s="1402" t="n"/>
      <c r="L80" s="367" t="n"/>
      <c r="M80" s="856" t="n"/>
      <c r="N80" s="1373" t="n"/>
      <c r="O80" s="1374" t="n"/>
      <c r="AD80" s="1397" t="n"/>
      <c r="AE80" s="860" t="n"/>
    </row>
    <row r="81" ht="20.25" customHeight="1" s="1173">
      <c r="B81" s="853" t="n"/>
      <c r="C81" s="273" t="n"/>
      <c r="D81" s="306" t="n"/>
      <c r="E81" s="306" t="n"/>
      <c r="F81" s="1365" t="n"/>
      <c r="G81" s="1366" t="n"/>
      <c r="H81" s="1099" t="n"/>
      <c r="I81" s="1403" t="n"/>
      <c r="J81" s="1403" t="n"/>
      <c r="K81" s="1403" t="n"/>
      <c r="L81" s="367" t="n"/>
      <c r="M81" s="856" t="n"/>
      <c r="N81" s="1373" t="n"/>
      <c r="O81" s="1374" t="n"/>
      <c r="AD81" s="1397" t="n"/>
      <c r="AE81" s="860" t="n"/>
    </row>
    <row r="82">
      <c r="B82" s="853" t="n"/>
      <c r="C82" s="273" t="inlineStr">
        <is>
          <t>(-) Despesas Administrativo</t>
        </is>
      </c>
      <c r="D82" s="1404" t="n">
        <v>-300000</v>
      </c>
      <c r="E82" s="306" t="n"/>
      <c r="F82" s="1379">
        <f>D82/$D$48</f>
        <v/>
      </c>
      <c r="G82" s="1366" t="n"/>
      <c r="H82" s="192" t="n"/>
      <c r="I82" s="1405" t="n"/>
      <c r="J82" s="357" t="n"/>
      <c r="K82" s="357" t="n"/>
      <c r="L82" s="199" t="n"/>
      <c r="M82" s="856" t="n"/>
      <c r="N82" s="1373" t="n"/>
      <c r="O82" s="1374" t="n"/>
      <c r="U82" s="856">
        <f>V82/2.471</f>
        <v/>
      </c>
      <c r="V82" s="856" t="n">
        <v>961</v>
      </c>
      <c r="W82" s="856" t="n">
        <v>8130060</v>
      </c>
      <c r="AD82" s="1397" t="n"/>
      <c r="AE82" s="860" t="n"/>
    </row>
    <row r="83" customFormat="1" s="336">
      <c r="B83" s="333" t="inlineStr">
        <is>
          <t>(-) Total C.P.V</t>
        </is>
      </c>
      <c r="C83" s="273" t="inlineStr">
        <is>
          <t>(-) Despesas Frete e Trans</t>
        </is>
      </c>
      <c r="D83" s="1380" t="n">
        <v>0</v>
      </c>
      <c r="E83" s="306" t="n"/>
      <c r="F83" s="1379">
        <f>D83/$D$48</f>
        <v/>
      </c>
      <c r="G83" s="1366" t="n"/>
      <c r="H83" s="192" t="n"/>
      <c r="I83" s="1405" t="n"/>
      <c r="J83" s="357" t="n"/>
      <c r="K83" s="357" t="n"/>
      <c r="L83" s="199" t="n"/>
      <c r="M83" s="370" t="n"/>
      <c r="N83" s="1373" t="n"/>
      <c r="O83" s="1374" t="n"/>
      <c r="P83" s="856" t="n"/>
      <c r="Q83" s="856" t="inlineStr">
        <is>
          <t>Seed</t>
        </is>
      </c>
      <c r="R83" s="856" t="n"/>
      <c r="S83" s="856" t="inlineStr">
        <is>
          <t>Chemical</t>
        </is>
      </c>
      <c r="T83" s="856" t="n"/>
      <c r="U83" s="856" t="inlineStr">
        <is>
          <t>Fertilizer</t>
        </is>
      </c>
      <c r="V83" s="856" t="inlineStr">
        <is>
          <t>Total</t>
        </is>
      </c>
      <c r="W83" s="856" t="n"/>
      <c r="X83" s="856" t="n"/>
    </row>
    <row r="84" ht="21" customFormat="1" customHeight="1" s="376">
      <c r="B84" s="371" t="n"/>
      <c r="C84" s="273" t="inlineStr">
        <is>
          <t>(-) Despesas EUA</t>
        </is>
      </c>
      <c r="D84" s="1380" t="n">
        <v>0</v>
      </c>
      <c r="E84" s="306" t="n"/>
      <c r="F84" s="1379">
        <f>D84/$D$48</f>
        <v/>
      </c>
      <c r="G84" s="1366" t="n"/>
      <c r="H84" s="1406" t="n"/>
      <c r="I84" s="1405" t="n"/>
      <c r="J84" s="357" t="n"/>
      <c r="K84" s="357" t="n"/>
      <c r="L84" s="199" t="n"/>
      <c r="M84" s="376" t="n"/>
      <c r="N84" s="1407" t="n"/>
      <c r="O84" s="1408" t="n"/>
      <c r="P84" s="376" t="n"/>
      <c r="AA84" s="377" t="n"/>
    </row>
    <row r="85" ht="20.25" customHeight="1" s="1173">
      <c r="B85" s="333" t="inlineStr">
        <is>
          <t xml:space="preserve">(-) Despesas Administrativo e Operacionais </t>
        </is>
      </c>
      <c r="C85" s="273" t="inlineStr">
        <is>
          <t>(-) Despesas Comerciais</t>
        </is>
      </c>
      <c r="D85" s="1409" t="n">
        <v>0</v>
      </c>
      <c r="E85" s="306" t="n"/>
      <c r="F85" s="1410">
        <f>D85/$D$48</f>
        <v/>
      </c>
      <c r="G85" s="1366" t="n"/>
      <c r="H85" s="192" t="n"/>
      <c r="I85" s="1405" t="n"/>
      <c r="J85" s="357" t="n"/>
      <c r="K85" s="357" t="n"/>
      <c r="L85" s="199" t="n"/>
      <c r="M85" s="856" t="n"/>
      <c r="N85" s="1384" t="n"/>
      <c r="O85" s="1385" t="n"/>
      <c r="P85" s="336" t="n"/>
      <c r="Q85" s="856" t="inlineStr">
        <is>
          <t>Seed</t>
        </is>
      </c>
      <c r="S85" s="856" t="inlineStr">
        <is>
          <t>Chemical</t>
        </is>
      </c>
      <c r="U85" s="856" t="inlineStr">
        <is>
          <t>Fertilizer</t>
        </is>
      </c>
      <c r="V85" s="856" t="inlineStr">
        <is>
          <t>Total</t>
        </is>
      </c>
      <c r="AA85" s="377" t="n"/>
      <c r="AB85" s="376" t="n"/>
    </row>
    <row r="86" ht="20.25" customHeight="1" s="1173">
      <c r="B86" s="853" t="n"/>
      <c r="C86" s="336" t="n"/>
      <c r="D86" s="1381">
        <f>SUM(D82:D85)</f>
        <v/>
      </c>
      <c r="E86" s="323" t="n"/>
      <c r="F86" s="1398">
        <f>D86/$D$48</f>
        <v/>
      </c>
      <c r="G86" s="1376" t="n"/>
      <c r="H86" s="1398" t="n"/>
      <c r="I86" s="1377" t="n"/>
      <c r="J86" s="328" t="n"/>
      <c r="K86" s="328" t="n"/>
      <c r="L86" s="329" t="n"/>
      <c r="M86" s="856" t="n"/>
      <c r="N86" s="1373" t="n"/>
      <c r="O86" s="1374" t="n"/>
      <c r="U86" s="856">
        <f>V86/2.471</f>
        <v/>
      </c>
      <c r="V86" s="856" t="n">
        <v>709</v>
      </c>
      <c r="W86" s="856" t="n">
        <v>910356</v>
      </c>
      <c r="AA86" s="377" t="n"/>
      <c r="AB86" s="376" t="n"/>
    </row>
    <row r="87">
      <c r="B87" s="853" t="n"/>
      <c r="C87" s="336" t="inlineStr">
        <is>
          <t xml:space="preserve">    Lucro Operacional</t>
        </is>
      </c>
      <c r="D87" s="323">
        <f>D80+D86</f>
        <v/>
      </c>
      <c r="E87" s="323" t="n"/>
      <c r="F87" s="1375">
        <f>D87/$D$48</f>
        <v/>
      </c>
      <c r="G87" s="1366" t="n"/>
      <c r="H87" s="192" t="n"/>
      <c r="I87" s="1367" t="n"/>
      <c r="J87" s="1094" t="n"/>
      <c r="K87" s="357" t="n"/>
      <c r="L87" s="199" t="n"/>
      <c r="M87" s="856" t="n"/>
      <c r="N87" s="1373" t="n"/>
      <c r="O87" s="1374" t="n"/>
      <c r="W87" s="856">
        <f>SUM(W83:W86)</f>
        <v/>
      </c>
    </row>
    <row r="88">
      <c r="B88" s="853" t="n"/>
      <c r="C88" s="273" t="n"/>
      <c r="D88" s="306" t="n"/>
      <c r="E88" s="306" t="n"/>
      <c r="F88" s="1365" t="n"/>
      <c r="G88" s="1366" t="n"/>
      <c r="H88" s="192" t="n"/>
      <c r="I88" s="1367" t="n"/>
      <c r="J88" s="1094" t="n"/>
      <c r="K88" s="357" t="n"/>
      <c r="L88" s="199" t="n"/>
      <c r="M88" s="856" t="n"/>
      <c r="N88" s="1373" t="n"/>
      <c r="O88" s="1374" t="n"/>
    </row>
    <row r="89">
      <c r="B89" s="853" t="n"/>
      <c r="C89" s="273" t="inlineStr">
        <is>
          <t>(+/-) Ganho/Perda em activos</t>
        </is>
      </c>
      <c r="D89" s="1404" t="n">
        <v>0</v>
      </c>
      <c r="E89" s="306" t="n"/>
      <c r="F89" s="1379">
        <f>D89/$D$48</f>
        <v/>
      </c>
      <c r="G89" s="1366" t="n"/>
      <c r="H89" s="192" t="n"/>
      <c r="I89" s="1405" t="n"/>
      <c r="J89" s="357" t="n"/>
      <c r="K89" s="357" t="n"/>
      <c r="L89" s="199" t="n"/>
      <c r="M89" s="856" t="n"/>
      <c r="N89" s="1373" t="n"/>
      <c r="O89" s="1374" t="n"/>
    </row>
    <row r="90" customFormat="1" s="336">
      <c r="B90" s="333" t="inlineStr">
        <is>
          <t>(-) Total Despesas Admin e Operacionais</t>
        </is>
      </c>
      <c r="C90" s="273" t="inlineStr">
        <is>
          <t xml:space="preserve">(+/-) Impostos </t>
        </is>
      </c>
      <c r="D90" s="1404">
        <f>-(SUM((D43+D44)*2.28%)+SUM(D45*5.13%))</f>
        <v/>
      </c>
      <c r="E90" s="306" t="n"/>
      <c r="F90" s="1379">
        <f>D90/$D$48</f>
        <v/>
      </c>
      <c r="G90" s="1366" t="n"/>
      <c r="H90" s="192" t="n"/>
      <c r="I90" s="1405" t="n"/>
      <c r="J90" s="357" t="n"/>
      <c r="K90" s="357" t="n"/>
      <c r="L90" s="199" t="n"/>
      <c r="M90" s="336" t="n"/>
      <c r="N90" s="1384" t="n"/>
      <c r="O90" s="1385" t="n"/>
      <c r="P90" s="336" t="n"/>
      <c r="Q90" s="336" t="inlineStr">
        <is>
          <t>Seed</t>
        </is>
      </c>
      <c r="S90" s="336" t="inlineStr">
        <is>
          <t>Chemical</t>
        </is>
      </c>
      <c r="U90" s="336" t="inlineStr">
        <is>
          <t>Fertilizer</t>
        </is>
      </c>
      <c r="V90" s="336" t="inlineStr">
        <is>
          <t>Total</t>
        </is>
      </c>
    </row>
    <row r="91">
      <c r="B91" s="333" t="n"/>
      <c r="C91" s="273" t="inlineStr">
        <is>
          <t>(+/-) Renda de Juros</t>
        </is>
      </c>
      <c r="D91" s="1380" t="n"/>
      <c r="E91" s="306" t="n"/>
      <c r="F91" s="1379">
        <f>D91/$D$48</f>
        <v/>
      </c>
      <c r="G91" s="1366" t="n"/>
      <c r="H91" s="192" t="n"/>
      <c r="I91" s="1405" t="n"/>
      <c r="J91" s="357" t="n"/>
      <c r="K91" s="357" t="n"/>
      <c r="L91" s="199" t="n"/>
      <c r="M91" s="856" t="n"/>
      <c r="N91" s="1373" t="n"/>
      <c r="O91" s="1374" t="n"/>
    </row>
    <row r="92">
      <c r="B92" s="333" t="inlineStr">
        <is>
          <t>(+/-) Outras Receitas e Despesas</t>
        </is>
      </c>
      <c r="C92" s="273" t="inlineStr">
        <is>
          <t>(+/-) Despesas de Juros</t>
        </is>
      </c>
      <c r="D92" s="1380" t="n"/>
      <c r="E92" s="306" t="n"/>
      <c r="F92" s="1379">
        <f>D92/$D$48</f>
        <v/>
      </c>
      <c r="G92" s="1366" t="n"/>
      <c r="H92" s="192" t="n"/>
      <c r="I92" s="1405" t="n"/>
      <c r="J92" s="357" t="n"/>
      <c r="K92" s="357" t="n"/>
      <c r="L92" s="199" t="n"/>
      <c r="M92" s="856" t="n"/>
      <c r="N92" s="1373" t="n"/>
      <c r="O92" s="1374" t="n"/>
      <c r="Q92" s="856" t="inlineStr">
        <is>
          <t>Seed</t>
        </is>
      </c>
      <c r="S92" s="856" t="inlineStr">
        <is>
          <t>Chemical</t>
        </is>
      </c>
      <c r="U92" s="856" t="inlineStr">
        <is>
          <t>Fertilizer</t>
        </is>
      </c>
      <c r="V92" s="856" t="inlineStr">
        <is>
          <t>Total</t>
        </is>
      </c>
    </row>
    <row r="93">
      <c r="B93" s="853" t="n"/>
      <c r="C93" s="273" t="inlineStr">
        <is>
          <t>(+/-) Receitas diversas</t>
        </is>
      </c>
      <c r="D93" s="1409" t="n"/>
      <c r="E93" s="306" t="n"/>
      <c r="F93" s="1410">
        <f>D93/$D$48</f>
        <v/>
      </c>
      <c r="G93" s="1366" t="n"/>
      <c r="H93" s="192" t="n"/>
      <c r="I93" s="1405" t="n"/>
      <c r="J93" s="357" t="n"/>
      <c r="K93" s="357" t="n"/>
      <c r="L93" s="199" t="n"/>
      <c r="M93" s="856" t="n"/>
      <c r="N93" s="1373" t="n"/>
      <c r="O93" s="1374" t="n"/>
      <c r="U93" s="856">
        <f>V93/2.471</f>
        <v/>
      </c>
      <c r="V93" s="856" t="n">
        <v>709</v>
      </c>
      <c r="W93" s="856" t="n">
        <v>910356</v>
      </c>
    </row>
    <row r="94">
      <c r="B94" s="853" t="n"/>
      <c r="C94" s="336" t="n"/>
      <c r="D94" s="323">
        <f>SUM(D89:D93)</f>
        <v/>
      </c>
      <c r="E94" s="323" t="n"/>
      <c r="F94" s="1398">
        <f>D94/$D$48</f>
        <v/>
      </c>
      <c r="G94" s="1376" t="n"/>
      <c r="H94" s="1398" t="n"/>
      <c r="I94" s="1377" t="n"/>
      <c r="J94" s="328" t="n"/>
      <c r="K94" s="328" t="n"/>
      <c r="L94" s="329" t="n"/>
      <c r="M94" s="856" t="n"/>
      <c r="N94" s="1373" t="n"/>
      <c r="O94" s="1374" t="n"/>
    </row>
    <row r="95">
      <c r="B95" s="853" t="n"/>
      <c r="C95" s="336" t="n"/>
      <c r="D95" s="323" t="n"/>
      <c r="E95" s="323" t="n"/>
      <c r="F95" s="1398" t="n"/>
      <c r="G95" s="1376" t="n"/>
      <c r="H95" s="1398" t="n"/>
      <c r="I95" s="1377" t="n"/>
      <c r="J95" s="328" t="n"/>
      <c r="K95" s="328" t="n"/>
      <c r="L95" s="329" t="n"/>
      <c r="M95" s="856" t="n"/>
      <c r="N95" s="1373" t="n"/>
      <c r="O95" s="1374" t="n"/>
      <c r="W95" s="856">
        <f>SUM(W89:W93)</f>
        <v/>
      </c>
    </row>
    <row r="96" ht="15.75" customHeight="1" s="1173">
      <c r="B96" s="853" t="n"/>
      <c r="C96" s="380" t="inlineStr">
        <is>
          <t xml:space="preserve">    Lucro Líquido</t>
        </is>
      </c>
      <c r="D96" s="381">
        <f>D87+D94</f>
        <v/>
      </c>
      <c r="E96" s="381" t="n"/>
      <c r="F96" s="1411">
        <f>D96/$D$48</f>
        <v/>
      </c>
      <c r="G96" s="1412" t="n"/>
      <c r="H96" s="384" t="n"/>
      <c r="I96" s="1413" t="n"/>
      <c r="J96" s="386" t="n"/>
      <c r="K96" s="386" t="n"/>
      <c r="L96" s="387" t="n"/>
      <c r="M96" s="856" t="n"/>
      <c r="N96" s="1373" t="n"/>
      <c r="O96" s="1374" t="n"/>
    </row>
    <row r="97" ht="15.75" customHeight="1" s="1173" thickBot="1">
      <c r="B97" s="853" t="n"/>
      <c r="C97" s="388" t="n"/>
      <c r="D97" s="389" t="n"/>
      <c r="E97" s="389" t="n"/>
      <c r="F97" s="1414" t="n"/>
      <c r="G97" s="1414" t="n"/>
      <c r="H97" s="389" t="n"/>
      <c r="I97" s="389" t="n"/>
      <c r="J97" s="391" t="n"/>
      <c r="K97" s="391" t="n"/>
      <c r="L97" s="392" t="n"/>
      <c r="M97" s="856" t="n"/>
      <c r="N97" s="1373" t="n"/>
      <c r="O97" s="1374" t="n"/>
    </row>
    <row r="98" customFormat="1" s="336">
      <c r="B98" s="333" t="inlineStr">
        <is>
          <t>(+/-) Total Outras Receitas e Despesas</t>
        </is>
      </c>
      <c r="C98" s="856" t="n"/>
      <c r="G98" s="1364" t="n"/>
      <c r="H98" s="857" t="n"/>
      <c r="I98" s="857" t="n"/>
      <c r="J98" s="357" t="n"/>
      <c r="K98" s="357" t="n"/>
      <c r="L98" s="856" t="n"/>
      <c r="M98" s="336" t="n"/>
      <c r="N98" s="1384" t="n"/>
      <c r="O98" s="1385" t="n"/>
      <c r="P98" s="336" t="n"/>
      <c r="Q98" s="336" t="inlineStr">
        <is>
          <t>Seed</t>
        </is>
      </c>
      <c r="S98" s="336" t="inlineStr">
        <is>
          <t>Chemical</t>
        </is>
      </c>
      <c r="U98" s="336" t="inlineStr">
        <is>
          <t>Fertilizer</t>
        </is>
      </c>
      <c r="V98" s="336" t="inlineStr">
        <is>
          <t>Total</t>
        </is>
      </c>
    </row>
    <row r="99" customFormat="1" s="336">
      <c r="B99" s="333" t="n"/>
      <c r="C99" s="856" t="n"/>
      <c r="G99" s="1364" t="n"/>
      <c r="H99" s="857" t="n"/>
      <c r="I99" s="857" t="n"/>
      <c r="J99" s="357" t="n"/>
      <c r="K99" s="357" t="n"/>
      <c r="L99" s="856" t="n"/>
      <c r="M99" s="336" t="n"/>
      <c r="N99" s="1384" t="n"/>
      <c r="O99" s="1385" t="n"/>
      <c r="P99" s="336" t="n"/>
    </row>
    <row r="100" ht="15.75" customFormat="1" customHeight="1" s="399">
      <c r="B100" s="394" t="n"/>
      <c r="C100" s="856" t="n"/>
      <c r="G100" s="857" t="n"/>
      <c r="H100" s="857" t="n"/>
      <c r="I100" s="857" t="n"/>
      <c r="J100" s="357" t="n"/>
      <c r="K100" s="357" t="n"/>
      <c r="L100" s="856" t="n"/>
      <c r="M100" s="399" t="n"/>
      <c r="N100" s="1415" t="n"/>
      <c r="O100" s="1416" t="n"/>
      <c r="P100" s="399" t="n"/>
    </row>
    <row r="101" ht="15.75" customHeight="1" s="1173" thickBot="1">
      <c r="B101" s="400" t="n"/>
      <c r="D101" s="1098" t="inlineStr">
        <is>
          <t>Custo/há</t>
        </is>
      </c>
      <c r="E101" s="1417" t="inlineStr">
        <is>
          <t>Custo/há</t>
        </is>
      </c>
      <c r="F101" s="1417" t="inlineStr">
        <is>
          <t>Custo/há</t>
        </is>
      </c>
      <c r="M101" s="856" t="n"/>
    </row>
    <row r="102">
      <c r="D102" s="711" t="inlineStr">
        <is>
          <t xml:space="preserve">Custo Operaciona + Arrendametno </t>
        </is>
      </c>
      <c r="E102" s="711" t="n"/>
      <c r="F102" s="1418" t="inlineStr">
        <is>
          <t>Sem arrendamento</t>
        </is>
      </c>
      <c r="M102" s="856" t="n"/>
    </row>
    <row r="103">
      <c r="D103" s="713">
        <f>(SUM(D64:D78)/2300)*-1</f>
        <v/>
      </c>
      <c r="E103" s="711" t="n"/>
      <c r="F103" s="714">
        <f>(SUM(D65:D78)/2300)*-1</f>
        <v/>
      </c>
    </row>
    <row r="104">
      <c r="D104" s="715">
        <f>D103/D29</f>
        <v/>
      </c>
      <c r="E104" s="711" t="n"/>
      <c r="F104" s="715">
        <f>D103/D29</f>
        <v/>
      </c>
    </row>
  </sheetData>
  <pageMargins left="0.511811024" right="0.511811024" top="0.787401575" bottom="0.787401575" header="0.31496062" footer="0.31496062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6"/>
  <sheetViews>
    <sheetView topLeftCell="A14" zoomScale="94" zoomScaleNormal="110" workbookViewId="0">
      <selection activeCell="F31" sqref="F31"/>
    </sheetView>
  </sheetViews>
  <sheetFormatPr baseColWidth="8" defaultColWidth="9.140625" defaultRowHeight="12.75"/>
  <cols>
    <col width="17.140625" bestFit="1" customWidth="1" style="126" min="1" max="1"/>
    <col width="16.7109375" bestFit="1" customWidth="1" style="126" min="2" max="2"/>
    <col width="15.28515625" bestFit="1" customWidth="1" style="126" min="3" max="3"/>
    <col width="13.140625" bestFit="1" customWidth="1" style="126" min="4" max="4"/>
    <col width="15" customWidth="1" style="126" min="5" max="5"/>
    <col width="17.140625" customWidth="1" style="126" min="6" max="6"/>
    <col width="15.140625" bestFit="1" customWidth="1" style="126" min="7" max="7"/>
    <col width="16.42578125" customWidth="1" style="126" min="8" max="8"/>
    <col width="15.140625" bestFit="1" customWidth="1" style="126" min="9" max="9"/>
    <col width="16.7109375" bestFit="1" customWidth="1" style="126" min="10" max="10"/>
    <col width="19.5703125" bestFit="1" customWidth="1" style="126" min="11" max="11"/>
    <col width="16.7109375" bestFit="1" customWidth="1" style="126" min="12" max="12"/>
    <col width="15.42578125" bestFit="1" customWidth="1" style="126" min="13" max="13"/>
    <col width="16" customWidth="1" style="126" min="14" max="14"/>
    <col width="15.140625" bestFit="1" customWidth="1" style="126" min="15" max="15"/>
    <col width="14.42578125" bestFit="1" customWidth="1" style="126" min="16" max="16"/>
    <col width="15.42578125" bestFit="1" customWidth="1" style="126" min="17" max="18"/>
    <col width="16" bestFit="1" customWidth="1" style="126" min="19" max="19"/>
    <col width="28" bestFit="1" customWidth="1" style="126" min="20" max="20"/>
    <col width="14" bestFit="1" customWidth="1" style="126" min="21" max="21"/>
    <col width="10" bestFit="1" customWidth="1" style="126" min="22" max="22"/>
    <col width="9.140625" customWidth="1" style="126" min="23" max="16384"/>
  </cols>
  <sheetData>
    <row r="1" ht="13.5" customHeight="1" s="1173" thickBot="1">
      <c r="A1" s="1112" t="inlineStr">
        <is>
          <t>ORÇAMENTO 22-23</t>
        </is>
      </c>
      <c r="B1" s="1112" t="inlineStr">
        <is>
          <t>ORÇAMENTO 22-23</t>
        </is>
      </c>
      <c r="C1" s="1112" t="inlineStr">
        <is>
          <t>ORÇAMENTO 22-23</t>
        </is>
      </c>
      <c r="D1" s="1112" t="inlineStr">
        <is>
          <t>ORÇAMENTO 22-23</t>
        </is>
      </c>
      <c r="E1" s="1112" t="inlineStr">
        <is>
          <t>ORÇAMENTO 22-23</t>
        </is>
      </c>
      <c r="F1" s="1112" t="n"/>
      <c r="P1" s="1419" t="n"/>
      <c r="Q1" s="1419" t="n"/>
      <c r="R1" s="1419" t="n"/>
      <c r="S1" s="1419" t="n"/>
      <c r="T1" s="188" t="n"/>
      <c r="U1" s="1419" t="n"/>
      <c r="V1" s="1419" t="n"/>
      <c r="W1" s="1419" t="n"/>
      <c r="X1" s="1419" t="n"/>
      <c r="Y1" s="1419" t="n"/>
      <c r="Z1" s="1419" t="n"/>
    </row>
    <row r="2" ht="26.25" customHeight="1" s="1173" thickBot="1">
      <c r="B2" s="999" t="inlineStr">
        <is>
          <t>DIESEL</t>
        </is>
      </c>
      <c r="C2" s="1000" t="inlineStr">
        <is>
          <t>Gasolina</t>
        </is>
      </c>
      <c r="D2" s="1001" t="inlineStr">
        <is>
          <t>Lubrificantes</t>
        </is>
      </c>
      <c r="E2" s="1001" t="inlineStr">
        <is>
          <t xml:space="preserve">Peças e concertos </t>
        </is>
      </c>
      <c r="F2" s="1002" t="inlineStr">
        <is>
          <t>Silo bolsa</t>
        </is>
      </c>
      <c r="G2" s="1003" t="inlineStr">
        <is>
          <t xml:space="preserve">Veiculos </t>
        </is>
      </c>
      <c r="H2" s="1004" t="inlineStr">
        <is>
          <t>Aluguel de carro/trator</t>
        </is>
      </c>
      <c r="I2" s="1003" t="inlineStr">
        <is>
          <t>Suprimentos</t>
        </is>
      </c>
      <c r="J2" s="1004" t="inlineStr">
        <is>
          <t>Serviços Proficionais</t>
        </is>
      </c>
      <c r="K2" s="1004" t="inlineStr">
        <is>
          <t>Salarios, Provisões e Encargos</t>
        </is>
      </c>
      <c r="L2" s="1005" t="inlineStr">
        <is>
          <t>Avião</t>
        </is>
      </c>
      <c r="M2" s="1006" t="inlineStr">
        <is>
          <t>Contratação Serviços</t>
        </is>
      </c>
      <c r="N2" s="1007" t="inlineStr">
        <is>
          <t xml:space="preserve">Seguros </t>
        </is>
      </c>
      <c r="O2" s="1008" t="inlineStr">
        <is>
          <t xml:space="preserve">Utilidades Fazenda </t>
        </is>
      </c>
      <c r="P2" s="1009" t="inlineStr">
        <is>
          <t>Alimentos</t>
        </is>
      </c>
      <c r="Q2" s="668" t="inlineStr">
        <is>
          <t>Fertilizante</t>
        </is>
      </c>
      <c r="R2" s="668" t="inlineStr">
        <is>
          <t>Quimicos</t>
        </is>
      </c>
      <c r="S2" s="668" t="inlineStr">
        <is>
          <t xml:space="preserve">Semente </t>
        </is>
      </c>
    </row>
    <row r="3" ht="15.75" customHeight="1" s="1173">
      <c r="A3" s="183" t="inlineStr">
        <is>
          <t>Outubro</t>
        </is>
      </c>
      <c r="B3" s="1420">
        <f>'Combust. Lubrif'!$D$27*0.09</f>
        <v/>
      </c>
      <c r="C3" s="1420">
        <f>'Combust. Lubrif'!$K$3/12</f>
        <v/>
      </c>
      <c r="D3" s="1420">
        <f>'Combust. Lubrif'!L23/12</f>
        <v/>
      </c>
      <c r="E3" s="1421">
        <f>'peças '!C28</f>
        <v/>
      </c>
      <c r="F3" s="1012" t="n"/>
      <c r="G3" s="1420" t="n"/>
      <c r="H3" s="1420" t="n"/>
      <c r="I3" s="1421">
        <f>'Supriment-Ser Profiss'!$C$96/12</f>
        <v/>
      </c>
      <c r="J3" s="1422">
        <f>'Supriment-Ser Profiss'!$H$82/12</f>
        <v/>
      </c>
      <c r="K3" s="1420">
        <f>'Folha pagamento '!N24/14</f>
        <v/>
      </c>
      <c r="L3" s="1420" t="n"/>
      <c r="M3" s="170" t="n"/>
      <c r="N3" s="1420" t="n">
        <v>96000</v>
      </c>
      <c r="O3" s="1420">
        <f>'Utilidades e Veiculos'!P3</f>
        <v/>
      </c>
      <c r="P3" s="1420">
        <f>'Alimentação '!E85</f>
        <v/>
      </c>
      <c r="Q3" s="1420" t="n"/>
      <c r="R3" s="1420" t="n"/>
      <c r="S3" s="1420" t="n"/>
      <c r="T3" s="1423">
        <f>SUM(B3:S3)</f>
        <v/>
      </c>
    </row>
    <row r="4" ht="15.75" customHeight="1" s="1173">
      <c r="A4" s="183" t="inlineStr">
        <is>
          <t>Novembro</t>
        </is>
      </c>
      <c r="B4" s="1420">
        <f>'Combust. Lubrif'!$D$27*0.09</f>
        <v/>
      </c>
      <c r="C4" s="1420">
        <f>'Combust. Lubrif'!$K$3/12</f>
        <v/>
      </c>
      <c r="D4" s="1420">
        <f>'Combust. Lubrif'!L23/12</f>
        <v/>
      </c>
      <c r="E4" s="1421">
        <f>'peças '!D28</f>
        <v/>
      </c>
      <c r="F4" s="1012" t="n"/>
      <c r="G4" s="1420" t="n"/>
      <c r="H4" s="1420" t="n"/>
      <c r="I4" s="1421">
        <f>'Supriment-Ser Profiss'!$C$96/12</f>
        <v/>
      </c>
      <c r="J4" s="1422">
        <f>'Supriment-Ser Profiss'!$H$82/12</f>
        <v/>
      </c>
      <c r="K4" s="1420">
        <f>'Folha pagamento '!N24/14+'Folha pagamento '!N29</f>
        <v/>
      </c>
      <c r="M4" s="170" t="n"/>
      <c r="N4" s="1420" t="n"/>
      <c r="O4" s="1420">
        <f>'Utilidades e Veiculos'!P4</f>
        <v/>
      </c>
      <c r="P4" s="1420">
        <f>'Alimentação '!G85</f>
        <v/>
      </c>
      <c r="Q4" s="170" t="n"/>
      <c r="R4" s="170" t="n"/>
      <c r="S4" s="170" t="n"/>
      <c r="T4" s="1423">
        <f>SUM(B4:S4)</f>
        <v/>
      </c>
    </row>
    <row r="5" ht="15.75" customHeight="1" s="1173">
      <c r="A5" s="183" t="inlineStr">
        <is>
          <t>Dezembro</t>
        </is>
      </c>
      <c r="B5" s="1420">
        <f>'Combust. Lubrif'!$D$27*0.09</f>
        <v/>
      </c>
      <c r="C5" s="1420">
        <f>'Combust. Lubrif'!$K$3/12</f>
        <v/>
      </c>
      <c r="D5" s="1420">
        <f>'Combust. Lubrif'!L23/12</f>
        <v/>
      </c>
      <c r="E5" s="1421">
        <f>'peças '!E28</f>
        <v/>
      </c>
      <c r="F5" s="1012" t="n"/>
      <c r="G5" s="1420" t="n"/>
      <c r="H5" s="1420" t="n"/>
      <c r="I5" s="1421">
        <f>'Supriment-Ser Profiss'!$C$96/12</f>
        <v/>
      </c>
      <c r="J5" s="1422">
        <f>'Supriment-Ser Profiss'!$H$82/12</f>
        <v/>
      </c>
      <c r="K5" s="1420">
        <f>'Folha pagamento '!N24/14+'Folha pagamento '!N29</f>
        <v/>
      </c>
      <c r="L5" s="1420">
        <f>Avião!$Q$99/5</f>
        <v/>
      </c>
      <c r="M5" s="170" t="n"/>
      <c r="N5" s="170" t="n"/>
      <c r="O5" s="1420">
        <f>'Utilidades e Veiculos'!P5</f>
        <v/>
      </c>
      <c r="P5" s="1420">
        <f>'Alimentação '!I85</f>
        <v/>
      </c>
      <c r="Q5" s="170" t="n"/>
      <c r="R5" s="170" t="n"/>
      <c r="S5" s="170" t="n"/>
      <c r="T5" s="1423">
        <f>SUM(B5:S5)</f>
        <v/>
      </c>
    </row>
    <row r="6" ht="15.75" customHeight="1" s="1173">
      <c r="A6" s="183" t="inlineStr">
        <is>
          <t>Janeiro</t>
        </is>
      </c>
      <c r="B6" s="1424">
        <f>'Combust. Lubrif'!D27*0.1</f>
        <v/>
      </c>
      <c r="C6" s="1420">
        <f>'Combust. Lubrif'!$K$3/12</f>
        <v/>
      </c>
      <c r="D6" s="1420">
        <f>'Combust. Lubrif'!L23/12</f>
        <v/>
      </c>
      <c r="E6" s="1421">
        <f>'peças '!F28</f>
        <v/>
      </c>
      <c r="F6" s="1012" t="n"/>
      <c r="G6" s="1420">
        <f>'Utilidades e Veiculos'!H63</f>
        <v/>
      </c>
      <c r="H6" s="1420" t="n"/>
      <c r="I6" s="1421">
        <f>'Supriment-Ser Profiss'!$C$96/12</f>
        <v/>
      </c>
      <c r="J6" s="1422">
        <f>'Supriment-Ser Profiss'!$H$82/12</f>
        <v/>
      </c>
      <c r="K6" s="1420">
        <f>'Folha pagamento '!N24/14</f>
        <v/>
      </c>
      <c r="L6" s="1420">
        <f>Avião!$Q$99/5</f>
        <v/>
      </c>
      <c r="M6" s="170" t="n"/>
      <c r="N6" s="170" t="n"/>
      <c r="O6" s="1420">
        <f>'Utilidades e Veiculos'!P6</f>
        <v/>
      </c>
      <c r="P6" s="1420">
        <f>'Alimentação '!K85</f>
        <v/>
      </c>
      <c r="Q6" s="170" t="n"/>
      <c r="R6" s="170" t="n"/>
      <c r="S6" s="170" t="n"/>
      <c r="T6" s="1423">
        <f>SUM(B6:S6)</f>
        <v/>
      </c>
    </row>
    <row r="7" ht="15.75" customHeight="1" s="1173">
      <c r="A7" s="183" t="inlineStr">
        <is>
          <t>Fevereiro</t>
        </is>
      </c>
      <c r="B7" s="1424">
        <f>'Combust. Lubrif'!D27*0.1</f>
        <v/>
      </c>
      <c r="C7" s="1420">
        <f>'Combust. Lubrif'!$K$3/12</f>
        <v/>
      </c>
      <c r="D7" s="1420">
        <f>'Combust. Lubrif'!L23/12</f>
        <v/>
      </c>
      <c r="E7" s="1421">
        <f>'peças '!G28</f>
        <v/>
      </c>
      <c r="F7" s="1420">
        <f>'Contratação serviç.'!I17/3</f>
        <v/>
      </c>
      <c r="G7" s="1420" t="n"/>
      <c r="H7" s="1420" t="n"/>
      <c r="I7" s="1421">
        <f>'Supriment-Ser Profiss'!$C$96/12</f>
        <v/>
      </c>
      <c r="J7" s="1422">
        <f>'Supriment-Ser Profiss'!$H$82/12</f>
        <v/>
      </c>
      <c r="K7" s="1420">
        <f>'Folha pagamento '!N24/14</f>
        <v/>
      </c>
      <c r="L7" s="1420">
        <f>Avião!$Q$99/5</f>
        <v/>
      </c>
      <c r="M7" s="170" t="n"/>
      <c r="N7" s="170" t="n"/>
      <c r="O7" s="1420">
        <f>'Utilidades e Veiculos'!P7</f>
        <v/>
      </c>
      <c r="P7" s="1420">
        <f>'Alimentação '!M85</f>
        <v/>
      </c>
      <c r="Q7" s="170" t="n"/>
      <c r="R7" s="170" t="n"/>
      <c r="S7" s="170" t="n"/>
      <c r="T7" s="1423">
        <f>SUM(B7:S7)</f>
        <v/>
      </c>
    </row>
    <row r="8" ht="15.75" customHeight="1" s="1173">
      <c r="A8" s="183" t="inlineStr">
        <is>
          <t>Março</t>
        </is>
      </c>
      <c r="B8" s="1424">
        <f>'Combust. Lubrif'!D27*0.11</f>
        <v/>
      </c>
      <c r="C8" s="1420">
        <f>'Combust. Lubrif'!$K$3/12</f>
        <v/>
      </c>
      <c r="D8" s="1420">
        <f>'Combust. Lubrif'!L23/12</f>
        <v/>
      </c>
      <c r="E8" s="1421">
        <f>'peças '!H28</f>
        <v/>
      </c>
      <c r="F8" s="1420">
        <f>'Contratação serviç.'!I17/3</f>
        <v/>
      </c>
      <c r="G8" s="1420" t="n"/>
      <c r="H8" s="1420" t="n"/>
      <c r="I8" s="1421">
        <f>'Supriment-Ser Profiss'!$C$96/12</f>
        <v/>
      </c>
      <c r="J8" s="1422">
        <f>'Supriment-Ser Profiss'!$H$82/12</f>
        <v/>
      </c>
      <c r="K8" s="1420">
        <f>'Folha pagamento '!N24/14+'Folha pagamento '!N29</f>
        <v/>
      </c>
      <c r="L8" s="1420">
        <f>Avião!$Q$99/5</f>
        <v/>
      </c>
      <c r="M8" s="1420">
        <f>'Contratação serviç.'!$B$19/3</f>
        <v/>
      </c>
      <c r="N8" s="170" t="n"/>
      <c r="O8" s="1420">
        <f>'Utilidades e Veiculos'!P8</f>
        <v/>
      </c>
      <c r="P8" s="1420">
        <f>'Alimentação '!O85</f>
        <v/>
      </c>
      <c r="Q8" s="170" t="n"/>
      <c r="R8" s="170" t="n"/>
      <c r="S8" s="170" t="n"/>
      <c r="T8" s="1423">
        <f>SUM(B8:S8)</f>
        <v/>
      </c>
    </row>
    <row r="9" ht="15.75" customHeight="1" s="1173">
      <c r="A9" s="183" t="inlineStr">
        <is>
          <t>Abril</t>
        </is>
      </c>
      <c r="B9" s="1424">
        <f>'Combust. Lubrif'!D27*0.11</f>
        <v/>
      </c>
      <c r="C9" s="1420">
        <f>'Combust. Lubrif'!$K$3/12</f>
        <v/>
      </c>
      <c r="D9" s="1420">
        <f>'Combust. Lubrif'!L23/12</f>
        <v/>
      </c>
      <c r="E9" s="1421">
        <f>'peças '!I28</f>
        <v/>
      </c>
      <c r="F9" s="1420">
        <f>'Contratação serviç.'!I17/3</f>
        <v/>
      </c>
      <c r="G9" s="1420" t="n"/>
      <c r="H9" s="1420" t="n"/>
      <c r="I9" s="1421">
        <f>'Supriment-Ser Profiss'!$C$96/12</f>
        <v/>
      </c>
      <c r="J9" s="1422">
        <f>'Supriment-Ser Profiss'!$H$82/12</f>
        <v/>
      </c>
      <c r="K9" s="1420">
        <f>'Folha pagamento '!N24/14</f>
        <v/>
      </c>
      <c r="L9" s="1420">
        <f>Avião!$Q$99/5</f>
        <v/>
      </c>
      <c r="M9" s="1420">
        <f>'Contratação serviç.'!$B$19/3</f>
        <v/>
      </c>
      <c r="N9" s="170" t="n"/>
      <c r="O9" s="1420">
        <f>'Utilidades e Veiculos'!P9</f>
        <v/>
      </c>
      <c r="P9" s="1420">
        <f>'Alimentação '!Q85</f>
        <v/>
      </c>
      <c r="Q9" s="170" t="n"/>
      <c r="R9" s="170" t="n"/>
      <c r="S9" s="170" t="n"/>
      <c r="T9" s="1423">
        <f>SUM(B9:S9)</f>
        <v/>
      </c>
    </row>
    <row r="10" ht="15.75" customHeight="1" s="1173">
      <c r="A10" s="183" t="inlineStr">
        <is>
          <t>Maio</t>
        </is>
      </c>
      <c r="B10" s="1424">
        <f>'Combust. Lubrif'!D27*0.11</f>
        <v/>
      </c>
      <c r="C10" s="1420">
        <f>'Combust. Lubrif'!$K$3/12</f>
        <v/>
      </c>
      <c r="D10" s="1420">
        <f>'Combust. Lubrif'!L23/12</f>
        <v/>
      </c>
      <c r="E10" s="1421">
        <f>'peças '!J28</f>
        <v/>
      </c>
      <c r="F10" s="1424" t="n"/>
      <c r="G10" s="1420" t="n"/>
      <c r="H10" s="1420" t="n"/>
      <c r="I10" s="1421">
        <f>'Supriment-Ser Profiss'!$C$96/12</f>
        <v/>
      </c>
      <c r="J10" s="1422">
        <f>'Supriment-Ser Profiss'!$H$82/12</f>
        <v/>
      </c>
      <c r="K10" s="1420">
        <f>'Folha pagamento '!N24/14</f>
        <v/>
      </c>
      <c r="L10" s="1420" t="n"/>
      <c r="M10" s="1420">
        <f>'Contratação serviç.'!$B$19/3</f>
        <v/>
      </c>
      <c r="N10" s="170" t="n"/>
      <c r="O10" s="1420">
        <f>'Utilidades e Veiculos'!P10</f>
        <v/>
      </c>
      <c r="P10" s="1420">
        <f>'Alimentação '!S85</f>
        <v/>
      </c>
      <c r="Q10" s="170" t="n"/>
      <c r="R10" s="170" t="n"/>
      <c r="S10" s="170" t="n"/>
      <c r="T10" s="1423">
        <f>SUM(B10:S10)</f>
        <v/>
      </c>
    </row>
    <row r="11" ht="15.75" customHeight="1" s="1173">
      <c r="A11" s="183" t="inlineStr">
        <is>
          <t>Junho</t>
        </is>
      </c>
      <c r="B11" s="1424">
        <f>'Combust. Lubrif'!D27*0.07</f>
        <v/>
      </c>
      <c r="C11" s="1420">
        <f>'Combust. Lubrif'!$K$3/12</f>
        <v/>
      </c>
      <c r="D11" s="1420">
        <f>'Combust. Lubrif'!L23/12</f>
        <v/>
      </c>
      <c r="E11" s="1421">
        <f>'peças '!K28</f>
        <v/>
      </c>
      <c r="F11" s="1420" t="n"/>
      <c r="G11" s="1420" t="n"/>
      <c r="H11" s="1420" t="n"/>
      <c r="I11" s="1421">
        <f>'Supriment-Ser Profiss'!$C$96/12</f>
        <v/>
      </c>
      <c r="J11" s="1422">
        <f>'Supriment-Ser Profiss'!$H$82/12</f>
        <v/>
      </c>
      <c r="K11" s="1420">
        <f>'Folha pagamento '!N24/14</f>
        <v/>
      </c>
      <c r="L11" s="1420" t="n"/>
      <c r="M11" s="1420" t="n"/>
      <c r="N11" s="170" t="n"/>
      <c r="O11" s="1420">
        <f>'Utilidades e Veiculos'!P11</f>
        <v/>
      </c>
      <c r="P11" s="1420">
        <f>'Alimentação '!U85</f>
        <v/>
      </c>
      <c r="Q11" s="170" t="n"/>
      <c r="R11" s="170" t="n"/>
      <c r="S11" s="170" t="n"/>
      <c r="T11" s="1423">
        <f>SUM(B11:S11)</f>
        <v/>
      </c>
    </row>
    <row r="12" ht="15.75" customHeight="1" s="1173">
      <c r="A12" s="183" t="inlineStr">
        <is>
          <t>Julho</t>
        </is>
      </c>
      <c r="B12" s="1424">
        <f>'Combust. Lubrif'!D27*0.07</f>
        <v/>
      </c>
      <c r="C12" s="1420">
        <f>'Combust. Lubrif'!$K$3/12</f>
        <v/>
      </c>
      <c r="D12" s="1420">
        <f>'Combust. Lubrif'!L23/12</f>
        <v/>
      </c>
      <c r="E12" s="1421">
        <f>'peças '!L28</f>
        <v/>
      </c>
      <c r="F12" s="1420" t="n"/>
      <c r="G12" s="1420" t="n"/>
      <c r="H12" s="1420" t="n"/>
      <c r="I12" s="1421">
        <f>'Supriment-Ser Profiss'!$C$96/12</f>
        <v/>
      </c>
      <c r="J12" s="1422">
        <f>'Supriment-Ser Profiss'!$H$82/12</f>
        <v/>
      </c>
      <c r="K12" s="1420">
        <f>'Folha pagamento '!N24/14</f>
        <v/>
      </c>
      <c r="L12" s="1420" t="n"/>
      <c r="M12" s="1420" t="n"/>
      <c r="N12" s="170" t="n"/>
      <c r="O12" s="1420">
        <f>'Utilidades e Veiculos'!P12</f>
        <v/>
      </c>
      <c r="P12" s="1420">
        <f>'Alimentação '!W85</f>
        <v/>
      </c>
      <c r="Q12" s="170" t="n"/>
      <c r="R12" s="170" t="n"/>
      <c r="S12" s="170" t="n"/>
      <c r="T12" s="1423">
        <f>SUM(B12:S12)</f>
        <v/>
      </c>
    </row>
    <row r="13" ht="15.75" customHeight="1" s="1173">
      <c r="A13" s="183" t="inlineStr">
        <is>
          <t>Agosto</t>
        </is>
      </c>
      <c r="B13" s="1424">
        <f>'Combust. Lubrif'!D27*0.03</f>
        <v/>
      </c>
      <c r="C13" s="1420">
        <f>'Combust. Lubrif'!$K$3/12</f>
        <v/>
      </c>
      <c r="D13" s="1420">
        <f>'Combust. Lubrif'!L23/12</f>
        <v/>
      </c>
      <c r="E13" s="1421">
        <f>'peças '!M28</f>
        <v/>
      </c>
      <c r="F13" s="1012" t="n"/>
      <c r="G13" s="1420" t="n"/>
      <c r="H13" s="1420" t="n"/>
      <c r="I13" s="1421">
        <f>'Supriment-Ser Profiss'!$C$96/12</f>
        <v/>
      </c>
      <c r="J13" s="1422">
        <f>'Supriment-Ser Profiss'!$H$82/12</f>
        <v/>
      </c>
      <c r="K13" s="1420">
        <f>'Folha pagamento '!N24/14</f>
        <v/>
      </c>
      <c r="L13" s="1420" t="n"/>
      <c r="M13" s="1420" t="n"/>
      <c r="N13" s="170" t="n"/>
      <c r="O13" s="1420">
        <f>'Utilidades e Veiculos'!P13</f>
        <v/>
      </c>
      <c r="P13" s="1420">
        <f>'Alimentação '!Y85</f>
        <v/>
      </c>
      <c r="Q13" s="170" t="n"/>
      <c r="R13" s="170" t="n"/>
      <c r="S13" s="170" t="n"/>
      <c r="T13" s="1423">
        <f>SUM(B13:S13)</f>
        <v/>
      </c>
      <c r="V13" s="953" t="inlineStr">
        <is>
          <t>U$$/há</t>
        </is>
      </c>
    </row>
    <row r="14" ht="15.75" customHeight="1" s="1173">
      <c r="A14" s="183" t="inlineStr">
        <is>
          <t>Setembro</t>
        </is>
      </c>
      <c r="B14" s="1420">
        <f>'Combust. Lubrif'!D27*0.03</f>
        <v/>
      </c>
      <c r="C14" s="1420">
        <f>'Combust. Lubrif'!$K$3/12</f>
        <v/>
      </c>
      <c r="D14" s="1420">
        <f>'Combust. Lubrif'!L23/12</f>
        <v/>
      </c>
      <c r="E14" s="1421">
        <f>'peças '!N28</f>
        <v/>
      </c>
      <c r="F14" s="1420" t="n"/>
      <c r="G14" s="1420" t="n"/>
      <c r="H14" s="1420" t="n"/>
      <c r="I14" s="1421">
        <f>'Supriment-Ser Profiss'!$C$96/12</f>
        <v/>
      </c>
      <c r="J14" s="1422">
        <f>'Supriment-Ser Profiss'!$H$82/12</f>
        <v/>
      </c>
      <c r="K14" s="1420">
        <f>'Folha pagamento '!N24/14+'Folha pagamento '!N29</f>
        <v/>
      </c>
      <c r="L14" s="1420" t="n"/>
      <c r="M14" s="170" t="n"/>
      <c r="N14" s="1420" t="n"/>
      <c r="O14" s="1420">
        <f>'Utilidades e Veiculos'!P14</f>
        <v/>
      </c>
      <c r="P14" s="1420">
        <f>'Alimentação '!AA85</f>
        <v/>
      </c>
      <c r="Q14" s="170" t="n"/>
      <c r="R14" s="170" t="n"/>
      <c r="S14" s="170" t="n"/>
      <c r="T14" s="1423">
        <f>SUM(B14:S14)</f>
        <v/>
      </c>
      <c r="U14" s="1425">
        <f>U15/2300</f>
        <v/>
      </c>
      <c r="V14" s="952">
        <f>U14/5.6</f>
        <v/>
      </c>
    </row>
    <row r="15" ht="15.75" customFormat="1" customHeight="1" s="1419">
      <c r="A15" s="1426" t="inlineStr">
        <is>
          <t xml:space="preserve">Total   </t>
        </is>
      </c>
      <c r="B15" s="1427">
        <f>SUM(B3:B14)</f>
        <v/>
      </c>
      <c r="C15" s="1427">
        <f>SUM(C3:C14)</f>
        <v/>
      </c>
      <c r="D15" s="1427">
        <f>SUM(D3:D14)</f>
        <v/>
      </c>
      <c r="E15" s="1427">
        <f>SUM(E3:E14)</f>
        <v/>
      </c>
      <c r="F15" s="1427">
        <f>SUM(F3:F14)</f>
        <v/>
      </c>
      <c r="G15" s="1427">
        <f>SUM(G3:G14)</f>
        <v/>
      </c>
      <c r="H15" s="1427">
        <f>SUM(H3:H14)</f>
        <v/>
      </c>
      <c r="I15" s="1427">
        <f>SUM(I3:I14)</f>
        <v/>
      </c>
      <c r="J15" s="1427">
        <f>SUM(J3:J14)</f>
        <v/>
      </c>
      <c r="K15" s="1427">
        <f>SUM(K3:K14)</f>
        <v/>
      </c>
      <c r="L15" s="1427">
        <f>SUM(L3:L14)</f>
        <v/>
      </c>
      <c r="M15" s="1427">
        <f>SUM(M3:M14)</f>
        <v/>
      </c>
      <c r="N15" s="1428">
        <f>SUM(N3:N14)</f>
        <v/>
      </c>
      <c r="O15" s="1427">
        <f>SUM(O3:O14)</f>
        <v/>
      </c>
      <c r="P15" s="1428">
        <f>SUM(P3:P14)</f>
        <v/>
      </c>
      <c r="Q15" s="1427">
        <f>'Quimi. Fert. Semente'!N10</f>
        <v/>
      </c>
      <c r="R15" s="1427">
        <f>'Quimi. Fert. Semente'!I15</f>
        <v/>
      </c>
      <c r="S15" s="1427">
        <f>'Quimi. Fert. Semente'!D15</f>
        <v/>
      </c>
      <c r="T15" s="670">
        <f>SUM(B15:S15)</f>
        <v/>
      </c>
      <c r="U15" s="1425">
        <f>SUM(B15:P15)+1282000</f>
        <v/>
      </c>
      <c r="V15" s="126" t="n"/>
      <c r="W15" s="126" t="n"/>
      <c r="X15" s="126" t="n"/>
      <c r="Y15" s="126" t="n"/>
      <c r="Z15" s="126" t="n"/>
    </row>
    <row r="16" ht="15.75" customFormat="1" customHeight="1" s="1419">
      <c r="A16" s="1426" t="n"/>
      <c r="B16" s="1427" t="n"/>
      <c r="C16" s="1427" t="n"/>
      <c r="D16" s="1427" t="n"/>
      <c r="E16" s="1427" t="n"/>
      <c r="F16" s="1427" t="n"/>
      <c r="G16" s="1427" t="n"/>
      <c r="H16" s="1427" t="n"/>
      <c r="I16" s="1427" t="n"/>
      <c r="J16" s="1427" t="n"/>
      <c r="K16" s="1427" t="n"/>
      <c r="L16" s="1427" t="n"/>
      <c r="M16" s="1427" t="n"/>
      <c r="N16" s="1428" t="n"/>
      <c r="O16" s="1427" t="n"/>
      <c r="P16" s="1428" t="n"/>
      <c r="Q16" s="1427" t="n"/>
      <c r="R16" s="1427" t="n"/>
      <c r="S16" s="1427" t="n"/>
      <c r="T16" s="670" t="n"/>
      <c r="U16" s="1425" t="n"/>
      <c r="V16" s="126" t="n"/>
      <c r="W16" s="126" t="n"/>
      <c r="X16" s="126" t="n"/>
      <c r="Y16" s="126" t="n"/>
      <c r="Z16" s="126" t="n"/>
    </row>
    <row r="17" ht="15.75" customFormat="1" customHeight="1" s="1419">
      <c r="A17" s="1426" t="inlineStr">
        <is>
          <t>24-25</t>
        </is>
      </c>
      <c r="B17" s="1429" t="n">
        <v>873061</v>
      </c>
      <c r="C17" s="1430" t="n">
        <v>873061</v>
      </c>
      <c r="D17" s="1430" t="n">
        <v>873061</v>
      </c>
      <c r="E17" s="1427" t="n">
        <v>767995</v>
      </c>
      <c r="F17" s="1427" t="n">
        <v>16516</v>
      </c>
      <c r="G17" s="1427" t="n">
        <v>8733</v>
      </c>
      <c r="H17" s="1427" t="n">
        <v>4646</v>
      </c>
      <c r="I17" s="1427" t="n">
        <v>142786</v>
      </c>
      <c r="J17" s="1427" t="n">
        <v>812270</v>
      </c>
      <c r="K17" s="1427" t="n">
        <v>995123</v>
      </c>
      <c r="L17" s="1427" t="n">
        <v>410999</v>
      </c>
      <c r="M17" s="1427" t="n">
        <v>871101</v>
      </c>
      <c r="N17" s="1428" t="n">
        <v>94566</v>
      </c>
      <c r="O17" s="1427" t="n">
        <v>83550</v>
      </c>
      <c r="P17" s="1428" t="n">
        <v>196587</v>
      </c>
      <c r="Q17" s="1427" t="n">
        <v>2758778.541415206</v>
      </c>
      <c r="R17" s="1427" t="n">
        <v>2067511.223328186</v>
      </c>
      <c r="S17" s="1427" t="n">
        <v>1511168.288</v>
      </c>
      <c r="T17" s="670" t="n">
        <v>10986278.71901443</v>
      </c>
      <c r="U17" s="1425" t="n">
        <v>5930820.666271036</v>
      </c>
      <c r="V17" s="126" t="n"/>
      <c r="W17" s="126" t="n"/>
      <c r="X17" s="126" t="n"/>
      <c r="Y17" s="126" t="n"/>
      <c r="Z17" s="126" t="n"/>
    </row>
    <row r="18" ht="15.75" customFormat="1" customHeight="1" s="1431">
      <c r="A18" s="1432" t="inlineStr">
        <is>
          <t>Realizado 23-24</t>
        </is>
      </c>
      <c r="B18" s="1433" t="n">
        <v>700501.45</v>
      </c>
      <c r="C18" s="1434" t="n">
        <v>700501.45</v>
      </c>
      <c r="D18" s="1434" t="n">
        <v>700501.45</v>
      </c>
      <c r="E18" s="1435" t="n">
        <v>687314.62</v>
      </c>
      <c r="F18" s="1435" t="n">
        <v>17629.37</v>
      </c>
      <c r="G18" s="1435" t="n">
        <v>7284.81</v>
      </c>
      <c r="H18" s="1435" t="n">
        <v>0</v>
      </c>
      <c r="I18" s="1435" t="n">
        <v>97114.28</v>
      </c>
      <c r="J18" s="1435" t="n">
        <v>644446.8199999999</v>
      </c>
      <c r="K18" s="1435" t="n">
        <v>896802.99</v>
      </c>
      <c r="L18" s="1435" t="n">
        <v>-271514.77</v>
      </c>
      <c r="M18" s="1435" t="n">
        <v>1022660.5</v>
      </c>
      <c r="N18" s="1435" t="n">
        <v>69423.5</v>
      </c>
      <c r="O18" s="1435" t="n">
        <v>104331.61</v>
      </c>
      <c r="P18" s="1431" t="n">
        <v>165702.01</v>
      </c>
      <c r="Q18" s="1431" t="n">
        <v>2424711</v>
      </c>
      <c r="R18" s="1431" t="n">
        <v>2483600</v>
      </c>
      <c r="S18" s="1431" t="n">
        <v>2042476</v>
      </c>
      <c r="T18" s="942">
        <f>SUM(B18:S18)</f>
        <v/>
      </c>
      <c r="U18" s="1425">
        <f>SUM(B18:P18)</f>
        <v/>
      </c>
      <c r="V18" s="943">
        <f>(T15/T21)-1</f>
        <v/>
      </c>
      <c r="W18" s="608" t="n"/>
      <c r="X18" s="608" t="n"/>
      <c r="Y18" s="608" t="n"/>
      <c r="Z18" s="608" t="n"/>
    </row>
    <row r="19" ht="15.75" customFormat="1" customHeight="1" s="1436">
      <c r="A19" s="1437" t="inlineStr">
        <is>
          <t>Realizado 23-24</t>
        </is>
      </c>
      <c r="B19" s="1438" t="n">
        <v>1007230</v>
      </c>
      <c r="C19" s="1439" t="n">
        <v>1007230</v>
      </c>
      <c r="D19" s="1439" t="n">
        <v>1007230</v>
      </c>
      <c r="E19" s="1440" t="n">
        <v>442901.0899999999</v>
      </c>
      <c r="F19" s="1440" t="n">
        <v>11440</v>
      </c>
      <c r="G19" s="1440" t="n">
        <v>7497.469999999999</v>
      </c>
      <c r="H19" s="1440" t="n">
        <v>0</v>
      </c>
      <c r="I19" s="1440" t="n">
        <v>133422</v>
      </c>
      <c r="J19" s="1440" t="n">
        <v>907493.2257142857</v>
      </c>
      <c r="K19" s="1440" t="n">
        <v>714449.5674107972</v>
      </c>
      <c r="L19" s="1440" t="n">
        <v>332262.36</v>
      </c>
      <c r="M19" s="1440" t="n">
        <v>1063200</v>
      </c>
      <c r="N19" s="1440" t="n">
        <v>33859.32</v>
      </c>
      <c r="O19" s="1440" t="n">
        <v>137089.96</v>
      </c>
      <c r="P19" s="1436" t="n">
        <v>152681.3574</v>
      </c>
      <c r="Q19" s="1436" t="n">
        <v>2122830</v>
      </c>
      <c r="R19" s="1436" t="n">
        <v>1812595</v>
      </c>
      <c r="S19" s="1436" t="n">
        <v>1829700</v>
      </c>
      <c r="T19" s="949">
        <f>SUM(B19:S19)</f>
        <v/>
      </c>
      <c r="U19" s="950" t="n"/>
      <c r="V19" s="951" t="n"/>
      <c r="W19" s="950" t="n"/>
      <c r="X19" s="950" t="n"/>
      <c r="Y19" s="950" t="n"/>
      <c r="Z19" s="950" t="n"/>
    </row>
    <row r="20" customFormat="1" s="1441">
      <c r="A20" s="1442" t="inlineStr">
        <is>
          <t>Realizado 22-23</t>
        </is>
      </c>
      <c r="B20" s="1443" t="n">
        <v>1072358</v>
      </c>
      <c r="C20" s="1444" t="n">
        <v>1072358</v>
      </c>
      <c r="D20" s="1444" t="n">
        <v>1072358</v>
      </c>
      <c r="E20" s="1445" t="n">
        <v>816622</v>
      </c>
      <c r="F20" s="1445" t="n">
        <v>95121</v>
      </c>
      <c r="G20" s="1445" t="n">
        <v>5660</v>
      </c>
      <c r="H20" s="1445" t="n">
        <v>109000</v>
      </c>
      <c r="I20" s="1445" t="n">
        <v>160587</v>
      </c>
      <c r="J20" s="1445" t="n">
        <v>395630</v>
      </c>
      <c r="K20" s="1445" t="n">
        <v>1065858</v>
      </c>
      <c r="L20" s="1445" t="n">
        <v>335462</v>
      </c>
      <c r="M20" s="1445" t="n">
        <v>2866224</v>
      </c>
      <c r="N20" s="1445" t="n"/>
      <c r="O20" s="1445" t="n">
        <v>184570</v>
      </c>
      <c r="P20" s="945" t="n">
        <v>254116</v>
      </c>
      <c r="Q20" s="945" t="n"/>
      <c r="R20" s="926" t="n"/>
      <c r="S20" s="926" t="n"/>
      <c r="T20" s="926" t="n"/>
      <c r="U20" s="926" t="n"/>
      <c r="V20" s="927" t="n"/>
      <c r="W20" s="926" t="n"/>
      <c r="X20" s="926" t="n"/>
      <c r="Y20" s="926" t="n"/>
      <c r="Z20" s="926" t="n"/>
    </row>
    <row r="21" ht="15.75" customFormat="1" customHeight="1" s="1446">
      <c r="A21" s="1447" t="inlineStr">
        <is>
          <t>Realizado 21-22</t>
        </is>
      </c>
      <c r="B21" s="1113" t="n">
        <v>1717934</v>
      </c>
      <c r="C21" s="1448" t="n">
        <v>1717934</v>
      </c>
      <c r="D21" s="1448" t="n">
        <v>1717934</v>
      </c>
      <c r="E21" s="1446" t="n">
        <v>960925</v>
      </c>
      <c r="F21" s="1449" t="n">
        <v>188221</v>
      </c>
      <c r="G21" s="1446" t="n">
        <v>9150</v>
      </c>
      <c r="H21" s="1450" t="n">
        <v>43707</v>
      </c>
      <c r="I21" s="1446" t="n">
        <v>71842</v>
      </c>
      <c r="J21" s="1450" t="n">
        <v>298686</v>
      </c>
      <c r="K21" s="1446" t="n">
        <v>1003922</v>
      </c>
      <c r="L21" s="1449" t="n">
        <v>216259</v>
      </c>
      <c r="M21" s="1446" t="n">
        <v>2667281</v>
      </c>
      <c r="N21" s="1446" t="n"/>
      <c r="O21" s="1446" t="n">
        <v>153895</v>
      </c>
      <c r="P21" s="1446" t="n">
        <v>225555</v>
      </c>
      <c r="Q21" s="1446" t="n">
        <v>4537127</v>
      </c>
      <c r="R21" s="1446" t="n">
        <v>5666912</v>
      </c>
      <c r="S21" s="1446" t="n">
        <v>2825189</v>
      </c>
      <c r="T21" s="934">
        <f>SUM(B21:S21)</f>
        <v/>
      </c>
      <c r="U21" s="935" t="n"/>
      <c r="V21" s="935" t="n"/>
      <c r="W21" s="935" t="n"/>
      <c r="X21" s="935" t="n"/>
      <c r="Y21" s="935" t="n"/>
      <c r="Z21" s="935" t="n"/>
    </row>
    <row r="22" customFormat="1" s="936">
      <c r="A22" s="936" t="inlineStr">
        <is>
          <t>Realizado  20-21</t>
        </is>
      </c>
      <c r="B22" s="1114" t="n">
        <v>578356.23</v>
      </c>
      <c r="C22" s="1451" t="n">
        <v>578356.23</v>
      </c>
      <c r="D22" s="1451" t="n">
        <v>578356.23</v>
      </c>
      <c r="E22" s="1452" t="n">
        <v>162336.635</v>
      </c>
      <c r="F22" s="1452" t="n">
        <v>53067.12962962962</v>
      </c>
      <c r="G22" s="1452" t="n">
        <v>5046.219999999998</v>
      </c>
      <c r="H22" s="1452" t="n">
        <v>0</v>
      </c>
      <c r="I22" s="1452" t="n">
        <v>56679.48833333332</v>
      </c>
      <c r="J22" s="1452" t="n">
        <v>242050.9598000001</v>
      </c>
      <c r="K22" s="1452" t="n">
        <v>661110.6757456919</v>
      </c>
      <c r="L22" s="1452" t="n">
        <v>305977.2404914735</v>
      </c>
      <c r="M22" s="1452" t="n">
        <v>2178115</v>
      </c>
      <c r="N22" s="1452" t="n">
        <v>0</v>
      </c>
      <c r="O22" s="1452" t="n">
        <v>86875</v>
      </c>
      <c r="P22" s="1452" t="n">
        <v>99000</v>
      </c>
      <c r="Q22" s="1452" t="n">
        <v>0</v>
      </c>
      <c r="R22" s="1452" t="n">
        <v>4849531.025</v>
      </c>
      <c r="S22" s="1452" t="n">
        <v>2171360</v>
      </c>
      <c r="T22" s="938">
        <f>SUM(B22:S22)</f>
        <v/>
      </c>
    </row>
    <row r="23" ht="15" customHeight="1" s="1173">
      <c r="B23" s="1453" t="n"/>
      <c r="C23" s="188" t="n"/>
      <c r="D23" s="188" t="n"/>
      <c r="E23" s="1419" t="n"/>
      <c r="F23" s="1454" t="n"/>
      <c r="G23" s="1454" t="n"/>
      <c r="H23" s="1454" t="n"/>
      <c r="I23" s="1454" t="n"/>
      <c r="J23" s="1454" t="n"/>
      <c r="K23" s="1419" t="n"/>
      <c r="L23" s="1419" t="n"/>
      <c r="M23" s="1419" t="n"/>
      <c r="N23" s="1419" t="n"/>
      <c r="O23" s="1419" t="n"/>
    </row>
    <row r="24">
      <c r="B24" s="189" t="n"/>
      <c r="C24" s="189" t="n"/>
      <c r="D24" s="852" t="n"/>
      <c r="E24" s="189" t="n"/>
      <c r="F24" s="1454" t="n"/>
      <c r="G24" s="1454" t="n"/>
      <c r="H24" s="1454" t="n"/>
      <c r="I24" s="1454" t="n"/>
      <c r="J24" s="1454" t="n"/>
      <c r="K24" s="189" t="n"/>
      <c r="L24" s="189" t="n"/>
      <c r="M24" s="189" t="n"/>
      <c r="N24" s="1455" t="n"/>
      <c r="O24" s="189" t="n"/>
    </row>
    <row r="25">
      <c r="A25" s="862" t="inlineStr">
        <is>
          <t>custo/há orçado</t>
        </is>
      </c>
      <c r="B25" s="1456">
        <f>B15:D15/2300</f>
        <v/>
      </c>
      <c r="C25" s="1456">
        <f>B15:D15/2300</f>
        <v/>
      </c>
      <c r="D25" s="1456">
        <f>B15:D15/2300</f>
        <v/>
      </c>
      <c r="E25" s="1457">
        <f>E15/2300</f>
        <v/>
      </c>
      <c r="F25" s="1457">
        <f>F15/2300</f>
        <v/>
      </c>
      <c r="G25" s="1457">
        <f>G15/2300</f>
        <v/>
      </c>
      <c r="H25" s="1457">
        <f>H15/2300</f>
        <v/>
      </c>
      <c r="I25" s="1457">
        <f>I15/2300</f>
        <v/>
      </c>
      <c r="J25" s="1457">
        <f>J15/2300</f>
        <v/>
      </c>
      <c r="K25" s="1457">
        <f>K15/2300</f>
        <v/>
      </c>
      <c r="L25" s="1457">
        <f>L15/2300</f>
        <v/>
      </c>
      <c r="M25" s="1457">
        <f>M15/2300</f>
        <v/>
      </c>
      <c r="N25" s="1457">
        <f>N15/2300</f>
        <v/>
      </c>
      <c r="O25" s="1457">
        <f>O15/2300</f>
        <v/>
      </c>
      <c r="P25" s="1457">
        <f>P15/2300</f>
        <v/>
      </c>
    </row>
    <row r="26">
      <c r="A26" s="1095" t="n"/>
      <c r="B26" s="1458" t="n"/>
      <c r="C26" s="1458" t="n"/>
      <c r="D26" s="1458" t="n"/>
      <c r="E26" s="1425" t="n"/>
      <c r="F26" s="1425" t="n"/>
      <c r="G26" s="1425" t="n"/>
      <c r="H26" s="1425" t="n"/>
      <c r="I26" s="1425" t="n"/>
      <c r="J26" s="1425" t="n"/>
      <c r="K26" s="1425" t="n"/>
      <c r="L26" s="1425" t="n"/>
      <c r="M26" s="1425" t="n"/>
      <c r="N26" s="1425" t="n"/>
      <c r="O26" s="1425" t="n"/>
      <c r="P26" s="1425" t="n"/>
    </row>
    <row r="27">
      <c r="A27" s="1096" t="inlineStr">
        <is>
          <t>Custo/há realizado</t>
        </is>
      </c>
      <c r="B27" s="1459">
        <f>B17/2300</f>
        <v/>
      </c>
      <c r="C27" s="1459">
        <f>B17/2300</f>
        <v/>
      </c>
      <c r="D27" s="1459">
        <f>B17/2300</f>
        <v/>
      </c>
      <c r="E27" s="1460">
        <f>E17/2300</f>
        <v/>
      </c>
      <c r="F27" s="1460">
        <f>F17/2300</f>
        <v/>
      </c>
      <c r="G27" s="1460">
        <f>G17/2300</f>
        <v/>
      </c>
      <c r="H27" s="1460">
        <f>H17/2300</f>
        <v/>
      </c>
      <c r="I27" s="1460">
        <f>I17/2300</f>
        <v/>
      </c>
      <c r="J27" s="1460">
        <f>J17/2300</f>
        <v/>
      </c>
      <c r="K27" s="1460">
        <f>K17/2300</f>
        <v/>
      </c>
      <c r="L27" s="1460">
        <f>L17/2300</f>
        <v/>
      </c>
      <c r="M27" s="1460">
        <f>M17/2300</f>
        <v/>
      </c>
      <c r="N27" s="1460">
        <f>N17/2300</f>
        <v/>
      </c>
      <c r="O27" s="1460">
        <f>O17/2300</f>
        <v/>
      </c>
      <c r="P27" s="1460">
        <f>P17/2300</f>
        <v/>
      </c>
    </row>
    <row r="28">
      <c r="B28" s="1458" t="n"/>
      <c r="C28" s="125" t="n"/>
      <c r="D28" s="125" t="n"/>
      <c r="E28" s="1425" t="n"/>
      <c r="F28" s="1425" t="n"/>
      <c r="G28" s="1425" t="n"/>
      <c r="H28" s="1425" t="n"/>
      <c r="I28" s="1425" t="n"/>
      <c r="J28" s="1425" t="n"/>
      <c r="K28" s="1425" t="n"/>
      <c r="L28" s="1425" t="n"/>
      <c r="M28" s="1425" t="n"/>
      <c r="N28" s="1425" t="n"/>
      <c r="O28" s="1425" t="n"/>
      <c r="P28" s="1425" t="n"/>
    </row>
    <row r="29">
      <c r="B29" s="1458" t="n"/>
      <c r="C29" s="125" t="n"/>
      <c r="D29" s="125" t="n"/>
      <c r="E29" s="1425" t="n"/>
      <c r="F29" s="1425" t="n"/>
      <c r="G29" s="1425" t="n"/>
      <c r="H29" s="1425" t="n"/>
      <c r="I29" s="1425" t="n"/>
      <c r="J29" s="1425" t="n"/>
      <c r="K29" s="1425" t="n"/>
      <c r="L29" s="1425" t="n"/>
      <c r="M29" s="1425" t="n"/>
      <c r="N29" s="1425" t="n"/>
      <c r="O29" s="1425" t="n"/>
      <c r="P29" s="1425" t="n"/>
    </row>
    <row r="30">
      <c r="B30" s="1458" t="n"/>
      <c r="C30" s="125" t="n"/>
      <c r="D30" s="125" t="n"/>
      <c r="E30" s="1425" t="n"/>
      <c r="F30" s="1425" t="n"/>
      <c r="G30" s="1425" t="n"/>
      <c r="H30" s="1425" t="n"/>
      <c r="I30" s="1425" t="n"/>
      <c r="J30" s="1425" t="n"/>
      <c r="K30" s="1425" t="n"/>
      <c r="L30" s="1425" t="n"/>
      <c r="M30" s="1425" t="n"/>
      <c r="N30" s="1425" t="n"/>
      <c r="O30" s="1425" t="n"/>
      <c r="P30" s="1425" t="n"/>
    </row>
    <row r="31">
      <c r="G31" s="1425">
        <f>SUM(C8,H8,M6)</f>
        <v/>
      </c>
      <c r="H31" s="126" t="n">
        <v>888</v>
      </c>
      <c r="J31" s="126">
        <f>I31*5.2</f>
        <v/>
      </c>
      <c r="K31" s="191" t="n"/>
      <c r="L31" s="191" t="n"/>
    </row>
    <row r="32">
      <c r="I32" s="191">
        <f>SUM(I27:I31)</f>
        <v/>
      </c>
      <c r="J32" s="126">
        <f>SUM(J27:J31)</f>
        <v/>
      </c>
    </row>
    <row r="33">
      <c r="H33" s="1425" t="n"/>
    </row>
    <row r="34" ht="15" customHeight="1" s="1173">
      <c r="B34" s="1425" t="n"/>
      <c r="G34" s="405" t="n">
        <v>347.5700000000001</v>
      </c>
      <c r="H34" t="n">
        <v>4127</v>
      </c>
      <c r="I34" s="191" t="n"/>
      <c r="O34" s="1425">
        <f>SUM(B15:P15)/2300</f>
        <v/>
      </c>
    </row>
    <row r="35" ht="15" customHeight="1" s="1173">
      <c r="G35" s="404" t="n">
        <v>667.1900000000001</v>
      </c>
      <c r="H35" s="144" t="n">
        <v>1642</v>
      </c>
      <c r="O35" s="1425">
        <f>O34/5.4</f>
        <v/>
      </c>
    </row>
    <row r="36" ht="15.75" customHeight="1" s="1173" thickBot="1">
      <c r="G36" s="118" t="n"/>
      <c r="H36" s="133" t="n"/>
    </row>
  </sheetData>
  <pageMargins left="0.511811024" right="0.511811024" top="0.787401575" bottom="0.787401575" header="0.31496062" footer="0.31496062"/>
  <pageSetup orientation="portrait" paperSize="9" verticalDpi="30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FFFF00"/>
    <outlinePr summaryBelow="1" summaryRight="1"/>
    <pageSetUpPr/>
  </sheetPr>
  <dimension ref="A1:L27"/>
  <sheetViews>
    <sheetView topLeftCell="A2" zoomScaleNormal="100" workbookViewId="0">
      <selection activeCell="E13" sqref="E13"/>
    </sheetView>
  </sheetViews>
  <sheetFormatPr baseColWidth="8" defaultRowHeight="15"/>
  <cols>
    <col width="17.7109375" bestFit="1" customWidth="1" style="1173" min="1" max="1"/>
    <col width="15.5703125" bestFit="1" customWidth="1" style="1173" min="4" max="5"/>
    <col width="24.5703125" bestFit="1" customWidth="1" style="1173" min="7" max="7"/>
    <col width="10" bestFit="1" customWidth="1" style="1173" min="9" max="9"/>
    <col width="12.42578125" bestFit="1" customWidth="1" style="1173" min="11" max="12"/>
  </cols>
  <sheetData>
    <row r="1">
      <c r="A1" s="617" t="inlineStr">
        <is>
          <t>Operação</t>
        </is>
      </c>
      <c r="B1" s="1461" t="inlineStr">
        <is>
          <t>Media</t>
        </is>
      </c>
      <c r="C1" s="606" t="inlineStr">
        <is>
          <t>hectar/KM/hora</t>
        </is>
      </c>
      <c r="D1" s="606" t="inlineStr">
        <is>
          <t>total diesel</t>
        </is>
      </c>
      <c r="E1" s="658" t="n"/>
      <c r="G1" s="586" t="inlineStr">
        <is>
          <t>Lubrificantes e Combustiveis</t>
        </is>
      </c>
      <c r="H1" s="126" t="n"/>
      <c r="I1" s="1419" t="n"/>
      <c r="J1" s="126" t="n"/>
      <c r="K1" s="1462" t="n"/>
      <c r="L1" s="126" t="n"/>
    </row>
    <row r="2">
      <c r="A2" s="797" t="inlineStr">
        <is>
          <t>Colheita Soja</t>
        </is>
      </c>
      <c r="B2" s="1463" t="n">
        <v>13</v>
      </c>
      <c r="C2" s="799" t="n">
        <v>900</v>
      </c>
      <c r="D2" s="1464">
        <f>C2*B2</f>
        <v/>
      </c>
      <c r="E2" s="1132" t="n"/>
      <c r="F2" s="659" t="n"/>
      <c r="G2" s="427" t="n"/>
      <c r="H2" s="427" t="n"/>
      <c r="I2" s="1465" t="n"/>
      <c r="J2" s="427" t="n"/>
      <c r="K2" s="1465" t="n"/>
      <c r="L2" s="126" t="n"/>
    </row>
    <row r="3">
      <c r="A3" s="797" t="inlineStr">
        <is>
          <t>colheita milho</t>
        </is>
      </c>
      <c r="B3" s="1463" t="n">
        <v>14</v>
      </c>
      <c r="C3" s="799" t="n">
        <v>1380</v>
      </c>
      <c r="D3" s="1464">
        <f>C3*B3</f>
        <v/>
      </c>
      <c r="E3" s="1132" t="n"/>
      <c r="F3" s="659" t="n"/>
      <c r="G3" s="441" t="inlineStr">
        <is>
          <t>Gasolina</t>
        </is>
      </c>
      <c r="H3" s="427" t="inlineStr">
        <is>
          <t xml:space="preserve">lts </t>
        </is>
      </c>
      <c r="I3" s="1465" t="n">
        <v>6.4</v>
      </c>
      <c r="J3" s="427" t="n">
        <v>1300</v>
      </c>
      <c r="K3" s="1465">
        <f>SUM(J3*I3)</f>
        <v/>
      </c>
      <c r="L3" s="126" t="n"/>
    </row>
    <row r="4">
      <c r="A4" s="797" t="inlineStr">
        <is>
          <t>Colheita sementes cobertura</t>
        </is>
      </c>
      <c r="B4" s="1463" t="n">
        <v>7</v>
      </c>
      <c r="C4" s="799" t="n">
        <v>200</v>
      </c>
      <c r="D4" s="1464">
        <f>C4*B4</f>
        <v/>
      </c>
      <c r="E4" s="1132" t="n"/>
      <c r="F4" s="659" t="n"/>
      <c r="G4" s="441" t="n"/>
      <c r="H4" s="427" t="n"/>
      <c r="I4" s="1465" t="n"/>
      <c r="J4" s="427" t="n"/>
      <c r="K4" s="1465" t="n"/>
      <c r="L4" s="126" t="n"/>
    </row>
    <row r="5">
      <c r="A5" s="797" t="inlineStr">
        <is>
          <t>Colheita de sorgo</t>
        </is>
      </c>
      <c r="B5" s="1463" t="n">
        <v>8</v>
      </c>
      <c r="C5" s="799" t="n">
        <v>500</v>
      </c>
      <c r="D5" s="1464">
        <f>C5*B5</f>
        <v/>
      </c>
      <c r="E5" s="1132" t="n"/>
      <c r="F5" s="659" t="n"/>
      <c r="G5" s="427" t="inlineStr">
        <is>
          <t>Oleo 20w50 moto</t>
        </is>
      </c>
      <c r="H5" s="427" t="inlineStr">
        <is>
          <t xml:space="preserve">lts </t>
        </is>
      </c>
      <c r="I5" s="1465" t="n">
        <v>26</v>
      </c>
      <c r="J5" s="427" t="n">
        <v>12</v>
      </c>
      <c r="K5" s="1465">
        <f>SUM(J5*I5)</f>
        <v/>
      </c>
      <c r="L5" s="126" t="n"/>
    </row>
    <row r="6">
      <c r="A6" s="618" t="inlineStr">
        <is>
          <t xml:space="preserve">Plantio Soja </t>
        </is>
      </c>
      <c r="B6" s="1466" t="n">
        <v>4.57</v>
      </c>
      <c r="C6" s="608" t="n">
        <v>900</v>
      </c>
      <c r="D6" s="1467">
        <f>B6*C6</f>
        <v/>
      </c>
      <c r="E6" s="1132" t="n"/>
      <c r="F6" s="659" t="n"/>
      <c r="G6" s="441" t="n"/>
      <c r="H6" s="427" t="n"/>
      <c r="I6" s="1465" t="n"/>
      <c r="J6" s="427" t="n"/>
      <c r="K6" s="1465" t="n"/>
      <c r="L6" s="126" t="n"/>
    </row>
    <row r="7">
      <c r="A7" s="618" t="inlineStr">
        <is>
          <t>Plantio Milho</t>
        </is>
      </c>
      <c r="B7" s="1466" t="n">
        <v>5</v>
      </c>
      <c r="C7" s="608" t="n">
        <v>1380</v>
      </c>
      <c r="D7" s="1467">
        <f>C7*B7</f>
        <v/>
      </c>
      <c r="E7" s="1132" t="n"/>
      <c r="F7" s="659" t="n"/>
      <c r="G7" s="441" t="inlineStr">
        <is>
          <t>graxa mineral</t>
        </is>
      </c>
      <c r="H7" s="427" t="inlineStr">
        <is>
          <t>Kgs</t>
        </is>
      </c>
      <c r="I7" s="1465" t="n">
        <v>30</v>
      </c>
      <c r="J7" s="427" t="n">
        <v>60</v>
      </c>
      <c r="K7" s="1465">
        <f>SUM(J7*I7)</f>
        <v/>
      </c>
      <c r="L7" s="126" t="n"/>
    </row>
    <row r="8">
      <c r="A8" s="618" t="inlineStr">
        <is>
          <t>Plantio braquiaria</t>
        </is>
      </c>
      <c r="B8" s="1466" t="n">
        <v>1.63</v>
      </c>
      <c r="C8" s="608" t="n">
        <v>1380</v>
      </c>
      <c r="D8" s="1467">
        <f>C8*B8</f>
        <v/>
      </c>
      <c r="E8" s="1132" t="n"/>
      <c r="F8" s="659" t="n"/>
      <c r="G8" s="441" t="inlineStr">
        <is>
          <t>Oleo plus 50 II</t>
        </is>
      </c>
      <c r="H8" s="427" t="inlineStr">
        <is>
          <t xml:space="preserve">lts </t>
        </is>
      </c>
      <c r="I8" s="1465" t="n">
        <v>37</v>
      </c>
      <c r="J8" s="1468" t="n">
        <v>60</v>
      </c>
      <c r="K8" s="1465">
        <f>SUM(J8*I8)</f>
        <v/>
      </c>
      <c r="L8" s="126" t="n"/>
    </row>
    <row r="9">
      <c r="A9" s="618" t="inlineStr">
        <is>
          <t>preparo de solo</t>
        </is>
      </c>
      <c r="B9" s="1466" t="n">
        <v>20</v>
      </c>
      <c r="C9" s="608" t="n">
        <v>900</v>
      </c>
      <c r="D9" s="1467">
        <f>C9*B9</f>
        <v/>
      </c>
      <c r="E9" s="1132" t="n"/>
      <c r="F9" s="659" t="n"/>
      <c r="G9" s="441" t="inlineStr">
        <is>
          <t>Oleo 85w140 cubo</t>
        </is>
      </c>
      <c r="H9" s="427" t="inlineStr">
        <is>
          <t xml:space="preserve">lts </t>
        </is>
      </c>
      <c r="I9" s="1465" t="n">
        <v>130</v>
      </c>
      <c r="J9" s="1468" t="n">
        <v>24</v>
      </c>
      <c r="K9" s="1465">
        <f>SUM(J9*I9)</f>
        <v/>
      </c>
      <c r="L9" s="126" t="n"/>
    </row>
    <row r="10">
      <c r="A10" s="618" t="inlineStr">
        <is>
          <t>Semeadura milheto</t>
        </is>
      </c>
      <c r="B10" s="1466" t="n">
        <v>0.84</v>
      </c>
      <c r="C10" s="608" t="n">
        <v>500</v>
      </c>
      <c r="D10" s="1467">
        <f>C10*B10</f>
        <v/>
      </c>
      <c r="E10" s="1132" t="n"/>
      <c r="F10" s="659" t="n"/>
      <c r="G10" s="441" t="inlineStr">
        <is>
          <t xml:space="preserve">Oleo cambio </t>
        </is>
      </c>
      <c r="H10" s="427" t="inlineStr">
        <is>
          <t xml:space="preserve">lts </t>
        </is>
      </c>
      <c r="I10" s="1465" t="n">
        <v>70</v>
      </c>
      <c r="J10" s="1468" t="n">
        <v>10</v>
      </c>
      <c r="K10" s="1465">
        <f>SUM(J10*I10)</f>
        <v/>
      </c>
      <c r="L10" s="126" t="n"/>
    </row>
    <row r="11">
      <c r="A11" s="618" t="inlineStr">
        <is>
          <t>Adubação a lanço KCl</t>
        </is>
      </c>
      <c r="B11" s="1466" t="n">
        <v>0.75</v>
      </c>
      <c r="C11" s="608" t="n">
        <v>2350</v>
      </c>
      <c r="D11" s="1467">
        <f>C11*B11</f>
        <v/>
      </c>
      <c r="E11" s="1132" t="n"/>
      <c r="F11" s="659" t="n"/>
      <c r="G11" s="441" t="inlineStr">
        <is>
          <t>Oleo selenia 10w30</t>
        </is>
      </c>
      <c r="H11" s="427" t="inlineStr">
        <is>
          <t xml:space="preserve">lts </t>
        </is>
      </c>
      <c r="I11" s="1465" t="n">
        <v>40</v>
      </c>
      <c r="J11" s="1468" t="n">
        <v>4</v>
      </c>
      <c r="K11" s="1465">
        <f>SUM(J11*I11)</f>
        <v/>
      </c>
      <c r="L11" s="126" t="n"/>
    </row>
    <row r="12">
      <c r="A12" s="618" t="inlineStr">
        <is>
          <t>Adubação a lanço SS</t>
        </is>
      </c>
      <c r="B12" s="1466" t="n">
        <v>0.75</v>
      </c>
      <c r="C12" s="608" t="n">
        <v>1600</v>
      </c>
      <c r="D12" s="1467">
        <f>C12*B12</f>
        <v/>
      </c>
      <c r="E12" s="1132" t="n"/>
      <c r="F12" s="659" t="n"/>
      <c r="G12" s="441" t="inlineStr">
        <is>
          <t>Oleo plus 50 4</t>
        </is>
      </c>
      <c r="H12" s="427" t="inlineStr">
        <is>
          <t xml:space="preserve">lts </t>
        </is>
      </c>
      <c r="I12" s="1465" t="n">
        <v>35</v>
      </c>
      <c r="J12" s="1468" t="n">
        <v>80</v>
      </c>
      <c r="K12" s="1465">
        <f>SUM(J12*I12)</f>
        <v/>
      </c>
      <c r="L12" s="126" t="n"/>
    </row>
    <row r="13">
      <c r="A13" s="618" t="inlineStr">
        <is>
          <t>Adubação plantio</t>
        </is>
      </c>
      <c r="B13" s="1466" t="n">
        <v>4</v>
      </c>
      <c r="C13" s="608" t="n">
        <v>915</v>
      </c>
      <c r="D13" s="1467">
        <f>C13*B13</f>
        <v/>
      </c>
      <c r="E13" s="1132" t="n"/>
      <c r="F13" s="659" t="n"/>
      <c r="G13" s="441" t="inlineStr">
        <is>
          <t>Oleo 15w40</t>
        </is>
      </c>
      <c r="H13" s="427" t="inlineStr">
        <is>
          <t xml:space="preserve">lts </t>
        </is>
      </c>
      <c r="I13" s="1465" t="n">
        <v>25</v>
      </c>
      <c r="J13" s="1468" t="n">
        <v>400</v>
      </c>
      <c r="K13" s="1465">
        <f>SUM(J13*I13)</f>
        <v/>
      </c>
      <c r="L13" s="126" t="n"/>
    </row>
    <row r="14">
      <c r="A14" s="618" t="inlineStr">
        <is>
          <t>Ureia</t>
        </is>
      </c>
      <c r="B14" s="1466" t="n">
        <v>1.3</v>
      </c>
      <c r="C14" s="608" t="n">
        <v>2300</v>
      </c>
      <c r="D14" s="1467">
        <f>C14*B14</f>
        <v/>
      </c>
      <c r="E14" s="1132" t="n"/>
      <c r="F14" s="659" t="n"/>
      <c r="G14" s="441" t="inlineStr">
        <is>
          <t>OLEO 424</t>
        </is>
      </c>
      <c r="H14" s="589" t="inlineStr">
        <is>
          <t xml:space="preserve">lts </t>
        </is>
      </c>
      <c r="I14" s="1469" t="n">
        <v>30</v>
      </c>
      <c r="J14" s="427" t="n">
        <v>350</v>
      </c>
      <c r="K14" s="1465">
        <f>SUM(J14*I14)</f>
        <v/>
      </c>
      <c r="L14" s="126" t="n"/>
    </row>
    <row r="15">
      <c r="A15" s="618" t="inlineStr">
        <is>
          <t>Aplicação quimicos</t>
        </is>
      </c>
      <c r="B15" s="1466" t="n">
        <v>0.7</v>
      </c>
      <c r="C15" s="608" t="n">
        <v>15000</v>
      </c>
      <c r="D15" s="1467">
        <f>C15*B15</f>
        <v/>
      </c>
      <c r="E15" s="1132" t="n"/>
      <c r="F15" s="659" t="n"/>
      <c r="G15" s="441" t="inlineStr">
        <is>
          <t>OLEO 68</t>
        </is>
      </c>
      <c r="H15" s="427" t="inlineStr">
        <is>
          <t xml:space="preserve">lts </t>
        </is>
      </c>
      <c r="I15" s="1465" t="n">
        <v>20</v>
      </c>
      <c r="J15" s="1468" t="n">
        <v>60</v>
      </c>
      <c r="K15" s="1465">
        <f>SUM(J15*I15)</f>
        <v/>
      </c>
      <c r="L15" s="126" t="n"/>
    </row>
    <row r="16">
      <c r="A16" s="618" t="inlineStr">
        <is>
          <t>Manutençao de estrradas</t>
        </is>
      </c>
      <c r="B16" s="1466" t="n"/>
      <c r="C16" s="986" t="n">
        <v>677.9661016949152</v>
      </c>
      <c r="D16" s="1467" t="n">
        <v>4000</v>
      </c>
      <c r="E16" s="1132" t="n"/>
      <c r="F16" s="659" t="n"/>
      <c r="G16" s="441" t="n"/>
      <c r="H16" s="427" t="n"/>
      <c r="I16" s="1465" t="n"/>
      <c r="J16" s="1468" t="n"/>
      <c r="K16" s="1465" t="n"/>
      <c r="L16" s="126" t="n"/>
    </row>
    <row r="17">
      <c r="A17" s="618" t="inlineStr">
        <is>
          <t xml:space="preserve">F4000 melosa </t>
        </is>
      </c>
      <c r="B17" s="1466" t="n"/>
      <c r="C17" s="986" t="n">
        <v>508.4745762711864</v>
      </c>
      <c r="D17" s="1467" t="n">
        <v>3000</v>
      </c>
      <c r="E17" s="1132" t="n"/>
      <c r="F17" s="659" t="n"/>
      <c r="G17" s="441" t="n"/>
      <c r="H17" s="427" t="n"/>
      <c r="I17" s="1465" t="n"/>
      <c r="J17" s="1468" t="n"/>
      <c r="K17" s="1465" t="n"/>
      <c r="L17" s="126" t="n"/>
    </row>
    <row r="18" ht="14.25" customHeight="1" s="1173">
      <c r="A18" s="618" t="inlineStr">
        <is>
          <t>S10 Schu</t>
        </is>
      </c>
      <c r="B18" s="1466" t="n"/>
      <c r="C18" s="986" t="n">
        <v>406.7796610169491</v>
      </c>
      <c r="D18" s="440" t="n">
        <v>2400</v>
      </c>
      <c r="E18" s="1132" t="n"/>
      <c r="F18" s="659" t="n"/>
      <c r="G18" s="441" t="n"/>
      <c r="H18" s="427" t="n"/>
      <c r="I18" s="1465" t="n"/>
      <c r="J18" s="1468" t="n"/>
      <c r="K18" s="1465" t="n"/>
      <c r="L18" s="126" t="n"/>
    </row>
    <row r="19">
      <c r="A19" s="618" t="inlineStr">
        <is>
          <t>F4000 aplicaçao</t>
        </is>
      </c>
      <c r="B19" s="1466" t="n"/>
      <c r="C19" s="986" t="n">
        <v>508.4745762711864</v>
      </c>
      <c r="D19" s="440" t="n">
        <v>3000</v>
      </c>
      <c r="E19" s="1132" t="n"/>
      <c r="F19" s="659" t="n"/>
      <c r="G19" s="441" t="n"/>
      <c r="H19" s="427" t="n"/>
      <c r="I19" s="1465" t="n"/>
      <c r="J19" s="1468" t="n"/>
      <c r="K19" s="1465" t="n"/>
      <c r="L19" s="126" t="n"/>
    </row>
    <row r="20">
      <c r="A20" s="618" t="inlineStr">
        <is>
          <t>S10 Romerio</t>
        </is>
      </c>
      <c r="B20" s="1466" t="n"/>
      <c r="C20" s="986" t="n">
        <v>932.2033898305084</v>
      </c>
      <c r="D20" s="440" t="n">
        <v>5500</v>
      </c>
      <c r="E20" s="1132" t="n"/>
      <c r="F20" s="659" t="n"/>
      <c r="G20" s="427" t="inlineStr">
        <is>
          <t>dulub ATF</t>
        </is>
      </c>
      <c r="H20" s="427" t="inlineStr">
        <is>
          <t xml:space="preserve">lts </t>
        </is>
      </c>
      <c r="I20" s="1465" t="n">
        <v>24</v>
      </c>
      <c r="J20" s="1468" t="n">
        <v>12</v>
      </c>
      <c r="K20" s="1465">
        <f>SUM(J20*I20)</f>
        <v/>
      </c>
      <c r="L20" s="126" t="n"/>
    </row>
    <row r="21">
      <c r="A21" s="618" t="inlineStr">
        <is>
          <t>Pa carregadeira</t>
        </is>
      </c>
      <c r="B21" s="1466" t="n"/>
      <c r="C21" s="986" t="n">
        <v>677.9661016949152</v>
      </c>
      <c r="D21" s="440" t="n">
        <v>4000</v>
      </c>
      <c r="E21" s="1132" t="n"/>
      <c r="F21" s="659" t="n"/>
      <c r="G21" s="427" t="inlineStr">
        <is>
          <t>oleo lub. Ciser 300ml/200GRS</t>
        </is>
      </c>
      <c r="H21" s="427" t="inlineStr">
        <is>
          <t>PC</t>
        </is>
      </c>
      <c r="I21" s="1465" t="n">
        <v>12.2</v>
      </c>
      <c r="J21" s="1468" t="n">
        <v>4</v>
      </c>
      <c r="K21" s="1465">
        <f>SUM(J21*I21)</f>
        <v/>
      </c>
      <c r="L21" s="126" t="n"/>
    </row>
    <row r="22">
      <c r="A22" s="618" t="inlineStr">
        <is>
          <t>JD5403</t>
        </is>
      </c>
      <c r="B22" s="1466" t="n"/>
      <c r="C22" s="986" t="n">
        <v>169.4915254237288</v>
      </c>
      <c r="D22" s="440" t="n">
        <v>1000</v>
      </c>
      <c r="E22" s="1132" t="n"/>
      <c r="F22" s="659" t="n"/>
      <c r="G22" s="441" t="inlineStr">
        <is>
          <t>Oleo SAE 10</t>
        </is>
      </c>
      <c r="H22" s="427" t="inlineStr">
        <is>
          <t xml:space="preserve">lts </t>
        </is>
      </c>
      <c r="I22" s="1465" t="n">
        <v>32</v>
      </c>
      <c r="J22" s="1468" t="n">
        <v>4</v>
      </c>
      <c r="K22" s="1465">
        <f>SUM(J22*I22)</f>
        <v/>
      </c>
      <c r="L22" s="126" t="n"/>
    </row>
    <row r="23">
      <c r="A23" s="618" t="inlineStr">
        <is>
          <t>Ford cargo</t>
        </is>
      </c>
      <c r="B23" s="1466" t="n"/>
      <c r="C23" s="986" t="n">
        <v>508.4745762711864</v>
      </c>
      <c r="D23" s="440" t="n">
        <v>3000</v>
      </c>
      <c r="E23" s="1132" t="n"/>
      <c r="F23" s="659" t="n"/>
      <c r="G23" s="441" t="inlineStr">
        <is>
          <t>Oleo Dot 4</t>
        </is>
      </c>
      <c r="H23" s="427" t="inlineStr">
        <is>
          <t xml:space="preserve">lts </t>
        </is>
      </c>
      <c r="I23" s="1465" t="n">
        <v>32</v>
      </c>
      <c r="J23" s="1468" t="n">
        <v>8</v>
      </c>
      <c r="K23" s="1465">
        <f>SUM(J23*I23)</f>
        <v/>
      </c>
      <c r="L23" s="1470">
        <f>SUM(K4:K23)</f>
        <v/>
      </c>
    </row>
    <row r="24">
      <c r="A24" s="618" t="inlineStr">
        <is>
          <t>Ts</t>
        </is>
      </c>
      <c r="B24" s="1466" t="n"/>
      <c r="C24" s="986" t="n">
        <v>16.94915254237288</v>
      </c>
      <c r="D24" s="440" t="n">
        <v>100</v>
      </c>
      <c r="E24" s="1132" t="n"/>
      <c r="F24" s="659" t="n"/>
    </row>
    <row r="25">
      <c r="A25" s="618" t="inlineStr">
        <is>
          <t xml:space="preserve">Compras </t>
        </is>
      </c>
      <c r="B25" s="1466" t="n"/>
      <c r="C25" s="986" t="n">
        <v>254.2372881355932</v>
      </c>
      <c r="D25" s="440" t="n">
        <v>1500</v>
      </c>
      <c r="E25" s="1132" t="n"/>
      <c r="F25" s="659" t="n"/>
    </row>
    <row r="26">
      <c r="A26" s="610" t="n"/>
      <c r="B26" s="126" t="n"/>
      <c r="C26" s="126" t="n"/>
      <c r="D26" s="427">
        <f>SUM(D2:D25)</f>
        <v/>
      </c>
      <c r="E26" s="660" t="n"/>
      <c r="F26" s="661" t="n"/>
    </row>
    <row r="27">
      <c r="D27" s="1471">
        <f>D26*5.9</f>
        <v/>
      </c>
    </row>
  </sheetData>
  <pageMargins left="0.511811024" right="0.511811024" top="0.787401575" bottom="0.787401575" header="0.31496062" footer="0.31496062"/>
  <pageSetup orientation="portrait" paperSize="9" verticalDpi="300"/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/>
  </sheetPr>
  <dimension ref="A1:P108"/>
  <sheetViews>
    <sheetView topLeftCell="A12" zoomScale="90" zoomScaleNormal="90" workbookViewId="0">
      <selection activeCell="G30" sqref="G30"/>
    </sheetView>
  </sheetViews>
  <sheetFormatPr baseColWidth="8" defaultRowHeight="15"/>
  <cols>
    <col width="19.7109375" customWidth="1" style="1173" min="1" max="1"/>
    <col width="13.5703125" bestFit="1" customWidth="1" style="1173" min="3" max="3"/>
    <col width="13" bestFit="1" customWidth="1" style="1173" min="4" max="5"/>
    <col width="12.7109375" bestFit="1" customWidth="1" style="1173" min="6" max="6"/>
    <col width="13" bestFit="1" customWidth="1" style="1173" min="7" max="10"/>
    <col width="12.7109375" bestFit="1" customWidth="1" style="1173" min="11" max="13"/>
    <col width="13.140625" bestFit="1" customWidth="1" style="1173" min="14" max="14"/>
    <col width="16.28515625" bestFit="1" customWidth="1" style="1472" min="15" max="15"/>
  </cols>
  <sheetData>
    <row r="1">
      <c r="A1" s="611" t="inlineStr">
        <is>
          <t>Máquinas N</t>
        </is>
      </c>
      <c r="B1" s="591" t="inlineStr">
        <is>
          <t>Numero</t>
        </is>
      </c>
      <c r="C1" s="592" t="inlineStr">
        <is>
          <t>Outubro</t>
        </is>
      </c>
      <c r="D1" s="592" t="inlineStr">
        <is>
          <t>Novembro</t>
        </is>
      </c>
      <c r="E1" s="592" t="inlineStr">
        <is>
          <t>Dezembro</t>
        </is>
      </c>
      <c r="F1" s="592" t="inlineStr">
        <is>
          <t>Janeiro</t>
        </is>
      </c>
      <c r="G1" s="592" t="inlineStr">
        <is>
          <t>Fevereiro</t>
        </is>
      </c>
      <c r="H1" s="592" t="inlineStr">
        <is>
          <t>Março</t>
        </is>
      </c>
      <c r="I1" s="592" t="inlineStr">
        <is>
          <t>Abril</t>
        </is>
      </c>
      <c r="J1" s="592" t="inlineStr">
        <is>
          <t>Maio</t>
        </is>
      </c>
      <c r="K1" s="592" t="inlineStr">
        <is>
          <t>Junho</t>
        </is>
      </c>
      <c r="L1" s="592" t="inlineStr">
        <is>
          <t>Julho</t>
        </is>
      </c>
      <c r="M1" s="592" t="inlineStr">
        <is>
          <t>Agosto</t>
        </is>
      </c>
      <c r="N1" s="593" t="inlineStr">
        <is>
          <t>Setembro</t>
        </is>
      </c>
      <c r="O1" s="1473" t="inlineStr">
        <is>
          <t>Total P/ Maquina 20/21</t>
        </is>
      </c>
      <c r="P1" s="1474" t="n"/>
    </row>
    <row r="2">
      <c r="A2" s="844" t="inlineStr">
        <is>
          <t xml:space="preserve">Pa </t>
        </is>
      </c>
      <c r="B2" s="845" t="n">
        <v>95</v>
      </c>
      <c r="C2" s="1475" t="n">
        <v>2500</v>
      </c>
      <c r="D2" s="1476" t="n"/>
      <c r="E2" s="1477" t="n"/>
      <c r="F2" s="1476" t="n"/>
      <c r="G2" s="1476" t="n"/>
      <c r="H2" s="1476" t="n">
        <v>2500</v>
      </c>
      <c r="I2" s="1476" t="n"/>
      <c r="J2" s="1476" t="n"/>
      <c r="K2" s="1476" t="n">
        <v>1300</v>
      </c>
      <c r="L2" s="1476" t="n">
        <v>500</v>
      </c>
      <c r="M2" s="1476" t="n"/>
      <c r="N2" s="1478" t="n"/>
      <c r="O2" s="1479">
        <f>SUM(C2:N2)</f>
        <v/>
      </c>
      <c r="P2" s="1480" t="n"/>
    </row>
    <row r="3">
      <c r="A3" s="844" t="inlineStr">
        <is>
          <t>M4030</t>
        </is>
      </c>
      <c r="B3" s="845" t="n">
        <v>87</v>
      </c>
      <c r="C3" s="1475" t="n">
        <v>40000</v>
      </c>
      <c r="D3" s="1475" t="n">
        <v>5000</v>
      </c>
      <c r="E3" s="1476" t="n">
        <v>5300</v>
      </c>
      <c r="F3" s="1476" t="n">
        <v>6200</v>
      </c>
      <c r="G3" s="1476" t="n">
        <v>5200</v>
      </c>
      <c r="H3" s="1476" t="n">
        <v>4000</v>
      </c>
      <c r="I3" s="1476" t="n">
        <v>2500</v>
      </c>
      <c r="J3" s="1475" t="n">
        <v>4200</v>
      </c>
      <c r="K3" s="1475" t="n">
        <v>10000</v>
      </c>
      <c r="L3" s="1476" t="n">
        <v>6500</v>
      </c>
      <c r="M3" s="1476" t="n">
        <v>3500</v>
      </c>
      <c r="N3" s="1478" t="n">
        <v>15000</v>
      </c>
      <c r="O3" s="1479">
        <f>SUM(C3:N3)</f>
        <v/>
      </c>
      <c r="P3" s="1480" t="n"/>
    </row>
    <row r="4">
      <c r="A4" s="844" t="inlineStr">
        <is>
          <t>DN4040</t>
        </is>
      </c>
      <c r="B4" s="845" t="n"/>
      <c r="C4" s="1475" t="n">
        <v>3000</v>
      </c>
      <c r="D4" s="1475" t="n">
        <v>2500</v>
      </c>
      <c r="E4" s="1476" t="n">
        <v>600</v>
      </c>
      <c r="F4" s="1476" t="n">
        <v>300</v>
      </c>
      <c r="G4" s="1476" t="n">
        <v>2400</v>
      </c>
      <c r="H4" s="1476" t="n">
        <v>500</v>
      </c>
      <c r="I4" s="1476" t="n">
        <v>300</v>
      </c>
      <c r="J4" s="1476" t="n"/>
      <c r="K4" s="1476" t="n">
        <v>6000</v>
      </c>
      <c r="L4" s="1476" t="n"/>
      <c r="M4" s="1476" t="n"/>
      <c r="N4" s="1478" t="n">
        <v>12000</v>
      </c>
      <c r="O4" s="1479">
        <f>SUM(C4:N4)</f>
        <v/>
      </c>
      <c r="P4" s="1480" t="n"/>
    </row>
    <row r="5">
      <c r="A5" s="844" t="inlineStr">
        <is>
          <t>Plant Braquiaria</t>
        </is>
      </c>
      <c r="B5" s="845" t="n"/>
      <c r="C5" s="1475" t="n">
        <v>1200</v>
      </c>
      <c r="D5" s="1475" t="n">
        <v>1200</v>
      </c>
      <c r="E5" s="1476" t="n"/>
      <c r="F5" s="1476" t="n"/>
      <c r="G5" s="1476" t="n"/>
      <c r="H5" s="1476" t="n"/>
      <c r="I5" s="1476" t="n"/>
      <c r="J5" s="1476" t="n"/>
      <c r="K5" s="1476" t="n"/>
      <c r="L5" s="1476" t="n"/>
      <c r="M5" s="1476" t="n">
        <v>2500</v>
      </c>
      <c r="N5" s="1478" t="n"/>
      <c r="O5" s="1479">
        <f>SUM(C5:N5)</f>
        <v/>
      </c>
      <c r="P5" s="1480" t="n"/>
    </row>
    <row r="6">
      <c r="A6" s="844" t="inlineStr">
        <is>
          <t>Plant 2134</t>
        </is>
      </c>
      <c r="B6" s="845" t="n">
        <v>10</v>
      </c>
      <c r="C6" s="1477" t="n"/>
      <c r="D6" s="1475" t="n">
        <v>1700</v>
      </c>
      <c r="E6" s="1476" t="n"/>
      <c r="F6" s="1476" t="n"/>
      <c r="G6" s="1476" t="n"/>
      <c r="H6" s="1476" t="n"/>
      <c r="I6" s="1481" t="n"/>
      <c r="J6" s="1476" t="n">
        <v>12000</v>
      </c>
      <c r="K6" s="1476" t="n">
        <v>600</v>
      </c>
      <c r="L6" s="1476" t="n">
        <v>600</v>
      </c>
      <c r="M6" s="1476" t="n"/>
      <c r="N6" s="1478" t="n">
        <v>2000</v>
      </c>
      <c r="O6" s="1479">
        <f>SUM(C6:N6)</f>
        <v/>
      </c>
      <c r="P6" s="1480" t="n"/>
    </row>
    <row r="7">
      <c r="A7" s="613" t="inlineStr">
        <is>
          <t xml:space="preserve">DB </t>
        </is>
      </c>
      <c r="B7" s="594" t="n">
        <v>55</v>
      </c>
      <c r="C7" s="1482" t="n">
        <v>5100</v>
      </c>
      <c r="D7" s="1483" t="n">
        <v>3000</v>
      </c>
      <c r="E7" s="1483" t="n">
        <v>6300</v>
      </c>
      <c r="F7" s="1483" t="n">
        <v>2500</v>
      </c>
      <c r="G7" s="1483" t="n">
        <v>3100</v>
      </c>
      <c r="H7" s="1483" t="n"/>
      <c r="I7" s="1483" t="n"/>
      <c r="J7" s="1482" t="n"/>
      <c r="K7" s="1483" t="n"/>
      <c r="L7" s="1483" t="n"/>
      <c r="M7" s="1483" t="n">
        <v>8000</v>
      </c>
      <c r="N7" s="1482" t="n"/>
      <c r="O7" s="1479">
        <f>SUM(C7:N7)</f>
        <v/>
      </c>
      <c r="P7" s="1474" t="n"/>
    </row>
    <row r="8" ht="15" customHeight="1" s="1173">
      <c r="A8" s="615" t="inlineStr">
        <is>
          <t>8370R</t>
        </is>
      </c>
      <c r="B8" s="601" t="n">
        <v>32</v>
      </c>
      <c r="C8" s="1477" t="n">
        <v>12000</v>
      </c>
      <c r="D8" s="1475" t="n">
        <v>6000</v>
      </c>
      <c r="E8" s="1476" t="n">
        <v>2400</v>
      </c>
      <c r="F8" s="1476" t="n">
        <v>1200</v>
      </c>
      <c r="G8" s="1476" t="n">
        <v>30000</v>
      </c>
      <c r="H8" s="1476" t="n">
        <v>15000</v>
      </c>
      <c r="I8" s="1476" t="n">
        <v>1875</v>
      </c>
      <c r="J8" s="1476" t="n">
        <v>3000</v>
      </c>
      <c r="K8" s="1476" t="n">
        <v>12000</v>
      </c>
      <c r="L8" s="1476" t="n"/>
      <c r="M8" s="1476" t="n"/>
      <c r="N8" s="1478" t="n"/>
      <c r="O8" s="1479">
        <f>SUM(C8:N8)</f>
        <v/>
      </c>
      <c r="P8" s="1474" t="n"/>
    </row>
    <row r="9">
      <c r="A9" s="615" t="inlineStr">
        <is>
          <t>8335R</t>
        </is>
      </c>
      <c r="B9" s="601" t="n">
        <v>41</v>
      </c>
      <c r="C9" s="1481" t="n">
        <v>8000</v>
      </c>
      <c r="D9" s="1475" t="n">
        <v>6000</v>
      </c>
      <c r="E9" s="1476" t="n">
        <v>3100</v>
      </c>
      <c r="F9" s="1475" t="n">
        <v>10000</v>
      </c>
      <c r="G9" s="1476" t="n"/>
      <c r="H9" s="1476" t="n">
        <v>19000</v>
      </c>
      <c r="I9" s="1476" t="n"/>
      <c r="J9" s="1476" t="n"/>
      <c r="K9" s="1476" t="n">
        <v>30000</v>
      </c>
      <c r="L9" s="1476" t="n"/>
      <c r="M9" s="1476" t="n"/>
      <c r="N9" s="1478" t="n"/>
      <c r="O9" s="1479">
        <f>SUM(C9:N9)</f>
        <v/>
      </c>
      <c r="P9" s="1474" t="n"/>
    </row>
    <row r="10">
      <c r="A10" s="615" t="n">
        <v>5403</v>
      </c>
      <c r="B10" s="601" t="n">
        <v>35</v>
      </c>
      <c r="C10" s="1475" t="n">
        <v>2500</v>
      </c>
      <c r="D10" s="1475" t="n">
        <v>3200</v>
      </c>
      <c r="E10" s="1476" t="n">
        <v>450</v>
      </c>
      <c r="F10" s="1476" t="n"/>
      <c r="G10" s="1476" t="n"/>
      <c r="H10" s="1476" t="n">
        <v>600</v>
      </c>
      <c r="I10" s="1476" t="n">
        <v>600</v>
      </c>
      <c r="J10" s="1476" t="n">
        <v>450</v>
      </c>
      <c r="K10" s="1476" t="n"/>
      <c r="L10" s="1476" t="n"/>
      <c r="M10" s="1476" t="n"/>
      <c r="N10" s="1478" t="n">
        <v>3500</v>
      </c>
      <c r="O10" s="1479">
        <f>SUM(C10:N10)</f>
        <v/>
      </c>
      <c r="P10" s="1474" t="n"/>
    </row>
    <row r="11">
      <c r="A11" s="615" t="inlineStr">
        <is>
          <t xml:space="preserve">Bross preta </t>
        </is>
      </c>
      <c r="B11" s="601" t="n">
        <v>24</v>
      </c>
      <c r="C11" s="1475" t="n">
        <v>800</v>
      </c>
      <c r="D11" s="1475" t="n">
        <v>200</v>
      </c>
      <c r="E11" s="1477" t="n">
        <v>200</v>
      </c>
      <c r="F11" s="1476" t="n"/>
      <c r="G11" s="1476" t="n"/>
      <c r="H11" s="1476" t="n"/>
      <c r="I11" s="1476" t="n">
        <v>200</v>
      </c>
      <c r="J11" s="1476" t="n"/>
      <c r="K11" s="1476" t="n"/>
      <c r="L11" s="1476" t="n"/>
      <c r="M11" s="1476" t="n">
        <v>600</v>
      </c>
      <c r="N11" s="1478" t="n"/>
      <c r="O11" s="1479">
        <f>SUM(C11:N11)</f>
        <v/>
      </c>
      <c r="P11" s="1474" t="n"/>
    </row>
    <row r="12">
      <c r="A12" s="615" t="inlineStr">
        <is>
          <t>Bros</t>
        </is>
      </c>
      <c r="B12" s="601" t="n">
        <v>97</v>
      </c>
      <c r="C12" s="1475" t="n">
        <v>800</v>
      </c>
      <c r="D12" s="1475" t="n">
        <v>350</v>
      </c>
      <c r="E12" s="170" t="n"/>
      <c r="F12" s="1475" t="n"/>
      <c r="G12" s="1475" t="n"/>
      <c r="H12" s="1476" t="n"/>
      <c r="I12" s="1476" t="n">
        <v>350</v>
      </c>
      <c r="J12" s="1476" t="n"/>
      <c r="K12" s="1476" t="n"/>
      <c r="L12" s="1476" t="n"/>
      <c r="M12" s="1481" t="n"/>
      <c r="N12" s="1476" t="n">
        <v>800</v>
      </c>
      <c r="O12" s="1479">
        <f>SUM(C12:N12)</f>
        <v/>
      </c>
      <c r="P12" s="1474" t="n"/>
    </row>
    <row r="13">
      <c r="A13" s="613" t="inlineStr">
        <is>
          <t>Tilleer GTS</t>
        </is>
      </c>
      <c r="B13" s="594" t="n">
        <v>107</v>
      </c>
      <c r="C13" s="1476" t="n"/>
      <c r="D13" s="1476" t="n"/>
      <c r="E13" s="1476" t="n"/>
      <c r="F13" s="1476" t="n"/>
      <c r="G13" s="1476" t="n"/>
      <c r="H13" s="1476" t="n"/>
      <c r="I13" s="1476" t="n">
        <v>2000</v>
      </c>
      <c r="J13" s="1476" t="n"/>
      <c r="K13" s="1476" t="n"/>
      <c r="L13" s="1476" t="n"/>
      <c r="M13" s="1476" t="n"/>
      <c r="N13" s="1478" t="n"/>
      <c r="O13" s="1479">
        <f>SUM(C13:N13)</f>
        <v/>
      </c>
    </row>
    <row r="14">
      <c r="A14" s="613" t="inlineStr">
        <is>
          <t>Terrus Gts 12 H</t>
        </is>
      </c>
      <c r="B14" s="594" t="n">
        <v>109</v>
      </c>
      <c r="C14" s="1476" t="n">
        <v>8000</v>
      </c>
      <c r="D14" s="1476" t="n"/>
      <c r="E14" s="1476" t="n"/>
      <c r="F14" s="1476" t="n"/>
      <c r="G14" s="1476" t="n"/>
      <c r="H14" s="1476" t="n">
        <v>3500</v>
      </c>
      <c r="I14" s="1476" t="n"/>
      <c r="J14" s="1476" t="n"/>
      <c r="K14" s="1476" t="n"/>
      <c r="L14" s="1476" t="n"/>
      <c r="M14" s="1476" t="n"/>
      <c r="N14" s="1482" t="n"/>
      <c r="O14" s="1479">
        <f>SUM(C14:N14)</f>
        <v/>
      </c>
    </row>
    <row r="15">
      <c r="A15" s="613" t="inlineStr">
        <is>
          <t xml:space="preserve">Rolo faca </t>
        </is>
      </c>
      <c r="B15" s="594" t="n"/>
      <c r="C15" s="1476" t="n"/>
      <c r="D15" s="1476" t="n">
        <v>2000</v>
      </c>
      <c r="E15" s="1476" t="n"/>
      <c r="F15" s="1476" t="n"/>
      <c r="G15" s="1476" t="n"/>
      <c r="H15" s="1476" t="n"/>
      <c r="I15" s="1476" t="n"/>
      <c r="J15" s="1476" t="n"/>
      <c r="K15" s="1476" t="n"/>
      <c r="L15" s="1476" t="n"/>
      <c r="M15" s="1476" t="n"/>
      <c r="N15" s="1482" t="n"/>
      <c r="O15" s="1479">
        <f>SUM(C15:N15)</f>
        <v/>
      </c>
    </row>
    <row r="16">
      <c r="A16" s="613" t="inlineStr">
        <is>
          <t>Extratora</t>
        </is>
      </c>
      <c r="B16" s="594" t="n">
        <v>105</v>
      </c>
      <c r="C16" s="1483" t="n"/>
      <c r="D16" s="1476" t="n"/>
      <c r="E16" s="1476" t="n"/>
      <c r="F16" s="1476" t="n"/>
      <c r="G16" s="1483" t="n"/>
      <c r="H16" s="1476" t="n"/>
      <c r="I16" s="1476" t="n"/>
      <c r="J16" s="1476" t="n"/>
      <c r="K16" s="1476" t="n"/>
      <c r="L16" s="1476" t="n"/>
      <c r="M16" s="1476" t="n"/>
      <c r="N16" s="1482" t="n"/>
      <c r="O16" s="1479">
        <f>SUM(C16:N16)</f>
        <v/>
      </c>
    </row>
    <row r="17">
      <c r="A17" s="613" t="inlineStr">
        <is>
          <t>F4000</t>
        </is>
      </c>
      <c r="B17" s="594" t="n">
        <v>74</v>
      </c>
      <c r="C17" s="1476" t="n">
        <v>5300</v>
      </c>
      <c r="D17" s="1476" t="n">
        <v>1200</v>
      </c>
      <c r="E17" s="1476" t="n">
        <v>1200</v>
      </c>
      <c r="F17" s="1476" t="n">
        <v>600</v>
      </c>
      <c r="G17" s="1476" t="n">
        <v>910</v>
      </c>
      <c r="H17" s="1476" t="n">
        <v>4600</v>
      </c>
      <c r="I17" s="1476" t="n"/>
      <c r="J17" s="1476" t="n"/>
      <c r="K17" s="1476" t="n"/>
      <c r="L17" s="1476" t="n"/>
      <c r="M17" s="1476" t="n"/>
      <c r="N17" s="1478" t="n"/>
      <c r="O17" s="1479">
        <f>SUM(C17:N17)</f>
        <v/>
      </c>
    </row>
    <row r="18">
      <c r="A18" s="613" t="inlineStr">
        <is>
          <t>Ford Cargo</t>
        </is>
      </c>
      <c r="B18" s="594" t="n"/>
      <c r="C18" s="1476" t="n">
        <v>20000</v>
      </c>
      <c r="D18" s="1476" t="n">
        <v>2000</v>
      </c>
      <c r="E18" s="1476" t="n">
        <v>1000</v>
      </c>
      <c r="F18" s="1476" t="n">
        <v>1000</v>
      </c>
      <c r="G18" s="1476" t="n">
        <v>2500</v>
      </c>
      <c r="H18" s="1476" t="n">
        <v>2400</v>
      </c>
      <c r="I18" s="1476" t="n"/>
      <c r="J18" s="1476" t="n">
        <v>10000</v>
      </c>
      <c r="K18" s="1476" t="n"/>
      <c r="L18" s="1476" t="n"/>
      <c r="M18" s="1476" t="n"/>
      <c r="N18" s="1478" t="n">
        <v>2200</v>
      </c>
      <c r="O18" s="1479">
        <f>SUM(C18:N18)</f>
        <v/>
      </c>
    </row>
    <row r="19">
      <c r="A19" s="613" t="inlineStr">
        <is>
          <t>Romerio s10</t>
        </is>
      </c>
      <c r="B19" s="594" t="n">
        <v>53</v>
      </c>
      <c r="C19" s="1476" t="n">
        <v>3000</v>
      </c>
      <c r="D19" s="1476" t="n">
        <v>650</v>
      </c>
      <c r="E19" s="1476" t="n">
        <v>2500</v>
      </c>
      <c r="F19" s="1476" t="n">
        <v>3000</v>
      </c>
      <c r="G19" s="1476" t="n"/>
      <c r="H19" s="1476" t="n">
        <v>750</v>
      </c>
      <c r="I19" s="1476" t="n"/>
      <c r="J19" s="1476" t="n">
        <v>2700</v>
      </c>
      <c r="K19" s="1476" t="n">
        <v>750</v>
      </c>
      <c r="L19" s="1481" t="n">
        <v>10000</v>
      </c>
      <c r="M19" s="1476" t="n">
        <v>1300</v>
      </c>
      <c r="N19" s="1476" t="n">
        <v>2500</v>
      </c>
      <c r="O19" s="1479">
        <f>SUM(C19:N19)</f>
        <v/>
      </c>
    </row>
    <row r="20">
      <c r="A20" s="613" t="inlineStr">
        <is>
          <t xml:space="preserve">S10 compras e schu </t>
        </is>
      </c>
      <c r="B20" s="594" t="n"/>
      <c r="C20" s="1476" t="n"/>
      <c r="D20" s="1476" t="n"/>
      <c r="E20" s="1476" t="n"/>
      <c r="F20" s="1476" t="n"/>
      <c r="G20" s="1476">
        <f>'Compras '!E23/3</f>
        <v/>
      </c>
      <c r="H20" s="1476" t="n"/>
      <c r="I20" s="1476" t="n">
        <v>5000</v>
      </c>
      <c r="J20" s="1476" t="n"/>
      <c r="K20" s="1476" t="n"/>
      <c r="L20" s="126" t="n"/>
      <c r="M20" s="1476" t="n"/>
      <c r="N20" s="1478" t="n"/>
      <c r="O20" s="1479">
        <f>SUM(C20:N20)</f>
        <v/>
      </c>
    </row>
    <row r="21">
      <c r="A21" s="613" t="inlineStr">
        <is>
          <t>Pipa da agua</t>
        </is>
      </c>
      <c r="B21" s="594" t="n"/>
      <c r="C21" s="1476" t="n">
        <v>3300</v>
      </c>
      <c r="D21" s="1476" t="n">
        <v>2500</v>
      </c>
      <c r="E21" s="1476" t="n">
        <v>370</v>
      </c>
      <c r="F21" s="1476" t="n"/>
      <c r="G21" s="1476" t="n">
        <v>660</v>
      </c>
      <c r="H21" s="1476" t="n"/>
      <c r="I21" s="1476" t="n">
        <v>1800</v>
      </c>
      <c r="J21" s="1476" t="n"/>
      <c r="K21" s="1476" t="n"/>
      <c r="L21" s="1476" t="n"/>
      <c r="M21" s="1476" t="n"/>
      <c r="N21" s="1478" t="n"/>
      <c r="O21" s="1479">
        <f>SUM(C21:N21)</f>
        <v/>
      </c>
    </row>
    <row r="22">
      <c r="A22" s="613" t="inlineStr">
        <is>
          <t>Oficina</t>
        </is>
      </c>
      <c r="B22" s="594" t="n"/>
      <c r="C22" s="1476" t="n">
        <v>5300</v>
      </c>
      <c r="D22" s="1476" t="n">
        <v>5300</v>
      </c>
      <c r="E22" s="1476" t="n">
        <v>5300</v>
      </c>
      <c r="F22" s="1476" t="n">
        <v>5300</v>
      </c>
      <c r="G22" s="1476" t="n">
        <v>5300</v>
      </c>
      <c r="H22" s="1476" t="n">
        <v>5300</v>
      </c>
      <c r="I22" s="1476" t="n">
        <v>5300</v>
      </c>
      <c r="J22" s="1476" t="n">
        <v>5300</v>
      </c>
      <c r="K22" s="1476" t="n">
        <v>5300</v>
      </c>
      <c r="L22" s="1476" t="n">
        <v>5300</v>
      </c>
      <c r="M22" s="1476" t="n">
        <v>5300</v>
      </c>
      <c r="N22" s="1476" t="n">
        <v>5300</v>
      </c>
      <c r="O22" s="1479">
        <f>SUM(C22:N22)</f>
        <v/>
      </c>
    </row>
    <row r="23">
      <c r="A23" s="613" t="inlineStr">
        <is>
          <t>Sede</t>
        </is>
      </c>
      <c r="B23" s="594" t="n"/>
      <c r="C23" s="1484" t="n">
        <v>4000</v>
      </c>
      <c r="D23" s="1484" t="n">
        <v>4000</v>
      </c>
      <c r="E23" s="1484" t="n">
        <v>4000</v>
      </c>
      <c r="F23" s="1484" t="n">
        <v>4000</v>
      </c>
      <c r="G23" s="1484" t="n">
        <v>4000</v>
      </c>
      <c r="H23" s="1484" t="n">
        <v>4000</v>
      </c>
      <c r="I23" s="1484" t="n">
        <v>4000</v>
      </c>
      <c r="J23" s="1484" t="n">
        <v>4000</v>
      </c>
      <c r="K23" s="1484" t="n">
        <v>4000</v>
      </c>
      <c r="L23" s="1484" t="n">
        <v>4000</v>
      </c>
      <c r="M23" s="1484" t="n">
        <v>4000</v>
      </c>
      <c r="N23" s="1484" t="n">
        <v>4000</v>
      </c>
      <c r="O23" s="1479">
        <f>SUM(C23:N23)</f>
        <v/>
      </c>
    </row>
    <row r="24">
      <c r="A24" s="613" t="inlineStr">
        <is>
          <t>F-4000  nova</t>
        </is>
      </c>
      <c r="B24" s="594" t="n"/>
      <c r="C24" s="604" t="n">
        <v>2300</v>
      </c>
      <c r="D24" s="604" t="n">
        <v>1500</v>
      </c>
      <c r="E24" s="604" t="n"/>
      <c r="F24" s="604" t="n">
        <v>1000</v>
      </c>
      <c r="G24" s="604" t="n"/>
      <c r="H24" s="604" t="n">
        <v>2400</v>
      </c>
      <c r="I24" s="604" t="n"/>
      <c r="J24" s="604" t="n">
        <v>500</v>
      </c>
      <c r="K24" s="604" t="n"/>
      <c r="L24" s="604" t="n">
        <v>800</v>
      </c>
      <c r="M24" s="604" t="n"/>
      <c r="N24" s="604" t="n">
        <v>1500</v>
      </c>
      <c r="O24" s="1479">
        <f>SUM(C24:N24)</f>
        <v/>
      </c>
    </row>
    <row r="25">
      <c r="A25" s="613" t="inlineStr">
        <is>
          <t>Silo</t>
        </is>
      </c>
      <c r="B25" s="594" t="n"/>
      <c r="C25" s="1485" t="n">
        <v>10000</v>
      </c>
      <c r="D25" s="1476" t="n"/>
      <c r="E25" s="1477" t="n"/>
      <c r="F25" s="1477" t="n">
        <v>6400</v>
      </c>
      <c r="G25" s="1477" t="n">
        <v>6400</v>
      </c>
      <c r="H25" s="1477" t="n"/>
      <c r="I25" s="1477" t="n">
        <v>6000</v>
      </c>
      <c r="J25" s="1477" t="n">
        <v>6000</v>
      </c>
      <c r="K25" s="1477" t="n"/>
      <c r="L25" s="1477" t="n"/>
      <c r="M25" s="1477" t="n"/>
      <c r="N25" s="1477" t="n"/>
      <c r="O25" s="1479">
        <f>SUM(C25:N25)</f>
        <v/>
      </c>
    </row>
    <row r="26">
      <c r="A26" s="613" t="inlineStr">
        <is>
          <t>Gerador</t>
        </is>
      </c>
      <c r="B26" s="594" t="n"/>
      <c r="C26" s="1485" t="n"/>
      <c r="D26" s="1476" t="n"/>
      <c r="E26" s="1477" t="n"/>
      <c r="F26" s="126" t="n"/>
      <c r="G26" s="1477" t="n">
        <v>1200</v>
      </c>
      <c r="H26" s="1477" t="n"/>
      <c r="I26" s="1477" t="n"/>
      <c r="J26" s="1477" t="n"/>
      <c r="K26" s="1477" t="n"/>
      <c r="L26" s="1477" t="n">
        <v>1300</v>
      </c>
      <c r="M26" s="1477" t="n">
        <v>1200</v>
      </c>
      <c r="N26" s="1477" t="n"/>
      <c r="O26" s="1479">
        <f>SUM(C26:N26)</f>
        <v/>
      </c>
    </row>
    <row r="27">
      <c r="A27" s="613" t="inlineStr">
        <is>
          <t>Escritorio</t>
        </is>
      </c>
      <c r="B27" s="594" t="n"/>
      <c r="C27" s="1476" t="n">
        <v>150</v>
      </c>
      <c r="D27" s="1476" t="n">
        <v>600</v>
      </c>
      <c r="E27" s="1477" t="n">
        <v>300</v>
      </c>
      <c r="F27" s="1477" t="n">
        <v>700</v>
      </c>
      <c r="G27" s="1477" t="n">
        <v>700</v>
      </c>
      <c r="H27" s="1477" t="n">
        <v>700</v>
      </c>
      <c r="I27" s="1477" t="n">
        <v>700</v>
      </c>
      <c r="J27" s="1477" t="n">
        <v>200</v>
      </c>
      <c r="K27" s="1477" t="n">
        <v>130</v>
      </c>
      <c r="L27" s="1477" t="n">
        <v>1500</v>
      </c>
      <c r="M27" s="1477" t="n">
        <v>1400</v>
      </c>
      <c r="N27" s="1477" t="n">
        <v>2500</v>
      </c>
      <c r="O27" s="1479">
        <f>SUM(C27:N27)</f>
        <v/>
      </c>
    </row>
    <row r="28">
      <c r="A28" s="610" t="n"/>
      <c r="B28" s="125" t="n"/>
      <c r="C28" s="851">
        <f>SUM(C2:C27)</f>
        <v/>
      </c>
      <c r="D28" s="851">
        <f>SUM(D2:D27)</f>
        <v/>
      </c>
      <c r="E28" s="851">
        <f>SUM(E2:E27)</f>
        <v/>
      </c>
      <c r="F28" s="851">
        <f>SUM(F2:F27)</f>
        <v/>
      </c>
      <c r="G28" s="851">
        <f>SUM(G2:G27)</f>
        <v/>
      </c>
      <c r="H28" s="851">
        <f>SUM(H2:H27)</f>
        <v/>
      </c>
      <c r="I28" s="851">
        <f>SUM(I2:I27)</f>
        <v/>
      </c>
      <c r="J28" s="851">
        <f>SUM(J2:J27)</f>
        <v/>
      </c>
      <c r="K28" s="851">
        <f>SUM(K2:K27)</f>
        <v/>
      </c>
      <c r="L28" s="851">
        <f>SUM(L2:L27)</f>
        <v/>
      </c>
      <c r="M28" s="851">
        <f>SUM(M2:M27)</f>
        <v/>
      </c>
      <c r="N28" s="851">
        <f>SUM(N2:N27)</f>
        <v/>
      </c>
      <c r="O28" s="1479">
        <f>SUM(O2:O27)</f>
        <v/>
      </c>
    </row>
    <row r="29">
      <c r="C29" s="665" t="n"/>
      <c r="D29" s="665" t="n"/>
      <c r="E29" s="665" t="n"/>
      <c r="F29" s="662" t="n"/>
      <c r="G29" s="662" t="n"/>
      <c r="H29" s="662" t="n"/>
      <c r="I29" s="662" t="n"/>
      <c r="J29" s="662" t="n"/>
      <c r="K29" s="665" t="n"/>
      <c r="L29" s="665" t="n"/>
      <c r="M29" s="665" t="n"/>
      <c r="N29" s="665" t="n"/>
      <c r="O29" s="663" t="n"/>
    </row>
    <row r="30">
      <c r="C30" s="411" t="n"/>
      <c r="D30" s="411" t="n"/>
      <c r="E30" s="411" t="n"/>
      <c r="F30" s="665" t="n"/>
      <c r="G30" s="665" t="n"/>
      <c r="H30" s="665" t="n"/>
      <c r="I30" s="665" t="n"/>
      <c r="J30" s="665" t="n"/>
      <c r="K30" s="411" t="n"/>
      <c r="L30" s="411" t="n"/>
      <c r="M30" s="411" t="n"/>
      <c r="N30" s="411" t="n"/>
      <c r="O30" s="411" t="n"/>
    </row>
    <row r="31">
      <c r="F31" s="1486" t="n"/>
      <c r="G31" s="1486" t="n"/>
      <c r="H31" s="1486" t="n"/>
      <c r="I31" s="1486" t="n"/>
      <c r="J31" s="1486" t="n"/>
    </row>
    <row r="32">
      <c r="F32" s="665" t="n"/>
      <c r="G32" s="665" t="n"/>
      <c r="H32" s="665" t="n"/>
      <c r="I32" s="665" t="n"/>
      <c r="J32" s="665" t="n"/>
    </row>
    <row r="33">
      <c r="F33" s="411" t="n"/>
      <c r="G33" s="411" t="n"/>
      <c r="H33" s="411" t="n"/>
      <c r="I33" s="411" t="n"/>
      <c r="J33" s="411" t="n"/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</sheetData>
  <pageMargins left="0.511811024" right="0.511811024" top="0.787401575" bottom="0.787401575" header="0.31496062" footer="0.31496062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/>
  </sheetPr>
  <dimension ref="A1:AB86"/>
  <sheetViews>
    <sheetView topLeftCell="A51" zoomScale="90" zoomScaleNormal="90" workbookViewId="0">
      <selection activeCell="L66" sqref="L66"/>
    </sheetView>
  </sheetViews>
  <sheetFormatPr baseColWidth="8" defaultColWidth="8.85546875" defaultRowHeight="15"/>
  <cols>
    <col width="35.7109375" bestFit="1" customWidth="1" style="2" min="1" max="1"/>
    <col width="11.140625" bestFit="1" customWidth="1" style="1132" min="2" max="2"/>
    <col width="10" bestFit="1" customWidth="1" style="1487" min="3" max="3"/>
    <col width="8.85546875" customWidth="1" style="1132" min="4" max="4"/>
    <col width="10.28515625" bestFit="1" customWidth="1" style="1487" min="5" max="5"/>
    <col width="8.85546875" customWidth="1" style="1132" min="6" max="6"/>
    <col width="12" bestFit="1" customWidth="1" style="1487" min="7" max="7"/>
    <col width="6.7109375" bestFit="1" customWidth="1" style="1132" min="8" max="8"/>
    <col width="12" bestFit="1" customWidth="1" style="1487" min="9" max="9"/>
    <col width="8.85546875" customWidth="1" style="1132" min="10" max="10"/>
    <col width="10" bestFit="1" customWidth="1" style="1487" min="11" max="11"/>
    <col width="8.85546875" customWidth="1" style="1132" min="12" max="12"/>
    <col width="11.42578125" bestFit="1" customWidth="1" style="1487" min="13" max="13"/>
    <col width="8.85546875" customWidth="1" style="1132" min="14" max="14"/>
    <col width="10" bestFit="1" customWidth="1" style="1487" min="15" max="15"/>
    <col width="8.85546875" customWidth="1" style="1132" min="16" max="16"/>
    <col width="10.42578125" customWidth="1" style="1487" min="17" max="17"/>
    <col width="8.85546875" customWidth="1" style="1132" min="18" max="18"/>
    <col width="10" bestFit="1" customWidth="1" style="1487" min="19" max="19"/>
    <col width="8.85546875" customWidth="1" style="1132" min="20" max="20"/>
    <col width="10" bestFit="1" customWidth="1" style="1487" min="21" max="21"/>
    <col width="8.85546875" customWidth="1" style="1132" min="22" max="22"/>
    <col width="10" bestFit="1" customWidth="1" style="1487" min="23" max="23"/>
    <col width="8.85546875" customWidth="1" style="1132" min="24" max="24"/>
    <col width="10" bestFit="1" customWidth="1" style="1487" min="25" max="25"/>
    <col width="8.85546875" customWidth="1" style="1132" min="26" max="26"/>
    <col width="12.140625" customWidth="1" style="1487" min="27" max="27"/>
    <col width="11" bestFit="1" customWidth="1" style="1132" min="28" max="28"/>
    <col width="8.85546875" customWidth="1" style="1132" min="29" max="16384"/>
  </cols>
  <sheetData>
    <row r="1">
      <c r="A1" s="1488" t="inlineStr">
        <is>
          <t xml:space="preserve"> Cantina </t>
        </is>
      </c>
      <c r="B1" s="1488" t="n"/>
      <c r="C1" s="1488" t="inlineStr">
        <is>
          <t>Preços medio</t>
        </is>
      </c>
      <c r="D1" s="1488" t="inlineStr">
        <is>
          <t>Quan.Itens</t>
        </is>
      </c>
      <c r="E1" s="1488" t="inlineStr">
        <is>
          <t xml:space="preserve"> Outubro </t>
        </is>
      </c>
      <c r="F1" s="1488" t="n"/>
      <c r="G1" s="1488" t="inlineStr">
        <is>
          <t xml:space="preserve"> Novembro </t>
        </is>
      </c>
      <c r="H1" s="1488" t="n"/>
      <c r="I1" s="1488" t="inlineStr">
        <is>
          <t xml:space="preserve"> Dezembro </t>
        </is>
      </c>
      <c r="J1" s="1488" t="n"/>
      <c r="K1" s="1488" t="inlineStr">
        <is>
          <t xml:space="preserve"> Janeiro </t>
        </is>
      </c>
      <c r="L1" s="1488" t="n"/>
      <c r="M1" s="1488" t="inlineStr">
        <is>
          <t xml:space="preserve"> Fevereiro </t>
        </is>
      </c>
      <c r="N1" s="1488" t="n"/>
      <c r="O1" s="1488" t="inlineStr">
        <is>
          <t xml:space="preserve"> Março </t>
        </is>
      </c>
      <c r="P1" s="1488" t="n"/>
      <c r="Q1" s="1488" t="inlineStr">
        <is>
          <t xml:space="preserve"> Abril </t>
        </is>
      </c>
      <c r="R1" s="1488" t="n"/>
      <c r="S1" s="1488" t="inlineStr">
        <is>
          <t xml:space="preserve"> Maio </t>
        </is>
      </c>
      <c r="T1" s="1488" t="n"/>
      <c r="U1" s="1488" t="inlineStr">
        <is>
          <t xml:space="preserve"> Junho </t>
        </is>
      </c>
      <c r="V1" s="1488" t="n"/>
      <c r="W1" s="1488" t="inlineStr">
        <is>
          <t xml:space="preserve"> Julho </t>
        </is>
      </c>
      <c r="X1" s="1488" t="n"/>
      <c r="Y1" s="1488" t="inlineStr">
        <is>
          <t xml:space="preserve"> Agosto </t>
        </is>
      </c>
      <c r="Z1" s="1488" t="n"/>
      <c r="AA1" s="1488" t="inlineStr">
        <is>
          <t xml:space="preserve"> Setembro </t>
        </is>
      </c>
      <c r="AB1" s="1488" t="n"/>
    </row>
    <row r="2">
      <c r="A2" s="1488" t="inlineStr">
        <is>
          <t xml:space="preserve"> GAS </t>
        </is>
      </c>
      <c r="B2" s="1488" t="inlineStr">
        <is>
          <t xml:space="preserve"> UNIDAD </t>
        </is>
      </c>
      <c r="C2" s="1488" t="n">
        <v>160.65</v>
      </c>
      <c r="D2" s="1488" t="n">
        <v>8</v>
      </c>
      <c r="E2" s="1488">
        <f>C2*D2</f>
        <v/>
      </c>
      <c r="F2" s="1488" t="n">
        <v>5</v>
      </c>
      <c r="G2" s="1488">
        <f>F2*C2</f>
        <v/>
      </c>
      <c r="H2" s="1488" t="n">
        <v>7</v>
      </c>
      <c r="I2" s="1488">
        <f>H2*C2</f>
        <v/>
      </c>
      <c r="J2" s="1488" t="n">
        <v>7</v>
      </c>
      <c r="K2" s="1488">
        <f>J2*C2</f>
        <v/>
      </c>
      <c r="L2" s="1488" t="n">
        <v>6</v>
      </c>
      <c r="M2" s="1488">
        <f>L2*C2</f>
        <v/>
      </c>
      <c r="N2" s="1488" t="n">
        <v>6</v>
      </c>
      <c r="O2" s="1488">
        <f>N2*C2</f>
        <v/>
      </c>
      <c r="P2" s="1488" t="n">
        <v>7</v>
      </c>
      <c r="Q2" s="1488">
        <f>P2*C2</f>
        <v/>
      </c>
      <c r="R2" s="1488" t="n">
        <v>6</v>
      </c>
      <c r="S2" s="1488">
        <f>R2*C2</f>
        <v/>
      </c>
      <c r="T2" s="1488" t="n">
        <v>6</v>
      </c>
      <c r="U2" s="1488">
        <f>T2*C2</f>
        <v/>
      </c>
      <c r="V2" s="1488" t="n">
        <v>5</v>
      </c>
      <c r="W2" s="1488">
        <f>V2*C2</f>
        <v/>
      </c>
      <c r="X2" s="1488" t="n">
        <v>8</v>
      </c>
      <c r="Y2" s="1488">
        <f>X2*C2</f>
        <v/>
      </c>
      <c r="Z2" s="1488" t="n">
        <v>8</v>
      </c>
      <c r="AA2" s="1488">
        <f>Z2*C2</f>
        <v/>
      </c>
      <c r="AB2" s="1488" t="n"/>
    </row>
    <row r="3">
      <c r="A3" s="1488" t="inlineStr">
        <is>
          <t xml:space="preserve"> AÇUCAR  5 kg </t>
        </is>
      </c>
      <c r="B3" s="1488" t="inlineStr">
        <is>
          <t xml:space="preserve"> UNIDADE </t>
        </is>
      </c>
      <c r="C3" s="1488" t="n">
        <v>25.2</v>
      </c>
      <c r="D3" s="1488" t="n">
        <v>6</v>
      </c>
      <c r="E3" s="1488">
        <f>C3*D3</f>
        <v/>
      </c>
      <c r="F3" s="1488" t="n">
        <v>5</v>
      </c>
      <c r="G3" s="1488">
        <f>F3*C3</f>
        <v/>
      </c>
      <c r="H3" s="1488" t="n">
        <v>12</v>
      </c>
      <c r="I3" s="1488">
        <f>H3*C3</f>
        <v/>
      </c>
      <c r="J3" s="1488" t="n">
        <v>4</v>
      </c>
      <c r="K3" s="1488">
        <f>J3*C3</f>
        <v/>
      </c>
      <c r="L3" s="1488" t="n">
        <v>5</v>
      </c>
      <c r="M3" s="1488">
        <f>L3*C3</f>
        <v/>
      </c>
      <c r="N3" s="1488" t="n">
        <v>5</v>
      </c>
      <c r="O3" s="1488">
        <f>N3*C3</f>
        <v/>
      </c>
      <c r="P3" s="1488" t="n">
        <v>5</v>
      </c>
      <c r="Q3" s="1488">
        <f>P3*C3</f>
        <v/>
      </c>
      <c r="R3" s="1488" t="n">
        <v>5</v>
      </c>
      <c r="S3" s="1488">
        <f>R3*C3</f>
        <v/>
      </c>
      <c r="T3" s="1488" t="n">
        <v>5</v>
      </c>
      <c r="U3" s="1488">
        <f>T3*C3</f>
        <v/>
      </c>
      <c r="V3" s="1488" t="n">
        <v>4</v>
      </c>
      <c r="W3" s="1488">
        <f>V3*C3</f>
        <v/>
      </c>
      <c r="X3" s="1488" t="n">
        <v>4</v>
      </c>
      <c r="Y3" s="1488">
        <f>X3*C3</f>
        <v/>
      </c>
      <c r="Z3" s="1488" t="n">
        <v>4</v>
      </c>
      <c r="AA3" s="1488">
        <f>Z3*C3</f>
        <v/>
      </c>
      <c r="AB3" s="1488" t="n"/>
    </row>
    <row r="4">
      <c r="A4" s="1488" t="inlineStr">
        <is>
          <t xml:space="preserve"> AGUA SANITARIA CANDEIAS 1L </t>
        </is>
      </c>
      <c r="B4" s="1488" t="inlineStr">
        <is>
          <t xml:space="preserve"> UND </t>
        </is>
      </c>
      <c r="C4" s="1488" t="n">
        <v>2.478</v>
      </c>
      <c r="D4" s="1488" t="n">
        <v>15</v>
      </c>
      <c r="E4" s="1488">
        <f>C4*D4</f>
        <v/>
      </c>
      <c r="F4" s="1488" t="n">
        <v>8</v>
      </c>
      <c r="G4" s="1488">
        <f>F4*C4</f>
        <v/>
      </c>
      <c r="H4" s="1488" t="n">
        <v>10</v>
      </c>
      <c r="I4" s="1488">
        <f>H4*C4</f>
        <v/>
      </c>
      <c r="J4" s="1488" t="n">
        <v>18</v>
      </c>
      <c r="K4" s="1488">
        <f>J4*C4</f>
        <v/>
      </c>
      <c r="L4" s="1488" t="n">
        <v>8</v>
      </c>
      <c r="M4" s="1488">
        <f>L4*C4</f>
        <v/>
      </c>
      <c r="N4" s="1488" t="n">
        <v>9</v>
      </c>
      <c r="O4" s="1488">
        <f>N4*C4</f>
        <v/>
      </c>
      <c r="P4" s="1488" t="n">
        <v>9</v>
      </c>
      <c r="Q4" s="1488">
        <f>P4*C4</f>
        <v/>
      </c>
      <c r="R4" s="1488" t="n">
        <v>8</v>
      </c>
      <c r="S4" s="1488">
        <f>R4*C4</f>
        <v/>
      </c>
      <c r="T4" s="1488" t="n">
        <v>8</v>
      </c>
      <c r="U4" s="1488">
        <f>T4*C4</f>
        <v/>
      </c>
      <c r="V4" s="1488" t="n">
        <v>18</v>
      </c>
      <c r="W4" s="1488">
        <f>V4*C4</f>
        <v/>
      </c>
      <c r="X4" s="1488" t="n">
        <v>18</v>
      </c>
      <c r="Y4" s="1488">
        <f>X4*C4</f>
        <v/>
      </c>
      <c r="Z4" s="1488" t="n">
        <v>12</v>
      </c>
      <c r="AA4" s="1488">
        <f>Z4*C4</f>
        <v/>
      </c>
      <c r="AB4" s="1488" t="n"/>
    </row>
    <row r="5">
      <c r="A5" s="1488" t="inlineStr">
        <is>
          <t xml:space="preserve"> ARROZ BRANCO  5KG </t>
        </is>
      </c>
      <c r="B5" s="1488" t="inlineStr">
        <is>
          <t xml:space="preserve"> UNIDADE </t>
        </is>
      </c>
      <c r="C5" s="1488" t="n">
        <v>26.5335</v>
      </c>
      <c r="D5" s="1488" t="n">
        <v>12</v>
      </c>
      <c r="E5" s="1488">
        <f>C5*D5</f>
        <v/>
      </c>
      <c r="F5" s="1488" t="n">
        <v>15</v>
      </c>
      <c r="G5" s="1488">
        <f>F5*C5</f>
        <v/>
      </c>
      <c r="H5" s="1488" t="n">
        <v>10</v>
      </c>
      <c r="I5" s="1488">
        <f>H5*C5</f>
        <v/>
      </c>
      <c r="J5" s="1488" t="n">
        <v>9</v>
      </c>
      <c r="K5" s="1488">
        <f>J5*C5</f>
        <v/>
      </c>
      <c r="L5" s="1488" t="n">
        <v>15</v>
      </c>
      <c r="M5" s="1488">
        <f>L5*C5</f>
        <v/>
      </c>
      <c r="N5" s="1488" t="n">
        <v>12</v>
      </c>
      <c r="O5" s="1488">
        <f>N5*C5</f>
        <v/>
      </c>
      <c r="P5" s="1488" t="n">
        <v>12</v>
      </c>
      <c r="Q5" s="1488">
        <f>P5*C5</f>
        <v/>
      </c>
      <c r="R5" s="1488" t="n">
        <v>15</v>
      </c>
      <c r="S5" s="1488">
        <f>R5*C5</f>
        <v/>
      </c>
      <c r="T5" s="1488" t="n">
        <v>15</v>
      </c>
      <c r="U5" s="1488">
        <f>T5*C5</f>
        <v/>
      </c>
      <c r="V5" s="1488" t="n">
        <v>9</v>
      </c>
      <c r="W5" s="1488">
        <f>V5*C5</f>
        <v/>
      </c>
      <c r="X5" s="1488" t="n">
        <v>9</v>
      </c>
      <c r="Y5" s="1488">
        <f>X5*C5</f>
        <v/>
      </c>
      <c r="Z5" s="1488" t="n">
        <v>10</v>
      </c>
      <c r="AA5" s="1488">
        <f>Z5*C5</f>
        <v/>
      </c>
      <c r="AB5" s="1488" t="n"/>
    </row>
    <row r="6">
      <c r="A6" s="1488" t="inlineStr">
        <is>
          <t xml:space="preserve"> AZEITE OLIVA ANDORINHA EXT VIRG </t>
        </is>
      </c>
      <c r="B6" s="1488" t="inlineStr">
        <is>
          <t xml:space="preserve"> UND </t>
        </is>
      </c>
      <c r="C6" s="1488" t="n">
        <v>56.68782</v>
      </c>
      <c r="D6" s="1488" t="n">
        <v>3</v>
      </c>
      <c r="E6" s="1488">
        <f>C6*D6</f>
        <v/>
      </c>
      <c r="F6" s="1488" t="n">
        <v>5</v>
      </c>
      <c r="G6" s="1488">
        <f>F6*C6</f>
        <v/>
      </c>
      <c r="H6" s="1488" t="n">
        <v>2</v>
      </c>
      <c r="I6" s="1488">
        <f>H6*C6</f>
        <v/>
      </c>
      <c r="J6" s="1488" t="n">
        <v>6</v>
      </c>
      <c r="K6" s="1488">
        <f>J6*C6</f>
        <v/>
      </c>
      <c r="L6" s="1488" t="n">
        <v>5</v>
      </c>
      <c r="M6" s="1488">
        <f>L6*C6</f>
        <v/>
      </c>
      <c r="N6" s="1488" t="n">
        <v>7</v>
      </c>
      <c r="O6" s="1488">
        <f>N6*C6</f>
        <v/>
      </c>
      <c r="P6" s="1488" t="n">
        <v>7</v>
      </c>
      <c r="Q6" s="1488">
        <f>P6*C6</f>
        <v/>
      </c>
      <c r="R6" s="1488" t="n">
        <v>5</v>
      </c>
      <c r="S6" s="1488">
        <f>R6*C6</f>
        <v/>
      </c>
      <c r="T6" s="1488" t="n">
        <v>5</v>
      </c>
      <c r="U6" s="1488">
        <f>T6*C6</f>
        <v/>
      </c>
      <c r="V6" s="1488" t="n">
        <v>6</v>
      </c>
      <c r="W6" s="1488">
        <f>V6*C6</f>
        <v/>
      </c>
      <c r="X6" s="1488" t="n">
        <v>6</v>
      </c>
      <c r="Y6" s="1488">
        <f>X6*C6</f>
        <v/>
      </c>
      <c r="Z6" s="1488" t="n">
        <v>3</v>
      </c>
      <c r="AA6" s="1488">
        <f>Z6*C6</f>
        <v/>
      </c>
      <c r="AB6" s="1488" t="n"/>
    </row>
    <row r="7">
      <c r="A7" s="1488" t="inlineStr">
        <is>
          <t xml:space="preserve"> BACON PERDIGÃO </t>
        </is>
      </c>
      <c r="B7" s="1488" t="inlineStr">
        <is>
          <t xml:space="preserve"> KG </t>
        </is>
      </c>
      <c r="C7" s="1488" t="n">
        <v>30.3765</v>
      </c>
      <c r="D7" s="1488" t="n">
        <v>3</v>
      </c>
      <c r="E7" s="1488">
        <f>C7*D7</f>
        <v/>
      </c>
      <c r="F7" s="1488" t="n">
        <v>6</v>
      </c>
      <c r="G7" s="1488">
        <f>F7*C7</f>
        <v/>
      </c>
      <c r="H7" s="1488" t="n">
        <v>3</v>
      </c>
      <c r="I7" s="1488">
        <f>H7*C7</f>
        <v/>
      </c>
      <c r="J7" s="1488" t="n">
        <v>5</v>
      </c>
      <c r="K7" s="1488">
        <f>J7*C7</f>
        <v/>
      </c>
      <c r="L7" s="1488" t="n">
        <v>6</v>
      </c>
      <c r="M7" s="1488">
        <f>L7*C7</f>
        <v/>
      </c>
      <c r="N7" s="1488" t="n">
        <v>8</v>
      </c>
      <c r="O7" s="1488">
        <f>N7*C7</f>
        <v/>
      </c>
      <c r="P7" s="1488" t="n">
        <v>8</v>
      </c>
      <c r="Q7" s="1488">
        <f>P7*C7</f>
        <v/>
      </c>
      <c r="R7" s="1488" t="n">
        <v>6</v>
      </c>
      <c r="S7" s="1488">
        <f>R7*C7</f>
        <v/>
      </c>
      <c r="T7" s="1488" t="n">
        <v>6</v>
      </c>
      <c r="U7" s="1488">
        <f>T7*C7</f>
        <v/>
      </c>
      <c r="V7" s="1488" t="n">
        <v>5</v>
      </c>
      <c r="W7" s="1488">
        <f>V7*C7</f>
        <v/>
      </c>
      <c r="X7" s="1488" t="n">
        <v>5</v>
      </c>
      <c r="Y7" s="1488">
        <f>X7*C7</f>
        <v/>
      </c>
      <c r="Z7" s="1488" t="n">
        <v>3</v>
      </c>
      <c r="AA7" s="1488">
        <f>Z7*C7</f>
        <v/>
      </c>
      <c r="AB7" s="1488" t="n"/>
    </row>
    <row r="8">
      <c r="A8" s="1488" t="inlineStr">
        <is>
          <t xml:space="preserve"> BOBINA PLAST. 35X50CM </t>
        </is>
      </c>
      <c r="B8" s="1488" t="inlineStr">
        <is>
          <t xml:space="preserve"> UND </t>
        </is>
      </c>
      <c r="C8" s="1488" t="n">
        <v>36.3825</v>
      </c>
      <c r="D8" s="1488" t="n">
        <v>2</v>
      </c>
      <c r="E8" s="1488">
        <f>C8*D8</f>
        <v/>
      </c>
      <c r="F8" s="1488" t="n">
        <v>6</v>
      </c>
      <c r="G8" s="1488">
        <f>F8*C8</f>
        <v/>
      </c>
      <c r="H8" s="1488" t="n">
        <v>2</v>
      </c>
      <c r="I8" s="1488">
        <f>H8*C8</f>
        <v/>
      </c>
      <c r="J8" s="1488" t="n">
        <v>5</v>
      </c>
      <c r="K8" s="1488">
        <f>J8*C8</f>
        <v/>
      </c>
      <c r="L8" s="1488" t="n">
        <v>6</v>
      </c>
      <c r="M8" s="1488">
        <f>L8*C8</f>
        <v/>
      </c>
      <c r="N8" s="1488" t="n">
        <v>8</v>
      </c>
      <c r="O8" s="1488">
        <f>N8*C8</f>
        <v/>
      </c>
      <c r="P8" s="1488" t="n">
        <v>8</v>
      </c>
      <c r="Q8" s="1488">
        <f>P8*C8</f>
        <v/>
      </c>
      <c r="R8" s="1488" t="n">
        <v>6</v>
      </c>
      <c r="S8" s="1488">
        <f>R8*C8</f>
        <v/>
      </c>
      <c r="T8" s="1488" t="n">
        <v>6</v>
      </c>
      <c r="U8" s="1488">
        <f>T8*C8</f>
        <v/>
      </c>
      <c r="V8" s="1488" t="n">
        <v>5</v>
      </c>
      <c r="W8" s="1488">
        <f>V8*C8</f>
        <v/>
      </c>
      <c r="X8" s="1488" t="n">
        <v>5</v>
      </c>
      <c r="Y8" s="1488">
        <f>X8*C8</f>
        <v/>
      </c>
      <c r="Z8" s="1488" t="n">
        <v>3</v>
      </c>
      <c r="AA8" s="1488">
        <f>Z8*C8</f>
        <v/>
      </c>
      <c r="AB8" s="1488" t="n"/>
    </row>
    <row r="9">
      <c r="A9" s="1488" t="inlineStr">
        <is>
          <t xml:space="preserve"> BOV 2S OSSO </t>
        </is>
      </c>
      <c r="B9" s="1488" t="inlineStr">
        <is>
          <t xml:space="preserve"> KG </t>
        </is>
      </c>
      <c r="C9" s="1488" t="n">
        <v>26.9115</v>
      </c>
      <c r="D9" s="1488" t="n">
        <v>20</v>
      </c>
      <c r="E9" s="1488">
        <f>C9*D9</f>
        <v/>
      </c>
      <c r="F9" s="1488" t="n">
        <v>10</v>
      </c>
      <c r="G9" s="1488">
        <f>F9*C9</f>
        <v/>
      </c>
      <c r="H9" s="1488" t="n">
        <v>10</v>
      </c>
      <c r="I9" s="1488">
        <f>H9*C9</f>
        <v/>
      </c>
      <c r="J9" s="1488" t="n">
        <v>11</v>
      </c>
      <c r="K9" s="1488">
        <f>J9*C9</f>
        <v/>
      </c>
      <c r="L9" s="1488" t="n">
        <v>10</v>
      </c>
      <c r="M9" s="1488">
        <f>L9*C9</f>
        <v/>
      </c>
      <c r="N9" s="1488" t="n">
        <v>17</v>
      </c>
      <c r="O9" s="1488">
        <f>N9*C9</f>
        <v/>
      </c>
      <c r="P9" s="1488" t="n">
        <v>17</v>
      </c>
      <c r="Q9" s="1488">
        <f>P9*C9</f>
        <v/>
      </c>
      <c r="R9" s="1488" t="n">
        <v>10</v>
      </c>
      <c r="S9" s="1488">
        <f>R9*C9</f>
        <v/>
      </c>
      <c r="T9" s="1488" t="n">
        <v>10</v>
      </c>
      <c r="U9" s="1488">
        <f>T9*C9</f>
        <v/>
      </c>
      <c r="V9" s="1488" t="n">
        <v>11</v>
      </c>
      <c r="W9" s="1488">
        <f>V9*C9</f>
        <v/>
      </c>
      <c r="X9" s="1488" t="n">
        <v>11</v>
      </c>
      <c r="Y9" s="1488">
        <f>X9*C9</f>
        <v/>
      </c>
      <c r="Z9" s="1488" t="n">
        <v>6</v>
      </c>
      <c r="AA9" s="1488">
        <f>Z9*C9</f>
        <v/>
      </c>
      <c r="AB9" s="1488" t="n"/>
    </row>
    <row r="10">
      <c r="A10" s="1488" t="inlineStr">
        <is>
          <t xml:space="preserve"> BOV CARNE MOIDA </t>
        </is>
      </c>
      <c r="B10" s="1488" t="inlineStr">
        <is>
          <t xml:space="preserve"> KG </t>
        </is>
      </c>
      <c r="C10" s="1488" t="n">
        <v>29.064</v>
      </c>
      <c r="D10" s="1488" t="n">
        <v>10</v>
      </c>
      <c r="E10" s="1488">
        <f>C10*D10</f>
        <v/>
      </c>
      <c r="F10" s="1488" t="n">
        <v>13</v>
      </c>
      <c r="G10" s="1488">
        <f>F10*C10</f>
        <v/>
      </c>
      <c r="H10" s="1488" t="n">
        <v>11</v>
      </c>
      <c r="I10" s="1488">
        <f>H10*C10</f>
        <v/>
      </c>
      <c r="J10" s="1488" t="n">
        <v>21</v>
      </c>
      <c r="K10" s="1488">
        <f>J10*C10</f>
        <v/>
      </c>
      <c r="L10" s="1488" t="n">
        <v>13</v>
      </c>
      <c r="M10" s="1488">
        <f>L10*C10</f>
        <v/>
      </c>
      <c r="N10" s="1488" t="n">
        <v>26</v>
      </c>
      <c r="O10" s="1488">
        <f>N10*C10</f>
        <v/>
      </c>
      <c r="P10" s="1488" t="n">
        <v>26</v>
      </c>
      <c r="Q10" s="1488">
        <f>P10*C10</f>
        <v/>
      </c>
      <c r="R10" s="1488" t="n">
        <v>13</v>
      </c>
      <c r="S10" s="1488">
        <f>R10*C10</f>
        <v/>
      </c>
      <c r="T10" s="1488" t="n">
        <v>13</v>
      </c>
      <c r="U10" s="1488">
        <f>T10*C10</f>
        <v/>
      </c>
      <c r="V10" s="1488" t="n">
        <v>21</v>
      </c>
      <c r="W10" s="1488">
        <f>V10*C10</f>
        <v/>
      </c>
      <c r="X10" s="1488" t="n">
        <v>21</v>
      </c>
      <c r="Y10" s="1488">
        <f>X10*C10</f>
        <v/>
      </c>
      <c r="Z10" s="1488" t="n">
        <v>11</v>
      </c>
      <c r="AA10" s="1488">
        <f>Z10*C10</f>
        <v/>
      </c>
      <c r="AB10" s="1488" t="n"/>
    </row>
    <row r="11">
      <c r="A11" s="1488" t="inlineStr">
        <is>
          <t xml:space="preserve"> BOV CHA FORA BIFE </t>
        </is>
      </c>
      <c r="B11" s="1488" t="inlineStr">
        <is>
          <t xml:space="preserve"> KG </t>
        </is>
      </c>
      <c r="C11" s="1488" t="n">
        <v>35.826</v>
      </c>
      <c r="D11" s="1488" t="n">
        <v>11</v>
      </c>
      <c r="E11" s="1488">
        <f>C11*D11</f>
        <v/>
      </c>
      <c r="F11" s="1488" t="n">
        <v>18</v>
      </c>
      <c r="G11" s="1488">
        <f>F11*C11</f>
        <v/>
      </c>
      <c r="H11" s="1488" t="n">
        <v>11</v>
      </c>
      <c r="I11" s="1488">
        <f>H11*C11</f>
        <v/>
      </c>
      <c r="J11" s="1488" t="n">
        <v>20</v>
      </c>
      <c r="K11" s="1488">
        <f>J11*C11</f>
        <v/>
      </c>
      <c r="L11" s="1488" t="n">
        <v>18</v>
      </c>
      <c r="M11" s="1488">
        <f>L11*C11</f>
        <v/>
      </c>
      <c r="N11" s="1488" t="n">
        <v>32</v>
      </c>
      <c r="O11" s="1488">
        <f>N11*C11</f>
        <v/>
      </c>
      <c r="P11" s="1488" t="n">
        <v>32</v>
      </c>
      <c r="Q11" s="1488">
        <f>P11*C11</f>
        <v/>
      </c>
      <c r="R11" s="1488" t="n">
        <v>18</v>
      </c>
      <c r="S11" s="1488">
        <f>R11*C11</f>
        <v/>
      </c>
      <c r="T11" s="1488" t="n">
        <v>18</v>
      </c>
      <c r="U11" s="1488">
        <f>T11*C11</f>
        <v/>
      </c>
      <c r="V11" s="1488" t="n">
        <v>20</v>
      </c>
      <c r="W11" s="1488">
        <f>V11*C11</f>
        <v/>
      </c>
      <c r="X11" s="1488" t="n">
        <v>20</v>
      </c>
      <c r="Y11" s="1488">
        <f>X11*C11</f>
        <v/>
      </c>
      <c r="Z11" s="1488" t="n">
        <v>11</v>
      </c>
      <c r="AA11" s="1488">
        <f>Z11*C11</f>
        <v/>
      </c>
      <c r="AB11" s="1488" t="n"/>
    </row>
    <row r="12">
      <c r="A12" s="1488" t="inlineStr">
        <is>
          <t xml:space="preserve"> BOV FILÉ AGULHA </t>
        </is>
      </c>
      <c r="B12" s="1488" t="inlineStr">
        <is>
          <t xml:space="preserve"> KG </t>
        </is>
      </c>
      <c r="C12" s="1488" t="n">
        <v>27.993</v>
      </c>
      <c r="D12" s="1488" t="n">
        <v>11</v>
      </c>
      <c r="E12" s="1488">
        <f>C12*D12</f>
        <v/>
      </c>
      <c r="F12" s="1488" t="n">
        <v>17</v>
      </c>
      <c r="G12" s="1488">
        <f>F12*C12</f>
        <v/>
      </c>
      <c r="H12" s="1488" t="n">
        <v>11</v>
      </c>
      <c r="I12" s="1488">
        <f>H12*C12</f>
        <v/>
      </c>
      <c r="J12" s="1488" t="n">
        <v>20</v>
      </c>
      <c r="K12" s="1488">
        <f>J12*C12</f>
        <v/>
      </c>
      <c r="L12" s="1488" t="n">
        <v>17</v>
      </c>
      <c r="M12" s="1488">
        <f>L12*C12</f>
        <v/>
      </c>
      <c r="N12" s="1488" t="n">
        <v>32</v>
      </c>
      <c r="O12" s="1488">
        <f>N12*C12</f>
        <v/>
      </c>
      <c r="P12" s="1488" t="n">
        <v>32</v>
      </c>
      <c r="Q12" s="1488">
        <f>P12*C12</f>
        <v/>
      </c>
      <c r="R12" s="1488" t="n">
        <v>17</v>
      </c>
      <c r="S12" s="1488">
        <f>R12*C12</f>
        <v/>
      </c>
      <c r="T12" s="1488" t="n">
        <v>17</v>
      </c>
      <c r="U12" s="1488">
        <f>T12*C12</f>
        <v/>
      </c>
      <c r="V12" s="1488" t="n">
        <v>20</v>
      </c>
      <c r="W12" s="1488">
        <f>V12*C12</f>
        <v/>
      </c>
      <c r="X12" s="1488" t="n">
        <v>20</v>
      </c>
      <c r="Y12" s="1488">
        <f>X12*C12</f>
        <v/>
      </c>
      <c r="Z12" s="1488" t="n">
        <v>11</v>
      </c>
      <c r="AA12" s="1488">
        <f>Z12*C12</f>
        <v/>
      </c>
      <c r="AB12" s="1488" t="n"/>
    </row>
    <row r="13">
      <c r="A13" s="1488" t="inlineStr">
        <is>
          <t xml:space="preserve"> BOV MIOLO PALETA BIFE </t>
        </is>
      </c>
      <c r="B13" s="1488" t="inlineStr">
        <is>
          <t xml:space="preserve"> KG </t>
        </is>
      </c>
      <c r="C13" s="1488" t="n">
        <v>35.5215</v>
      </c>
      <c r="D13" s="1488" t="n">
        <v>5</v>
      </c>
      <c r="E13" s="1488">
        <f>C13*D13</f>
        <v/>
      </c>
      <c r="F13" s="1488" t="n">
        <v>16</v>
      </c>
      <c r="G13" s="1488">
        <f>F13*C13</f>
        <v/>
      </c>
      <c r="H13" s="1488" t="n">
        <v>11</v>
      </c>
      <c r="I13" s="1488">
        <f>H13*C13</f>
        <v/>
      </c>
      <c r="J13" s="1488" t="n">
        <v>20</v>
      </c>
      <c r="K13" s="1488">
        <f>J13*C13</f>
        <v/>
      </c>
      <c r="L13" s="1488" t="n">
        <v>16</v>
      </c>
      <c r="M13" s="1488">
        <f>L13*C13</f>
        <v/>
      </c>
      <c r="N13" s="1488" t="n">
        <v>32</v>
      </c>
      <c r="O13" s="1488">
        <f>N13*C13</f>
        <v/>
      </c>
      <c r="P13" s="1488" t="n">
        <v>32</v>
      </c>
      <c r="Q13" s="1488">
        <f>P13*C13</f>
        <v/>
      </c>
      <c r="R13" s="1488" t="n">
        <v>16</v>
      </c>
      <c r="S13" s="1488">
        <f>R13*C13</f>
        <v/>
      </c>
      <c r="T13" s="1488" t="n">
        <v>16</v>
      </c>
      <c r="U13" s="1488">
        <f>T13*C13</f>
        <v/>
      </c>
      <c r="V13" s="1488" t="n">
        <v>20</v>
      </c>
      <c r="W13" s="1488">
        <f>V13*C13</f>
        <v/>
      </c>
      <c r="X13" s="1488" t="n">
        <v>20</v>
      </c>
      <c r="Y13" s="1488">
        <f>X13*C13</f>
        <v/>
      </c>
      <c r="Z13" s="1488" t="n">
        <v>11</v>
      </c>
      <c r="AA13" s="1488">
        <f>Z13*C13</f>
        <v/>
      </c>
      <c r="AB13" s="1488" t="n"/>
    </row>
    <row r="14">
      <c r="A14" s="1488" t="inlineStr">
        <is>
          <t xml:space="preserve"> CAFÉ CERRADO </t>
        </is>
      </c>
      <c r="B14" s="1488" t="inlineStr">
        <is>
          <t xml:space="preserve"> UND </t>
        </is>
      </c>
      <c r="C14" s="1488" t="n">
        <v>11.802</v>
      </c>
      <c r="D14" s="1488" t="n">
        <v>25</v>
      </c>
      <c r="E14" s="1488">
        <f>C14*D14</f>
        <v/>
      </c>
      <c r="F14" s="1488" t="n">
        <v>29</v>
      </c>
      <c r="G14" s="1488">
        <f>F14*C14</f>
        <v/>
      </c>
      <c r="H14" s="1488" t="n">
        <v>20</v>
      </c>
      <c r="I14" s="1488">
        <f>H14*C14</f>
        <v/>
      </c>
      <c r="J14" s="1488" t="n">
        <v>25</v>
      </c>
      <c r="K14" s="1488">
        <f>J14*C14</f>
        <v/>
      </c>
      <c r="L14" s="1488" t="n">
        <v>29</v>
      </c>
      <c r="M14" s="1488">
        <f>L14*C14</f>
        <v/>
      </c>
      <c r="N14" s="1488" t="n">
        <v>50</v>
      </c>
      <c r="O14" s="1488">
        <f>N14*C14</f>
        <v/>
      </c>
      <c r="P14" s="1488" t="n">
        <v>50</v>
      </c>
      <c r="Q14" s="1488">
        <f>P14*C14</f>
        <v/>
      </c>
      <c r="R14" s="1488" t="n">
        <v>29</v>
      </c>
      <c r="S14" s="1488">
        <f>R14*C14</f>
        <v/>
      </c>
      <c r="T14" s="1488" t="n">
        <v>29</v>
      </c>
      <c r="U14" s="1488">
        <f>T14*C14</f>
        <v/>
      </c>
      <c r="V14" s="1488" t="n">
        <v>25</v>
      </c>
      <c r="W14" s="1488">
        <f>V14*C14</f>
        <v/>
      </c>
      <c r="X14" s="1488" t="n">
        <v>25</v>
      </c>
      <c r="Y14" s="1488">
        <f>X14*C14</f>
        <v/>
      </c>
      <c r="Z14" s="1488" t="n">
        <v>20</v>
      </c>
      <c r="AA14" s="1488">
        <f>Z14*C14</f>
        <v/>
      </c>
      <c r="AB14" s="1488" t="n"/>
    </row>
    <row r="15">
      <c r="A15" s="1488" t="inlineStr">
        <is>
          <t xml:space="preserve"> CARNE COSTELA </t>
        </is>
      </c>
      <c r="B15" s="1488" t="inlineStr">
        <is>
          <t xml:space="preserve"> KG </t>
        </is>
      </c>
      <c r="C15" s="1488" t="n">
        <v>19.3725</v>
      </c>
      <c r="D15" s="1488" t="n">
        <v>31</v>
      </c>
      <c r="E15" s="1488">
        <f>C15*D15</f>
        <v/>
      </c>
      <c r="F15" s="1488" t="n">
        <v>45</v>
      </c>
      <c r="G15" s="1488">
        <f>F15*C15</f>
        <v/>
      </c>
      <c r="H15" s="1488" t="n">
        <v>20</v>
      </c>
      <c r="I15" s="1488">
        <f>H15*C15</f>
        <v/>
      </c>
      <c r="J15" s="1488" t="n">
        <v>45</v>
      </c>
      <c r="K15" s="1488">
        <f>J15*C15</f>
        <v/>
      </c>
      <c r="L15" s="1488" t="n">
        <v>45</v>
      </c>
      <c r="M15" s="1488">
        <f>L15*C15</f>
        <v/>
      </c>
      <c r="N15" s="1488" t="n">
        <v>60</v>
      </c>
      <c r="O15" s="1488">
        <f>N15*C15</f>
        <v/>
      </c>
      <c r="P15" s="1488" t="n">
        <v>60</v>
      </c>
      <c r="Q15" s="1488">
        <f>P15*C15</f>
        <v/>
      </c>
      <c r="R15" s="1488" t="n">
        <v>45</v>
      </c>
      <c r="S15" s="1488">
        <f>R15*C15</f>
        <v/>
      </c>
      <c r="T15" s="1488" t="n">
        <v>45</v>
      </c>
      <c r="U15" s="1488">
        <f>T15*C15</f>
        <v/>
      </c>
      <c r="V15" s="1488" t="n">
        <v>45</v>
      </c>
      <c r="W15" s="1488">
        <f>V15*C15</f>
        <v/>
      </c>
      <c r="X15" s="1488" t="n">
        <v>45</v>
      </c>
      <c r="Y15" s="1488">
        <f>X15*C15</f>
        <v/>
      </c>
      <c r="Z15" s="1488" t="n">
        <v>30</v>
      </c>
      <c r="AA15" s="1488">
        <f>Z15*C15</f>
        <v/>
      </c>
      <c r="AB15" s="1488" t="n"/>
    </row>
    <row r="16">
      <c r="A16" s="1488" t="inlineStr">
        <is>
          <t xml:space="preserve"> CATCHUP TAMBAU 3,4 KG </t>
        </is>
      </c>
      <c r="B16" s="1488" t="inlineStr">
        <is>
          <t xml:space="preserve"> UND </t>
        </is>
      </c>
      <c r="C16" s="1488" t="n">
        <v>29.9565</v>
      </c>
      <c r="D16" s="1488" t="n">
        <v>3</v>
      </c>
      <c r="E16" s="1488">
        <f>C16*D16</f>
        <v/>
      </c>
      <c r="F16" s="1488" t="n">
        <v>2</v>
      </c>
      <c r="G16" s="1488">
        <f>F16*C16</f>
        <v/>
      </c>
      <c r="H16" s="1488" t="n">
        <v>2</v>
      </c>
      <c r="I16" s="1488">
        <f>H16*C16</f>
        <v/>
      </c>
      <c r="J16" s="1488" t="n">
        <v>2</v>
      </c>
      <c r="K16" s="1488">
        <f>J16*C16</f>
        <v/>
      </c>
      <c r="L16" s="1488" t="n">
        <v>2</v>
      </c>
      <c r="M16" s="1488">
        <f>L16*C16</f>
        <v/>
      </c>
      <c r="N16" s="1488" t="n">
        <v>1</v>
      </c>
      <c r="O16" s="1488">
        <f>N16*C16</f>
        <v/>
      </c>
      <c r="P16" s="1488" t="n">
        <v>1</v>
      </c>
      <c r="Q16" s="1488">
        <f>P16*C16</f>
        <v/>
      </c>
      <c r="R16" s="1488" t="n">
        <v>2</v>
      </c>
      <c r="S16" s="1488">
        <f>R16*C16</f>
        <v/>
      </c>
      <c r="T16" s="1488" t="n">
        <v>2</v>
      </c>
      <c r="U16" s="1488">
        <f>T16*C16</f>
        <v/>
      </c>
      <c r="V16" s="1488" t="n">
        <v>2</v>
      </c>
      <c r="W16" s="1488">
        <f>V16*C16</f>
        <v/>
      </c>
      <c r="X16" s="1488" t="n">
        <v>2</v>
      </c>
      <c r="Y16" s="1488">
        <f>X16*C16</f>
        <v/>
      </c>
      <c r="Z16" s="1488" t="n">
        <v>3</v>
      </c>
      <c r="AA16" s="1488">
        <f>Z16*C16</f>
        <v/>
      </c>
      <c r="AB16" s="1488" t="n"/>
    </row>
    <row r="17">
      <c r="A17" s="1488" t="inlineStr">
        <is>
          <t xml:space="preserve"> COCO RAL SUPER COCO FINO 1KG </t>
        </is>
      </c>
      <c r="B17" s="1488" t="inlineStr">
        <is>
          <t xml:space="preserve"> UND </t>
        </is>
      </c>
      <c r="C17" s="1488" t="n">
        <v>44.793</v>
      </c>
      <c r="D17" s="1488" t="n">
        <v>2</v>
      </c>
      <c r="E17" s="1488">
        <f>C17*D17</f>
        <v/>
      </c>
      <c r="F17" s="1488" t="n">
        <v>3</v>
      </c>
      <c r="G17" s="1488">
        <f>F17*C17</f>
        <v/>
      </c>
      <c r="H17" s="1488" t="n">
        <v>2</v>
      </c>
      <c r="I17" s="1488">
        <f>H17*C17</f>
        <v/>
      </c>
      <c r="J17" s="1488" t="n">
        <v>1</v>
      </c>
      <c r="K17" s="1488">
        <f>J17*C17</f>
        <v/>
      </c>
      <c r="L17" s="1488" t="n">
        <v>3</v>
      </c>
      <c r="M17" s="1488">
        <f>L17*C17</f>
        <v/>
      </c>
      <c r="N17" s="1488" t="n">
        <v>2</v>
      </c>
      <c r="O17" s="1488">
        <f>N17*C17</f>
        <v/>
      </c>
      <c r="P17" s="1488" t="n">
        <v>2</v>
      </c>
      <c r="Q17" s="1488">
        <f>P17*C17</f>
        <v/>
      </c>
      <c r="R17" s="1488" t="n">
        <v>3</v>
      </c>
      <c r="S17" s="1488">
        <f>R17*C17</f>
        <v/>
      </c>
      <c r="T17" s="1488" t="n">
        <v>3</v>
      </c>
      <c r="U17" s="1488">
        <f>T17*C17</f>
        <v/>
      </c>
      <c r="V17" s="1488" t="n">
        <v>1</v>
      </c>
      <c r="W17" s="1488">
        <f>V17*C17</f>
        <v/>
      </c>
      <c r="X17" s="1488" t="n">
        <v>1</v>
      </c>
      <c r="Y17" s="1488">
        <f>X17*C17</f>
        <v/>
      </c>
      <c r="Z17" s="1488" t="n">
        <v>2</v>
      </c>
      <c r="AA17" s="1488">
        <f>Z17*C17</f>
        <v/>
      </c>
      <c r="AB17" s="1488" t="n"/>
    </row>
    <row r="18">
      <c r="A18" s="1488" t="inlineStr">
        <is>
          <t xml:space="preserve"> COXA SOBRECOXA JAGUA </t>
        </is>
      </c>
      <c r="B18" s="1488" t="inlineStr">
        <is>
          <t xml:space="preserve"> KG </t>
        </is>
      </c>
      <c r="C18" s="1488" t="n">
        <v>10.1745</v>
      </c>
      <c r="D18" s="1488" t="n">
        <v>21</v>
      </c>
      <c r="E18" s="1488">
        <f>C18*D18</f>
        <v/>
      </c>
      <c r="F18" s="1488" t="n">
        <v>35</v>
      </c>
      <c r="G18" s="1488">
        <f>F18*C18</f>
        <v/>
      </c>
      <c r="H18" s="1488" t="n">
        <v>21</v>
      </c>
      <c r="I18" s="1488">
        <f>H18*C18</f>
        <v/>
      </c>
      <c r="J18" s="1488" t="n">
        <v>30</v>
      </c>
      <c r="K18" s="1488">
        <f>J18*C18</f>
        <v/>
      </c>
      <c r="L18" s="1488" t="n">
        <v>35</v>
      </c>
      <c r="M18" s="1488">
        <f>L18*C18</f>
        <v/>
      </c>
      <c r="N18" s="1488" t="n">
        <v>45</v>
      </c>
      <c r="O18" s="1488">
        <f>N18*C18</f>
        <v/>
      </c>
      <c r="P18" s="1488" t="n">
        <v>45</v>
      </c>
      <c r="Q18" s="1488">
        <f>P18*C18</f>
        <v/>
      </c>
      <c r="R18" s="1488" t="n">
        <v>35</v>
      </c>
      <c r="S18" s="1488">
        <f>R18*C18</f>
        <v/>
      </c>
      <c r="T18" s="1488" t="n">
        <v>35</v>
      </c>
      <c r="U18" s="1488">
        <f>T18*C18</f>
        <v/>
      </c>
      <c r="V18" s="1488" t="n">
        <v>30</v>
      </c>
      <c r="W18" s="1488">
        <f>V18*C18</f>
        <v/>
      </c>
      <c r="X18" s="1488" t="n">
        <v>30</v>
      </c>
      <c r="Y18" s="1488">
        <f>X18*C18</f>
        <v/>
      </c>
      <c r="Z18" s="1488" t="n">
        <v>20</v>
      </c>
      <c r="AA18" s="1488">
        <f>Z18*C18</f>
        <v/>
      </c>
      <c r="AB18" s="1488" t="n"/>
    </row>
    <row r="19">
      <c r="A19" s="1488" t="inlineStr">
        <is>
          <t xml:space="preserve"> CR DE LEITE PIRACANJUBA TP200G </t>
        </is>
      </c>
      <c r="B19" s="1488" t="inlineStr">
        <is>
          <t xml:space="preserve"> UND </t>
        </is>
      </c>
      <c r="C19" s="1488" t="n">
        <v>3.99</v>
      </c>
      <c r="D19" s="1488" t="n">
        <v>14</v>
      </c>
      <c r="E19" s="1488">
        <f>C19*D19</f>
        <v/>
      </c>
      <c r="F19" s="1488" t="n">
        <v>19</v>
      </c>
      <c r="G19" s="1488">
        <f>F19*C19</f>
        <v/>
      </c>
      <c r="H19" s="1488" t="n">
        <v>13</v>
      </c>
      <c r="I19" s="1488">
        <f>H19*C19</f>
        <v/>
      </c>
      <c r="J19" s="1488" t="n">
        <v>15</v>
      </c>
      <c r="K19" s="1488">
        <f>J19*C19</f>
        <v/>
      </c>
      <c r="L19" s="1488" t="n">
        <v>19</v>
      </c>
      <c r="M19" s="1488">
        <f>L19*C19</f>
        <v/>
      </c>
      <c r="N19" s="1488" t="n">
        <v>25</v>
      </c>
      <c r="O19" s="1488">
        <f>N19*C19</f>
        <v/>
      </c>
      <c r="P19" s="1488" t="n">
        <v>25</v>
      </c>
      <c r="Q19" s="1488">
        <f>P19*C19</f>
        <v/>
      </c>
      <c r="R19" s="1488" t="n">
        <v>19</v>
      </c>
      <c r="S19" s="1488">
        <f>R19*C19</f>
        <v/>
      </c>
      <c r="T19" s="1488" t="n">
        <v>19</v>
      </c>
      <c r="U19" s="1488">
        <f>T19*C19</f>
        <v/>
      </c>
      <c r="V19" s="1488" t="n">
        <v>15</v>
      </c>
      <c r="W19" s="1488">
        <f>V19*C19</f>
        <v/>
      </c>
      <c r="X19" s="1488" t="n">
        <v>15</v>
      </c>
      <c r="Y19" s="1488">
        <f>X19*C19</f>
        <v/>
      </c>
      <c r="Z19" s="1488" t="n">
        <v>13</v>
      </c>
      <c r="AA19" s="1488">
        <f>Z19*C19</f>
        <v/>
      </c>
      <c r="AB19" s="1488" t="n"/>
    </row>
    <row r="20">
      <c r="A20" s="1488" t="inlineStr">
        <is>
          <t xml:space="preserve"> DESINFETANTE 2L </t>
        </is>
      </c>
      <c r="B20" s="1488" t="inlineStr">
        <is>
          <t xml:space="preserve"> UND </t>
        </is>
      </c>
      <c r="C20" s="1488" t="n">
        <v>7.7805</v>
      </c>
      <c r="D20" s="1488" t="n">
        <v>13</v>
      </c>
      <c r="E20" s="1488">
        <f>C20*D20</f>
        <v/>
      </c>
      <c r="F20" s="1488" t="n">
        <v>15</v>
      </c>
      <c r="G20" s="1488">
        <f>F20*C20</f>
        <v/>
      </c>
      <c r="H20" s="1488" t="n">
        <v>13</v>
      </c>
      <c r="I20" s="1488">
        <f>H20*C20</f>
        <v/>
      </c>
      <c r="J20" s="1488" t="n">
        <v>13</v>
      </c>
      <c r="K20" s="1488">
        <f>J20*C20</f>
        <v/>
      </c>
      <c r="L20" s="1488" t="n">
        <v>15</v>
      </c>
      <c r="M20" s="1488">
        <f>L20*C20</f>
        <v/>
      </c>
      <c r="N20" s="1488" t="n">
        <v>15</v>
      </c>
      <c r="O20" s="1488">
        <f>N20*C20</f>
        <v/>
      </c>
      <c r="P20" s="1488" t="n">
        <v>15</v>
      </c>
      <c r="Q20" s="1488">
        <f>P20*C20</f>
        <v/>
      </c>
      <c r="R20" s="1488" t="n">
        <v>15</v>
      </c>
      <c r="S20" s="1488">
        <f>R20*C20</f>
        <v/>
      </c>
      <c r="T20" s="1488" t="n">
        <v>15</v>
      </c>
      <c r="U20" s="1488">
        <f>T20*C20</f>
        <v/>
      </c>
      <c r="V20" s="1488" t="n">
        <v>13</v>
      </c>
      <c r="W20" s="1488">
        <f>V20*C20</f>
        <v/>
      </c>
      <c r="X20" s="1488" t="n">
        <v>13</v>
      </c>
      <c r="Y20" s="1488">
        <f>X20*C20</f>
        <v/>
      </c>
      <c r="Z20" s="1488" t="n">
        <v>12</v>
      </c>
      <c r="AA20" s="1488">
        <f>Z20*C20</f>
        <v/>
      </c>
      <c r="AB20" s="1488" t="n"/>
    </row>
    <row r="21">
      <c r="A21" s="1488" t="inlineStr">
        <is>
          <t xml:space="preserve"> DETERGENTE </t>
        </is>
      </c>
      <c r="B21" s="1488" t="inlineStr">
        <is>
          <t xml:space="preserve"> UND </t>
        </is>
      </c>
      <c r="C21" s="1488" t="n">
        <v>21.315</v>
      </c>
      <c r="D21" s="1488" t="n">
        <v>13</v>
      </c>
      <c r="E21" s="1488">
        <f>C21*D21</f>
        <v/>
      </c>
      <c r="F21" s="1488" t="n">
        <v>18</v>
      </c>
      <c r="G21" s="1488">
        <f>F21*C21</f>
        <v/>
      </c>
      <c r="H21" s="1488" t="n">
        <v>13</v>
      </c>
      <c r="I21" s="1488">
        <f>H21*C21</f>
        <v/>
      </c>
      <c r="J21" s="1488" t="n">
        <v>13</v>
      </c>
      <c r="K21" s="1488">
        <f>J21*C21</f>
        <v/>
      </c>
      <c r="L21" s="1488" t="n">
        <v>18</v>
      </c>
      <c r="M21" s="1488">
        <f>L21*C21</f>
        <v/>
      </c>
      <c r="N21" s="1488" t="n">
        <v>23</v>
      </c>
      <c r="O21" s="1488">
        <f>N21*C21</f>
        <v/>
      </c>
      <c r="P21" s="1488" t="n">
        <v>23</v>
      </c>
      <c r="Q21" s="1488">
        <f>P21*C21</f>
        <v/>
      </c>
      <c r="R21" s="1488" t="n">
        <v>18</v>
      </c>
      <c r="S21" s="1488">
        <f>R21*C21</f>
        <v/>
      </c>
      <c r="T21" s="1488" t="n">
        <v>18</v>
      </c>
      <c r="U21" s="1488">
        <f>T21*C21</f>
        <v/>
      </c>
      <c r="V21" s="1488" t="n">
        <v>13</v>
      </c>
      <c r="W21" s="1488">
        <f>V21*C21</f>
        <v/>
      </c>
      <c r="X21" s="1488" t="n">
        <v>13</v>
      </c>
      <c r="Y21" s="1488">
        <f>X21*C21</f>
        <v/>
      </c>
      <c r="Z21" s="1488" t="n">
        <v>12</v>
      </c>
      <c r="AA21" s="1488">
        <f>Z21*C21</f>
        <v/>
      </c>
      <c r="AB21" s="1488" t="n"/>
    </row>
    <row r="22">
      <c r="A22" s="1488" t="inlineStr">
        <is>
          <t xml:space="preserve"> EMB. BOREDA AL MAQ 09 100X1 </t>
        </is>
      </c>
      <c r="B22" s="1488" t="inlineStr">
        <is>
          <t xml:space="preserve"> UND </t>
        </is>
      </c>
      <c r="C22" s="1488" t="n">
        <v>51.3555</v>
      </c>
      <c r="D22" s="1488" t="n">
        <v>11</v>
      </c>
      <c r="E22" s="1488">
        <f>C22*D22</f>
        <v/>
      </c>
      <c r="F22" s="1488" t="n">
        <v>15</v>
      </c>
      <c r="G22" s="1488">
        <f>F22*C22</f>
        <v/>
      </c>
      <c r="H22" s="1488" t="n">
        <v>11</v>
      </c>
      <c r="I22" s="1488">
        <f>H22*C22</f>
        <v/>
      </c>
      <c r="J22" s="1488" t="n">
        <v>11</v>
      </c>
      <c r="K22" s="1488">
        <f>J22*C22</f>
        <v/>
      </c>
      <c r="L22" s="1488" t="n">
        <v>15</v>
      </c>
      <c r="M22" s="1488">
        <f>L22*C22</f>
        <v/>
      </c>
      <c r="N22" s="1488" t="n">
        <v>15</v>
      </c>
      <c r="O22" s="1488">
        <f>N22*C22</f>
        <v/>
      </c>
      <c r="P22" s="1488" t="n">
        <v>15</v>
      </c>
      <c r="Q22" s="1488">
        <f>P22*C22</f>
        <v/>
      </c>
      <c r="R22" s="1488" t="n">
        <v>15</v>
      </c>
      <c r="S22" s="1488">
        <f>R22*C22</f>
        <v/>
      </c>
      <c r="T22" s="1488" t="n">
        <v>15</v>
      </c>
      <c r="U22" s="1488">
        <f>T22*C22</f>
        <v/>
      </c>
      <c r="V22" s="1488" t="n">
        <v>11</v>
      </c>
      <c r="W22" s="1488">
        <f>V22*C22</f>
        <v/>
      </c>
      <c r="X22" s="1488" t="n">
        <v>11</v>
      </c>
      <c r="Y22" s="1488">
        <f>X22*C22</f>
        <v/>
      </c>
      <c r="Z22" s="1488" t="n">
        <v>11</v>
      </c>
      <c r="AA22" s="1488">
        <f>Z22*C22</f>
        <v/>
      </c>
      <c r="AB22" s="1488" t="n"/>
    </row>
    <row r="23">
      <c r="A23" s="1488" t="inlineStr">
        <is>
          <t xml:space="preserve"> EXTRATO DE TOMATE ESTELA 40g </t>
        </is>
      </c>
      <c r="B23" s="1488" t="inlineStr">
        <is>
          <t xml:space="preserve"> UND </t>
        </is>
      </c>
      <c r="C23" s="1488" t="n">
        <v>1.869</v>
      </c>
      <c r="D23" s="1488" t="n">
        <v>25</v>
      </c>
      <c r="E23" s="1488">
        <f>C23*D23</f>
        <v/>
      </c>
      <c r="F23" s="1488" t="n">
        <v>20</v>
      </c>
      <c r="G23" s="1488">
        <f>F23*C23</f>
        <v/>
      </c>
      <c r="H23" s="1488" t="n">
        <v>25</v>
      </c>
      <c r="I23" s="1488">
        <f>H23*C23</f>
        <v/>
      </c>
      <c r="J23" s="1488" t="n">
        <v>25</v>
      </c>
      <c r="K23" s="1488">
        <f>J23*C23</f>
        <v/>
      </c>
      <c r="L23" s="1488" t="n">
        <v>20</v>
      </c>
      <c r="M23" s="1488">
        <f>L23*C23</f>
        <v/>
      </c>
      <c r="N23" s="1488" t="n">
        <v>25</v>
      </c>
      <c r="O23" s="1488">
        <f>N23*C23</f>
        <v/>
      </c>
      <c r="P23" s="1488" t="n">
        <v>25</v>
      </c>
      <c r="Q23" s="1488">
        <f>P23*C23</f>
        <v/>
      </c>
      <c r="R23" s="1488" t="n">
        <v>20</v>
      </c>
      <c r="S23" s="1488">
        <f>R23*C23</f>
        <v/>
      </c>
      <c r="T23" s="1488" t="n">
        <v>20</v>
      </c>
      <c r="U23" s="1488">
        <f>T23*C23</f>
        <v/>
      </c>
      <c r="V23" s="1488" t="n">
        <v>25</v>
      </c>
      <c r="W23" s="1488">
        <f>V23*C23</f>
        <v/>
      </c>
      <c r="X23" s="1488" t="n">
        <v>25</v>
      </c>
      <c r="Y23" s="1488">
        <f>X23*C23</f>
        <v/>
      </c>
      <c r="Z23" s="1488" t="n">
        <v>24</v>
      </c>
      <c r="AA23" s="1488">
        <f>Z23*C23</f>
        <v/>
      </c>
      <c r="AB23" s="1488" t="n"/>
    </row>
    <row r="24">
      <c r="A24" s="1488" t="inlineStr">
        <is>
          <t xml:space="preserve"> FARINHA DE TRIGO SANADUVA </t>
        </is>
      </c>
      <c r="B24" s="1488" t="inlineStr">
        <is>
          <t xml:space="preserve"> UND </t>
        </is>
      </c>
      <c r="C24" s="1488" t="n">
        <v>6.111000000000001</v>
      </c>
      <c r="D24" s="1488" t="n">
        <v>6</v>
      </c>
      <c r="E24" s="1488">
        <f>C24*D24</f>
        <v/>
      </c>
      <c r="F24" s="1488" t="n">
        <v>12</v>
      </c>
      <c r="G24" s="1488">
        <f>F24*C24</f>
        <v/>
      </c>
      <c r="H24" s="1488" t="n">
        <v>6</v>
      </c>
      <c r="I24" s="1488">
        <f>H24*C24</f>
        <v/>
      </c>
      <c r="J24" s="1488" t="n">
        <v>6</v>
      </c>
      <c r="K24" s="1488">
        <f>J24*C24</f>
        <v/>
      </c>
      <c r="L24" s="1488" t="n">
        <v>12</v>
      </c>
      <c r="M24" s="1488">
        <f>L24*C24</f>
        <v/>
      </c>
      <c r="N24" s="1488" t="n">
        <v>17</v>
      </c>
      <c r="O24" s="1488">
        <f>N24*C24</f>
        <v/>
      </c>
      <c r="P24" s="1488" t="n">
        <v>17</v>
      </c>
      <c r="Q24" s="1488">
        <f>P24*C24</f>
        <v/>
      </c>
      <c r="R24" s="1488" t="n">
        <v>12</v>
      </c>
      <c r="S24" s="1488">
        <f>R24*C24</f>
        <v/>
      </c>
      <c r="T24" s="1488" t="n">
        <v>12</v>
      </c>
      <c r="U24" s="1488">
        <f>T24*C24</f>
        <v/>
      </c>
      <c r="V24" s="1488" t="n">
        <v>6</v>
      </c>
      <c r="W24" s="1488">
        <f>V24*C24</f>
        <v/>
      </c>
      <c r="X24" s="1488" t="n">
        <v>6</v>
      </c>
      <c r="Y24" s="1488">
        <f>X24*C24</f>
        <v/>
      </c>
      <c r="Z24" s="1488" t="n">
        <v>6</v>
      </c>
      <c r="AA24" s="1488">
        <f>Z24*C24</f>
        <v/>
      </c>
      <c r="AB24" s="1488" t="n"/>
    </row>
    <row r="25">
      <c r="A25" s="1488" t="inlineStr">
        <is>
          <t>FLOCÃO BONOMILHO 500 G</t>
        </is>
      </c>
      <c r="B25" s="1488" t="inlineStr">
        <is>
          <t xml:space="preserve"> UND </t>
        </is>
      </c>
      <c r="C25" s="1488" t="n">
        <v>1.9215</v>
      </c>
      <c r="D25" s="1488" t="n">
        <v>25</v>
      </c>
      <c r="E25" s="1488">
        <f>C25*D25</f>
        <v/>
      </c>
      <c r="F25" s="1488" t="n">
        <v>16</v>
      </c>
      <c r="G25" s="1488">
        <f>F25*C25</f>
        <v/>
      </c>
      <c r="H25" s="1488" t="n">
        <v>12</v>
      </c>
      <c r="I25" s="1488">
        <f>H25*C25</f>
        <v/>
      </c>
      <c r="J25" s="1488" t="n"/>
      <c r="K25" s="1488">
        <f>J25*C25</f>
        <v/>
      </c>
      <c r="L25" s="1488" t="n">
        <v>16</v>
      </c>
      <c r="M25" s="1488">
        <f>L25*C25</f>
        <v/>
      </c>
      <c r="N25" s="1488" t="n">
        <v>10</v>
      </c>
      <c r="O25" s="1488">
        <f>N25*C25</f>
        <v/>
      </c>
      <c r="P25" s="1488" t="n">
        <v>10</v>
      </c>
      <c r="Q25" s="1488" t="n"/>
      <c r="R25" s="1488" t="n">
        <v>16</v>
      </c>
      <c r="S25" s="1488" t="n"/>
      <c r="T25" s="1488" t="n">
        <v>16</v>
      </c>
      <c r="U25" s="1488" t="n"/>
      <c r="V25" s="1488" t="n"/>
      <c r="W25" s="1488" t="n"/>
      <c r="X25" s="1488" t="n"/>
      <c r="Y25" s="1488" t="n"/>
      <c r="Z25" s="1488" t="n"/>
      <c r="AA25" s="1488" t="n"/>
      <c r="AB25" s="1488" t="n"/>
    </row>
    <row r="26">
      <c r="A26" s="1488" t="inlineStr">
        <is>
          <t xml:space="preserve"> FEIJAO CAR PADIM TP-1 1kg </t>
        </is>
      </c>
      <c r="B26" s="1488" t="inlineStr">
        <is>
          <t xml:space="preserve"> UND </t>
        </is>
      </c>
      <c r="C26" s="1488" t="n">
        <v>7.35</v>
      </c>
      <c r="D26" s="1488" t="n">
        <v>31</v>
      </c>
      <c r="E26" s="1488">
        <f>C26*D26</f>
        <v/>
      </c>
      <c r="F26" s="1488" t="n">
        <v>42</v>
      </c>
      <c r="G26" s="1488">
        <f>F26*C26</f>
        <v/>
      </c>
      <c r="H26" s="1488" t="n">
        <v>31</v>
      </c>
      <c r="I26" s="1488">
        <f>H26*C26</f>
        <v/>
      </c>
      <c r="J26" s="1488" t="n">
        <v>42</v>
      </c>
      <c r="K26" s="1488">
        <f>J26*C26</f>
        <v/>
      </c>
      <c r="L26" s="1488" t="n">
        <v>42</v>
      </c>
      <c r="M26" s="1488">
        <f>L26*C26</f>
        <v/>
      </c>
      <c r="N26" s="1488" t="n">
        <v>60</v>
      </c>
      <c r="O26" s="1488">
        <f>N26*C26</f>
        <v/>
      </c>
      <c r="P26" s="1488" t="n">
        <v>60</v>
      </c>
      <c r="Q26" s="1488">
        <f>P26*C26</f>
        <v/>
      </c>
      <c r="R26" s="1488" t="n">
        <v>42</v>
      </c>
      <c r="S26" s="1488">
        <f>R26*C26</f>
        <v/>
      </c>
      <c r="T26" s="1488" t="n">
        <v>42</v>
      </c>
      <c r="U26" s="1488">
        <f>T26*C26</f>
        <v/>
      </c>
      <c r="V26" s="1488" t="n">
        <v>42</v>
      </c>
      <c r="W26" s="1488">
        <f>V26*C26</f>
        <v/>
      </c>
      <c r="X26" s="1488" t="n">
        <v>42</v>
      </c>
      <c r="Y26" s="1488">
        <f>X26*C26</f>
        <v/>
      </c>
      <c r="Z26" s="1488" t="n">
        <v>30</v>
      </c>
      <c r="AA26" s="1488">
        <f>Z26*C26</f>
        <v/>
      </c>
      <c r="AB26" s="1488" t="n"/>
    </row>
    <row r="27">
      <c r="A27" s="1488" t="inlineStr">
        <is>
          <t xml:space="preserve"> FERM. FERMIPAM 500G </t>
        </is>
      </c>
      <c r="B27" s="1488" t="inlineStr">
        <is>
          <t xml:space="preserve"> UND </t>
        </is>
      </c>
      <c r="C27" s="1488" t="n">
        <v>21.63</v>
      </c>
      <c r="D27" s="1488" t="n">
        <v>3</v>
      </c>
      <c r="E27" s="1488">
        <f>C27*D27</f>
        <v/>
      </c>
      <c r="F27" s="1488" t="n">
        <v>4</v>
      </c>
      <c r="G27" s="1488">
        <f>F27*C27</f>
        <v/>
      </c>
      <c r="H27" s="1488" t="n">
        <v>2</v>
      </c>
      <c r="I27" s="1488">
        <f>H27*C27</f>
        <v/>
      </c>
      <c r="J27" s="1488" t="n">
        <v>4</v>
      </c>
      <c r="K27" s="1488">
        <f>J27*C27</f>
        <v/>
      </c>
      <c r="L27" s="1488" t="n">
        <v>4</v>
      </c>
      <c r="M27" s="1488">
        <f>L27*C27</f>
        <v/>
      </c>
      <c r="N27" s="1488" t="n">
        <v>3</v>
      </c>
      <c r="O27" s="1488">
        <f>N27*C27</f>
        <v/>
      </c>
      <c r="P27" s="1488" t="n">
        <v>3</v>
      </c>
      <c r="Q27" s="1488">
        <f>P27*C27</f>
        <v/>
      </c>
      <c r="R27" s="1488" t="n">
        <v>4</v>
      </c>
      <c r="S27" s="1488">
        <f>R27*C27</f>
        <v/>
      </c>
      <c r="T27" s="1488" t="n">
        <v>4</v>
      </c>
      <c r="U27" s="1488">
        <f>T27*C27</f>
        <v/>
      </c>
      <c r="V27" s="1488" t="n">
        <v>4</v>
      </c>
      <c r="W27" s="1488">
        <f>V27*C27</f>
        <v/>
      </c>
      <c r="X27" s="1488" t="n">
        <v>4</v>
      </c>
      <c r="Y27" s="1488">
        <f>X27*C27</f>
        <v/>
      </c>
      <c r="Z27" s="1488" t="n">
        <v>2</v>
      </c>
      <c r="AA27" s="1488">
        <f>Z27*C27</f>
        <v/>
      </c>
      <c r="AB27" s="1488" t="n"/>
    </row>
    <row r="28">
      <c r="A28" s="1488" t="inlineStr">
        <is>
          <t xml:space="preserve"> FRIATO COXA SOBRE COXA </t>
        </is>
      </c>
      <c r="B28" s="1488" t="inlineStr">
        <is>
          <t xml:space="preserve"> KG </t>
        </is>
      </c>
      <c r="C28" s="1488" t="n">
        <v>10.6365</v>
      </c>
      <c r="D28" s="1488" t="n">
        <v>41</v>
      </c>
      <c r="E28" s="1488">
        <f>C28*D28</f>
        <v/>
      </c>
      <c r="F28" s="1488" t="n">
        <v>50</v>
      </c>
      <c r="G28" s="1488">
        <f>F28*C28</f>
        <v/>
      </c>
      <c r="H28" s="1488" t="n">
        <v>41</v>
      </c>
      <c r="I28" s="1488">
        <f>H28*C28</f>
        <v/>
      </c>
      <c r="J28" s="1488" t="n">
        <v>45</v>
      </c>
      <c r="K28" s="1488">
        <f>J28*C28</f>
        <v/>
      </c>
      <c r="L28" s="1488" t="n">
        <v>50</v>
      </c>
      <c r="M28" s="1488">
        <f>L28*C28</f>
        <v/>
      </c>
      <c r="N28" s="1488" t="n">
        <v>60</v>
      </c>
      <c r="O28" s="1488">
        <f>N28*C28</f>
        <v/>
      </c>
      <c r="P28" s="1488" t="n">
        <v>60</v>
      </c>
      <c r="Q28" s="1488">
        <f>P28*C28</f>
        <v/>
      </c>
      <c r="R28" s="1488" t="n">
        <v>50</v>
      </c>
      <c r="S28" s="1488">
        <f>R28*C28</f>
        <v/>
      </c>
      <c r="T28" s="1488" t="n">
        <v>50</v>
      </c>
      <c r="U28" s="1488">
        <f>T28*C28</f>
        <v/>
      </c>
      <c r="V28" s="1488" t="n">
        <v>45</v>
      </c>
      <c r="W28" s="1488">
        <f>V28*C28</f>
        <v/>
      </c>
      <c r="X28" s="1488" t="n">
        <v>45</v>
      </c>
      <c r="Y28" s="1488">
        <f>X28*C28</f>
        <v/>
      </c>
      <c r="Z28" s="1488" t="n">
        <v>39</v>
      </c>
      <c r="AA28" s="1488">
        <f>Z28*C28</f>
        <v/>
      </c>
      <c r="AB28" s="1488" t="n"/>
    </row>
    <row r="29">
      <c r="A29" s="1488" t="inlineStr">
        <is>
          <t xml:space="preserve"> FRUTA ABACAXI </t>
        </is>
      </c>
      <c r="B29" s="1488" t="inlineStr">
        <is>
          <t xml:space="preserve"> UND </t>
        </is>
      </c>
      <c r="C29" s="1488" t="n">
        <v>9.786</v>
      </c>
      <c r="D29" s="1488" t="n">
        <v>4</v>
      </c>
      <c r="E29" s="1488">
        <f>C29*D29</f>
        <v/>
      </c>
      <c r="F29" s="1488" t="n">
        <v>7</v>
      </c>
      <c r="G29" s="1488">
        <f>F29*C29</f>
        <v/>
      </c>
      <c r="H29" s="1488" t="n">
        <v>3</v>
      </c>
      <c r="I29" s="1488">
        <f>H29*C29</f>
        <v/>
      </c>
      <c r="J29" s="1488" t="n">
        <v>2</v>
      </c>
      <c r="K29" s="1488">
        <f>J29*C29</f>
        <v/>
      </c>
      <c r="L29" s="1488" t="n">
        <v>7</v>
      </c>
      <c r="M29" s="1488">
        <f>L29*C29</f>
        <v/>
      </c>
      <c r="N29" s="1488" t="n">
        <v>6</v>
      </c>
      <c r="O29" s="1488">
        <f>N29*C29</f>
        <v/>
      </c>
      <c r="P29" s="1488" t="n">
        <v>6</v>
      </c>
      <c r="Q29" s="1488">
        <f>P29*C29</f>
        <v/>
      </c>
      <c r="R29" s="1488" t="n">
        <v>7</v>
      </c>
      <c r="S29" s="1488">
        <f>R29*C29</f>
        <v/>
      </c>
      <c r="T29" s="1488" t="n">
        <v>7</v>
      </c>
      <c r="U29" s="1488">
        <f>T29*C29</f>
        <v/>
      </c>
      <c r="V29" s="1488" t="n">
        <v>2</v>
      </c>
      <c r="W29" s="1488">
        <f>V29*C29</f>
        <v/>
      </c>
      <c r="X29" s="1488" t="n">
        <v>2</v>
      </c>
      <c r="Y29" s="1488">
        <f>X29*C29</f>
        <v/>
      </c>
      <c r="Z29" s="1488" t="n">
        <v>3</v>
      </c>
      <c r="AA29" s="1488">
        <f>Z29*C29</f>
        <v/>
      </c>
      <c r="AB29" s="1488" t="n"/>
    </row>
    <row r="30">
      <c r="A30" s="1488" t="inlineStr">
        <is>
          <t xml:space="preserve"> FRUTA BANANA NANICA </t>
        </is>
      </c>
      <c r="B30" s="1488" t="inlineStr">
        <is>
          <t xml:space="preserve"> KG </t>
        </is>
      </c>
      <c r="C30" s="1488" t="n">
        <v>3.3075</v>
      </c>
      <c r="D30" s="1488" t="n">
        <v>20</v>
      </c>
      <c r="E30" s="1488">
        <f>C30*D30</f>
        <v/>
      </c>
      <c r="F30" s="1488" t="n">
        <v>35</v>
      </c>
      <c r="G30" s="1488">
        <f>F30*C30</f>
        <v/>
      </c>
      <c r="H30" s="1488" t="n">
        <v>21</v>
      </c>
      <c r="I30" s="1488">
        <f>H30*C30</f>
        <v/>
      </c>
      <c r="J30" s="1488" t="n">
        <v>20</v>
      </c>
      <c r="K30" s="1488">
        <f>J30*C30</f>
        <v/>
      </c>
      <c r="L30" s="1488" t="n">
        <v>35</v>
      </c>
      <c r="M30" s="1488">
        <f>L30*C30</f>
        <v/>
      </c>
      <c r="N30" s="1488" t="n">
        <v>35</v>
      </c>
      <c r="O30" s="1488">
        <f>N30*C30</f>
        <v/>
      </c>
      <c r="P30" s="1488" t="n">
        <v>35</v>
      </c>
      <c r="Q30" s="1488">
        <f>P30*C30</f>
        <v/>
      </c>
      <c r="R30" s="1488" t="n">
        <v>35</v>
      </c>
      <c r="S30" s="1488">
        <f>R30*C30</f>
        <v/>
      </c>
      <c r="T30" s="1488" t="n">
        <v>35</v>
      </c>
      <c r="U30" s="1488">
        <f>T30*C30</f>
        <v/>
      </c>
      <c r="V30" s="1488" t="n">
        <v>20</v>
      </c>
      <c r="W30" s="1488">
        <f>V30*C30</f>
        <v/>
      </c>
      <c r="X30" s="1488" t="n">
        <v>20</v>
      </c>
      <c r="Y30" s="1488">
        <f>X30*C30</f>
        <v/>
      </c>
      <c r="Z30" s="1488" t="n">
        <v>20</v>
      </c>
      <c r="AA30" s="1488">
        <f>Z30*C30</f>
        <v/>
      </c>
      <c r="AB30" s="1488" t="n"/>
    </row>
    <row r="31">
      <c r="A31" s="1488" t="inlineStr">
        <is>
          <t xml:space="preserve"> FRUTA LARANJA </t>
        </is>
      </c>
      <c r="B31" s="1488" t="inlineStr">
        <is>
          <t xml:space="preserve"> KG </t>
        </is>
      </c>
      <c r="C31" s="1488" t="n">
        <v>3.7275</v>
      </c>
      <c r="D31" s="1488" t="n">
        <v>21</v>
      </c>
      <c r="E31" s="1488">
        <f>C31*D31</f>
        <v/>
      </c>
      <c r="F31" s="1488" t="n">
        <v>35</v>
      </c>
      <c r="G31" s="1488">
        <f>F31*C31</f>
        <v/>
      </c>
      <c r="H31" s="1488" t="n">
        <v>21</v>
      </c>
      <c r="I31" s="1488">
        <f>H31*C31</f>
        <v/>
      </c>
      <c r="J31" s="1488" t="n">
        <v>21</v>
      </c>
      <c r="K31" s="1488">
        <f>J31*C31</f>
        <v/>
      </c>
      <c r="L31" s="1488" t="n">
        <v>35</v>
      </c>
      <c r="M31" s="1488">
        <f>L31*C31</f>
        <v/>
      </c>
      <c r="N31" s="1488" t="n">
        <v>25</v>
      </c>
      <c r="O31" s="1488">
        <f>N31*C31</f>
        <v/>
      </c>
      <c r="P31" s="1488" t="n">
        <v>25</v>
      </c>
      <c r="Q31" s="1488">
        <f>P31*C31</f>
        <v/>
      </c>
      <c r="R31" s="1488" t="n">
        <v>35</v>
      </c>
      <c r="S31" s="1488">
        <f>R31*C31</f>
        <v/>
      </c>
      <c r="T31" s="1488" t="n">
        <v>35</v>
      </c>
      <c r="U31" s="1488">
        <f>T31*C31</f>
        <v/>
      </c>
      <c r="V31" s="1488" t="n">
        <v>21</v>
      </c>
      <c r="W31" s="1488">
        <f>V31*C31</f>
        <v/>
      </c>
      <c r="X31" s="1488" t="n">
        <v>21</v>
      </c>
      <c r="Y31" s="1488">
        <f>X31*C31</f>
        <v/>
      </c>
      <c r="Z31" s="1488" t="n">
        <v>20</v>
      </c>
      <c r="AA31" s="1488">
        <f>Z31*C31</f>
        <v/>
      </c>
      <c r="AB31" s="1488" t="n"/>
    </row>
    <row r="32">
      <c r="A32" s="1488" t="inlineStr">
        <is>
          <t xml:space="preserve"> FRUTA MACA FUJI </t>
        </is>
      </c>
      <c r="B32" s="1488" t="inlineStr">
        <is>
          <t xml:space="preserve"> KG </t>
        </is>
      </c>
      <c r="C32" s="1488" t="n">
        <v>11.7075</v>
      </c>
      <c r="D32" s="1488" t="n">
        <v>17</v>
      </c>
      <c r="E32" s="1488">
        <f>C32*D32</f>
        <v/>
      </c>
      <c r="F32" s="1488" t="n">
        <v>25</v>
      </c>
      <c r="G32" s="1488">
        <f>F32*C32</f>
        <v/>
      </c>
      <c r="H32" s="1488" t="n">
        <v>17</v>
      </c>
      <c r="I32" s="1488">
        <f>H32*C32</f>
        <v/>
      </c>
      <c r="J32" s="1488" t="n">
        <v>25</v>
      </c>
      <c r="K32" s="1488">
        <f>J32*C32</f>
        <v/>
      </c>
      <c r="L32" s="1488" t="n">
        <v>25</v>
      </c>
      <c r="M32" s="1488">
        <f>L32*C32</f>
        <v/>
      </c>
      <c r="N32" s="1488" t="n">
        <v>25</v>
      </c>
      <c r="O32" s="1488">
        <f>N32*C32</f>
        <v/>
      </c>
      <c r="P32" s="1488" t="n">
        <v>25</v>
      </c>
      <c r="Q32" s="1488">
        <f>P32*C32</f>
        <v/>
      </c>
      <c r="R32" s="1488" t="n">
        <v>25</v>
      </c>
      <c r="S32" s="1488">
        <f>R32*C32</f>
        <v/>
      </c>
      <c r="T32" s="1488" t="n">
        <v>25</v>
      </c>
      <c r="U32" s="1488">
        <f>T32*C32</f>
        <v/>
      </c>
      <c r="V32" s="1488" t="n">
        <v>25</v>
      </c>
      <c r="W32" s="1488">
        <f>V32*C32</f>
        <v/>
      </c>
      <c r="X32" s="1488" t="n">
        <v>25</v>
      </c>
      <c r="Y32" s="1488">
        <f>X32*C32</f>
        <v/>
      </c>
      <c r="Z32" s="1488" t="n">
        <v>16</v>
      </c>
      <c r="AA32" s="1488">
        <f>Z32*C32</f>
        <v/>
      </c>
      <c r="AB32" s="1488" t="n"/>
    </row>
    <row r="33">
      <c r="A33" s="1488" t="inlineStr">
        <is>
          <t xml:space="preserve"> FRUTA MAMAO </t>
        </is>
      </c>
      <c r="B33" s="1488" t="inlineStr">
        <is>
          <t xml:space="preserve"> KG </t>
        </is>
      </c>
      <c r="C33" s="1488" t="n">
        <v>2.709</v>
      </c>
      <c r="D33" s="1488" t="n">
        <v>3</v>
      </c>
      <c r="E33" s="1488">
        <f>C33*D33</f>
        <v/>
      </c>
      <c r="F33" s="1488" t="n">
        <v>5</v>
      </c>
      <c r="G33" s="1488">
        <f>F33*C33</f>
        <v/>
      </c>
      <c r="H33" s="1488" t="n">
        <v>3</v>
      </c>
      <c r="I33" s="1488">
        <f>H33*C33</f>
        <v/>
      </c>
      <c r="J33" s="1488" t="n">
        <v>5</v>
      </c>
      <c r="K33" s="1488">
        <f>J33*C33</f>
        <v/>
      </c>
      <c r="L33" s="1488" t="n">
        <v>5</v>
      </c>
      <c r="M33" s="1488">
        <f>L33*C33</f>
        <v/>
      </c>
      <c r="N33" s="1488" t="n">
        <v>2</v>
      </c>
      <c r="O33" s="1488">
        <f>N33*C33</f>
        <v/>
      </c>
      <c r="P33" s="1488" t="n">
        <v>2</v>
      </c>
      <c r="Q33" s="1488">
        <f>P33*C33</f>
        <v/>
      </c>
      <c r="R33" s="1488" t="n">
        <v>5</v>
      </c>
      <c r="S33" s="1488">
        <f>R33*C33</f>
        <v/>
      </c>
      <c r="T33" s="1488" t="n">
        <v>5</v>
      </c>
      <c r="U33" s="1488">
        <f>T33*C33</f>
        <v/>
      </c>
      <c r="V33" s="1488" t="n">
        <v>5</v>
      </c>
      <c r="W33" s="1488">
        <f>V33*C33</f>
        <v/>
      </c>
      <c r="X33" s="1488" t="n">
        <v>5</v>
      </c>
      <c r="Y33" s="1488">
        <f>X33*C33</f>
        <v/>
      </c>
      <c r="Z33" s="1488" t="n">
        <v>3</v>
      </c>
      <c r="AA33" s="1488">
        <f>Z33*C33</f>
        <v/>
      </c>
      <c r="AB33" s="1488" t="n"/>
    </row>
    <row r="34">
      <c r="A34" s="1488" t="inlineStr">
        <is>
          <t xml:space="preserve"> FRUTA MELANCIA </t>
        </is>
      </c>
      <c r="B34" s="1488" t="inlineStr">
        <is>
          <t xml:space="preserve"> KG </t>
        </is>
      </c>
      <c r="C34" s="1488" t="n">
        <v>2.709</v>
      </c>
      <c r="D34" s="1488" t="n">
        <v>24</v>
      </c>
      <c r="E34" s="1488">
        <f>C34*D34</f>
        <v/>
      </c>
      <c r="F34" s="1488" t="n">
        <v>35</v>
      </c>
      <c r="G34" s="1488">
        <f>F34*C34</f>
        <v/>
      </c>
      <c r="H34" s="1488" t="n">
        <v>20</v>
      </c>
      <c r="I34" s="1488">
        <f>H34*C34</f>
        <v/>
      </c>
      <c r="J34" s="1488" t="n">
        <v>35</v>
      </c>
      <c r="K34" s="1488">
        <f>J34*C34</f>
        <v/>
      </c>
      <c r="L34" s="1488" t="n">
        <v>35</v>
      </c>
      <c r="M34" s="1488">
        <f>L34*C34</f>
        <v/>
      </c>
      <c r="N34" s="1488" t="n">
        <v>35</v>
      </c>
      <c r="O34" s="1488">
        <f>N34*C34</f>
        <v/>
      </c>
      <c r="P34" s="1488" t="n">
        <v>35</v>
      </c>
      <c r="Q34" s="1488">
        <f>P34*C34</f>
        <v/>
      </c>
      <c r="R34" s="1488" t="n">
        <v>35</v>
      </c>
      <c r="S34" s="1488">
        <f>R34*C34</f>
        <v/>
      </c>
      <c r="T34" s="1488" t="n">
        <v>35</v>
      </c>
      <c r="U34" s="1488">
        <f>T34*C34</f>
        <v/>
      </c>
      <c r="V34" s="1488" t="n">
        <v>35</v>
      </c>
      <c r="W34" s="1488">
        <f>V34*C34</f>
        <v/>
      </c>
      <c r="X34" s="1488" t="n">
        <v>35</v>
      </c>
      <c r="Y34" s="1488">
        <f>X34*C34</f>
        <v/>
      </c>
      <c r="Z34" s="1488" t="n">
        <v>22</v>
      </c>
      <c r="AA34" s="1488">
        <f>Z34*C34</f>
        <v/>
      </c>
      <c r="AB34" s="1488" t="n"/>
    </row>
    <row r="35">
      <c r="A35" s="1488" t="inlineStr">
        <is>
          <t xml:space="preserve"> ISQUEIRO BIC MAXI 1X1 </t>
        </is>
      </c>
      <c r="B35" s="1488" t="inlineStr">
        <is>
          <t xml:space="preserve"> UND </t>
        </is>
      </c>
      <c r="C35" s="1488" t="n">
        <v>5.5125</v>
      </c>
      <c r="D35" s="1488" t="n">
        <v>7</v>
      </c>
      <c r="E35" s="1488">
        <f>C35*D35</f>
        <v/>
      </c>
      <c r="F35" s="1488" t="n">
        <v>0</v>
      </c>
      <c r="G35" s="1488">
        <f>F35*C35</f>
        <v/>
      </c>
      <c r="H35" s="1488" t="n">
        <v>0</v>
      </c>
      <c r="I35" s="1488">
        <f>H35*C35</f>
        <v/>
      </c>
      <c r="J35" s="1488" t="n">
        <v>0</v>
      </c>
      <c r="K35" s="1488">
        <f>J35*C35</f>
        <v/>
      </c>
      <c r="L35" s="1488" t="n">
        <v>0</v>
      </c>
      <c r="M35" s="1488">
        <f>L35*C35</f>
        <v/>
      </c>
      <c r="N35" s="1488" t="n">
        <v>0</v>
      </c>
      <c r="O35" s="1488">
        <f>N35*C35</f>
        <v/>
      </c>
      <c r="P35" s="1488" t="n">
        <v>0</v>
      </c>
      <c r="Q35" s="1488">
        <f>P35*C35</f>
        <v/>
      </c>
      <c r="R35" s="1488" t="n">
        <v>0</v>
      </c>
      <c r="S35" s="1488">
        <f>R35*C35</f>
        <v/>
      </c>
      <c r="T35" s="1488" t="n">
        <v>0</v>
      </c>
      <c r="U35" s="1488">
        <f>T35*C35</f>
        <v/>
      </c>
      <c r="V35" s="1488" t="n">
        <v>0</v>
      </c>
      <c r="W35" s="1488">
        <f>V35*C35</f>
        <v/>
      </c>
      <c r="X35" s="1488" t="n">
        <v>0</v>
      </c>
      <c r="Y35" s="1488">
        <f>X35*C35</f>
        <v/>
      </c>
      <c r="Z35" s="1488" t="n"/>
      <c r="AA35" s="1488">
        <f>Z35*C35</f>
        <v/>
      </c>
      <c r="AB35" s="1488" t="n"/>
    </row>
    <row r="36">
      <c r="A36" s="1488" t="inlineStr">
        <is>
          <t xml:space="preserve"> LAVA LOUCAS MINUANO </t>
        </is>
      </c>
      <c r="B36" s="1488" t="inlineStr">
        <is>
          <t xml:space="preserve"> UND </t>
        </is>
      </c>
      <c r="C36" s="1488" t="n">
        <v>2.2155</v>
      </c>
      <c r="D36" s="1488" t="n">
        <v>24</v>
      </c>
      <c r="E36" s="1488">
        <f>C36*D36</f>
        <v/>
      </c>
      <c r="F36" s="1488" t="n">
        <v>35</v>
      </c>
      <c r="G36" s="1488">
        <f>F36*C36</f>
        <v/>
      </c>
      <c r="H36" s="1488" t="n">
        <v>19</v>
      </c>
      <c r="I36" s="1488">
        <f>H36*C36</f>
        <v/>
      </c>
      <c r="J36" s="1488" t="n">
        <v>21</v>
      </c>
      <c r="K36" s="1488">
        <f>J36*C36</f>
        <v/>
      </c>
      <c r="L36" s="1488" t="n">
        <v>35</v>
      </c>
      <c r="M36" s="1488">
        <f>L36*C36</f>
        <v/>
      </c>
      <c r="N36" s="1488" t="n">
        <v>35</v>
      </c>
      <c r="O36" s="1488">
        <f>N36*C36</f>
        <v/>
      </c>
      <c r="P36" s="1488" t="n">
        <v>35</v>
      </c>
      <c r="Q36" s="1488">
        <f>P36*C36</f>
        <v/>
      </c>
      <c r="R36" s="1488" t="n">
        <v>35</v>
      </c>
      <c r="S36" s="1488">
        <f>R36*C36</f>
        <v/>
      </c>
      <c r="T36" s="1488" t="n">
        <v>35</v>
      </c>
      <c r="U36" s="1488">
        <f>T36*C36</f>
        <v/>
      </c>
      <c r="V36" s="1488" t="n">
        <v>21</v>
      </c>
      <c r="W36" s="1488">
        <f>V36*C36</f>
        <v/>
      </c>
      <c r="X36" s="1488" t="n">
        <v>21</v>
      </c>
      <c r="Y36" s="1488">
        <f>X36*C36</f>
        <v/>
      </c>
      <c r="Z36" s="1488" t="n">
        <v>24</v>
      </c>
      <c r="AA36" s="1488">
        <f>Z36*C36</f>
        <v/>
      </c>
      <c r="AB36" s="1488" t="n"/>
    </row>
    <row r="37">
      <c r="A37" s="1488" t="inlineStr">
        <is>
          <t>LIMP PESADA CANDEIAS GEL LAV 1 L</t>
        </is>
      </c>
      <c r="B37" s="1488" t="inlineStr">
        <is>
          <t xml:space="preserve"> UND </t>
        </is>
      </c>
      <c r="C37" s="1488" t="n">
        <v>8.925000000000001</v>
      </c>
      <c r="D37" s="1488" t="n">
        <v>12</v>
      </c>
      <c r="E37" s="1488">
        <f>C37*D37</f>
        <v/>
      </c>
      <c r="F37" s="1488" t="n">
        <v>25</v>
      </c>
      <c r="G37" s="1488">
        <f>F37*C37</f>
        <v/>
      </c>
      <c r="H37" s="1488" t="n">
        <v>10</v>
      </c>
      <c r="I37" s="1488">
        <f>H37*C37</f>
        <v/>
      </c>
      <c r="J37" s="1488" t="n">
        <v>10</v>
      </c>
      <c r="K37" s="1488">
        <f>J37*C37</f>
        <v/>
      </c>
      <c r="L37" s="1488" t="n">
        <v>25</v>
      </c>
      <c r="M37" s="1488">
        <f>L37*C37</f>
        <v/>
      </c>
      <c r="N37" s="1488" t="n">
        <v>10</v>
      </c>
      <c r="O37" s="1488">
        <f>N37*C37</f>
        <v/>
      </c>
      <c r="P37" s="1488" t="n">
        <v>10</v>
      </c>
      <c r="Q37" s="1488">
        <f>P37*C37</f>
        <v/>
      </c>
      <c r="R37" s="1488" t="n">
        <v>25</v>
      </c>
      <c r="S37" s="1488">
        <f>R37*C37</f>
        <v/>
      </c>
      <c r="T37" s="1488" t="n">
        <v>25</v>
      </c>
      <c r="U37" s="1488">
        <f>T37*C37</f>
        <v/>
      </c>
      <c r="V37" s="1488" t="n">
        <v>10</v>
      </c>
      <c r="W37" s="1488">
        <f>V37*C37</f>
        <v/>
      </c>
      <c r="X37" s="1488" t="n">
        <v>10</v>
      </c>
      <c r="Y37" s="1488">
        <f>X37*C37</f>
        <v/>
      </c>
      <c r="Z37" s="1488" t="n">
        <v>24</v>
      </c>
      <c r="AA37" s="1488">
        <f>Z37*C37</f>
        <v/>
      </c>
      <c r="AB37" s="1488" t="n"/>
    </row>
    <row r="38">
      <c r="A38" s="1488" t="inlineStr">
        <is>
          <t xml:space="preserve">LIMPA ALUMINIO POLITRIZ LIMAO 500 ML </t>
        </is>
      </c>
      <c r="B38" s="1488" t="inlineStr">
        <is>
          <t xml:space="preserve"> UND </t>
        </is>
      </c>
      <c r="C38" s="1488" t="n">
        <v>3.1395</v>
      </c>
      <c r="D38" s="1488" t="n">
        <v>12</v>
      </c>
      <c r="E38" s="1488">
        <f>C38*D38</f>
        <v/>
      </c>
      <c r="F38" s="1488" t="n">
        <v>16</v>
      </c>
      <c r="G38" s="1488">
        <f>F38*C38</f>
        <v/>
      </c>
      <c r="H38" s="1488" t="n">
        <v>10</v>
      </c>
      <c r="I38" s="1488">
        <f>H38*C38</f>
        <v/>
      </c>
      <c r="J38" s="1488" t="n">
        <v>22</v>
      </c>
      <c r="K38" s="1488">
        <f>J38*C38</f>
        <v/>
      </c>
      <c r="L38" s="1488" t="n">
        <v>16</v>
      </c>
      <c r="M38" s="1488">
        <f>L38*C38</f>
        <v/>
      </c>
      <c r="N38" s="1488" t="n">
        <v>22</v>
      </c>
      <c r="O38" s="1488">
        <f>N38*C38</f>
        <v/>
      </c>
      <c r="P38" s="1488" t="n">
        <v>22</v>
      </c>
      <c r="Q38" s="1488">
        <f>P38*C38</f>
        <v/>
      </c>
      <c r="R38" s="1488" t="n">
        <v>16</v>
      </c>
      <c r="S38" s="1488">
        <f>R38*C38</f>
        <v/>
      </c>
      <c r="T38" s="1488" t="n">
        <v>16</v>
      </c>
      <c r="U38" s="1488">
        <f>T38*C38</f>
        <v/>
      </c>
      <c r="V38" s="1488" t="n">
        <v>22</v>
      </c>
      <c r="W38" s="1488">
        <f>V38*C38</f>
        <v/>
      </c>
      <c r="X38" s="1488" t="n">
        <v>22</v>
      </c>
      <c r="Y38" s="1488">
        <f>X38*C38</f>
        <v/>
      </c>
      <c r="Z38" s="1488" t="n">
        <v>24</v>
      </c>
      <c r="AA38" s="1488">
        <f>Z38*C38</f>
        <v/>
      </c>
      <c r="AB38" s="1488" t="n"/>
    </row>
    <row r="39">
      <c r="A39" s="1488" t="inlineStr">
        <is>
          <t xml:space="preserve">LIMPA CANDEIAS CERAMICA 1 L </t>
        </is>
      </c>
      <c r="B39" s="1488" t="inlineStr">
        <is>
          <t xml:space="preserve"> UND </t>
        </is>
      </c>
      <c r="C39" s="1488" t="n">
        <v>7.791</v>
      </c>
      <c r="D39" s="1488" t="n">
        <v>12</v>
      </c>
      <c r="E39" s="1488">
        <f>C39*D39</f>
        <v/>
      </c>
      <c r="F39" s="1488" t="n">
        <v>30</v>
      </c>
      <c r="G39" s="1488">
        <f>F39*C39</f>
        <v/>
      </c>
      <c r="H39" s="1488" t="n">
        <v>10</v>
      </c>
      <c r="I39" s="1488">
        <f>H39*C39</f>
        <v/>
      </c>
      <c r="J39" s="1488" t="n">
        <v>6</v>
      </c>
      <c r="K39" s="1488">
        <f>J39*C39</f>
        <v/>
      </c>
      <c r="L39" s="1488" t="n">
        <v>30</v>
      </c>
      <c r="M39" s="1488">
        <f>L39*C39</f>
        <v/>
      </c>
      <c r="N39" s="1488" t="n">
        <v>16</v>
      </c>
      <c r="O39" s="1488">
        <f>N39*C39</f>
        <v/>
      </c>
      <c r="P39" s="1488" t="n">
        <v>16</v>
      </c>
      <c r="Q39" s="1488">
        <f>P39*C39</f>
        <v/>
      </c>
      <c r="R39" s="1488" t="n">
        <v>30</v>
      </c>
      <c r="S39" s="1488">
        <f>R39*C39</f>
        <v/>
      </c>
      <c r="T39" s="1488" t="n">
        <v>30</v>
      </c>
      <c r="U39" s="1488">
        <f>T39*C39</f>
        <v/>
      </c>
      <c r="V39" s="1488" t="n">
        <v>6</v>
      </c>
      <c r="W39" s="1488">
        <f>V39*C39</f>
        <v/>
      </c>
      <c r="X39" s="1488" t="n">
        <v>6</v>
      </c>
      <c r="Y39" s="1488">
        <f>X39*C39</f>
        <v/>
      </c>
      <c r="Z39" s="1488" t="n">
        <v>24</v>
      </c>
      <c r="AA39" s="1488">
        <f>Z39*C39</f>
        <v/>
      </c>
      <c r="AB39" s="1488" t="n"/>
    </row>
    <row r="40">
      <c r="A40" s="1488" t="inlineStr">
        <is>
          <t>LIMPA VEJA MULTIUSO ORIG LV500</t>
        </is>
      </c>
      <c r="B40" s="1488" t="inlineStr">
        <is>
          <t xml:space="preserve"> UND </t>
        </is>
      </c>
      <c r="C40" s="1488" t="n">
        <v>5.985</v>
      </c>
      <c r="D40" s="1488" t="n">
        <v>24</v>
      </c>
      <c r="E40" s="1488">
        <f>C40*D40</f>
        <v/>
      </c>
      <c r="F40" s="1488" t="n">
        <v>25</v>
      </c>
      <c r="G40" s="1488">
        <f>F40*C40</f>
        <v/>
      </c>
      <c r="H40" s="1488" t="n">
        <v>20</v>
      </c>
      <c r="I40" s="1488">
        <f>H40*C40</f>
        <v/>
      </c>
      <c r="J40" s="1488" t="n">
        <v>8</v>
      </c>
      <c r="K40" s="1488">
        <f>J40*C40</f>
        <v/>
      </c>
      <c r="L40" s="1488" t="n">
        <v>25</v>
      </c>
      <c r="M40" s="1488">
        <f>L40*C40</f>
        <v/>
      </c>
      <c r="N40" s="1488" t="n">
        <v>16</v>
      </c>
      <c r="O40" s="1488">
        <f>N40*C40</f>
        <v/>
      </c>
      <c r="P40" s="1488" t="n">
        <v>16</v>
      </c>
      <c r="Q40" s="1488">
        <f>P40*C40</f>
        <v/>
      </c>
      <c r="R40" s="1488" t="n">
        <v>25</v>
      </c>
      <c r="S40" s="1488">
        <f>R40*C40</f>
        <v/>
      </c>
      <c r="T40" s="1488" t="n">
        <v>25</v>
      </c>
      <c r="U40" s="1488">
        <f>T40*C40</f>
        <v/>
      </c>
      <c r="V40" s="1488" t="n">
        <v>8</v>
      </c>
      <c r="W40" s="1488">
        <f>V40*C40</f>
        <v/>
      </c>
      <c r="X40" s="1488" t="n">
        <v>8</v>
      </c>
      <c r="Y40" s="1488">
        <f>X40*C40</f>
        <v/>
      </c>
      <c r="Z40" s="1488" t="n">
        <v>24</v>
      </c>
      <c r="AA40" s="1488">
        <f>Z40*C40</f>
        <v/>
      </c>
      <c r="AB40" s="1488" t="n"/>
    </row>
    <row r="41">
      <c r="A41" s="1488" t="inlineStr">
        <is>
          <t xml:space="preserve"> LING.  MISTA FRICO </t>
        </is>
      </c>
      <c r="B41" s="1488" t="inlineStr">
        <is>
          <t xml:space="preserve"> KG </t>
        </is>
      </c>
      <c r="C41" s="1488" t="n">
        <v>21.21</v>
      </c>
      <c r="D41" s="1488" t="n">
        <v>6</v>
      </c>
      <c r="E41" s="1488">
        <f>C41*D41</f>
        <v/>
      </c>
      <c r="F41" s="1488" t="n">
        <v>12</v>
      </c>
      <c r="G41" s="1488">
        <f>F41*C41</f>
        <v/>
      </c>
      <c r="H41" s="1488" t="n">
        <v>10</v>
      </c>
      <c r="I41" s="1488">
        <f>H41*C41</f>
        <v/>
      </c>
      <c r="J41" s="1488" t="n">
        <v>10</v>
      </c>
      <c r="K41" s="1488">
        <f>J41*C41</f>
        <v/>
      </c>
      <c r="L41" s="1488" t="n">
        <v>12</v>
      </c>
      <c r="M41" s="1488">
        <f>L41*C41</f>
        <v/>
      </c>
      <c r="N41" s="1488" t="n">
        <v>12</v>
      </c>
      <c r="O41" s="1488">
        <f>N41*C41</f>
        <v/>
      </c>
      <c r="P41" s="1488" t="n">
        <v>12</v>
      </c>
      <c r="Q41" s="1488">
        <f>P41*C41</f>
        <v/>
      </c>
      <c r="R41" s="1488" t="n">
        <v>12</v>
      </c>
      <c r="S41" s="1488">
        <f>R41*C41</f>
        <v/>
      </c>
      <c r="T41" s="1488" t="n">
        <v>12</v>
      </c>
      <c r="U41" s="1488">
        <f>T41*C41</f>
        <v/>
      </c>
      <c r="V41" s="1488" t="n">
        <v>10</v>
      </c>
      <c r="W41" s="1488">
        <f>V41*C41</f>
        <v/>
      </c>
      <c r="X41" s="1488" t="n">
        <v>10</v>
      </c>
      <c r="Y41" s="1488">
        <f>X41*C41</f>
        <v/>
      </c>
      <c r="Z41" s="1488" t="n">
        <v>6</v>
      </c>
      <c r="AA41" s="1488">
        <f>Z41*C41</f>
        <v/>
      </c>
      <c r="AB41" s="1488" t="n"/>
    </row>
    <row r="42">
      <c r="A42" s="1488" t="inlineStr">
        <is>
          <t xml:space="preserve"> LING. FRICO CALABRESA DEF  </t>
        </is>
      </c>
      <c r="B42" s="1488" t="inlineStr">
        <is>
          <t xml:space="preserve"> KG </t>
        </is>
      </c>
      <c r="C42" s="1488" t="n">
        <v>26.92746</v>
      </c>
      <c r="D42" s="1488" t="n">
        <v>4</v>
      </c>
      <c r="E42" s="1488">
        <f>C42*D42</f>
        <v/>
      </c>
      <c r="F42" s="1488" t="n">
        <v>7</v>
      </c>
      <c r="G42" s="1488">
        <f>F42*C42</f>
        <v/>
      </c>
      <c r="H42" s="1488" t="n">
        <v>3</v>
      </c>
      <c r="I42" s="1488">
        <f>H42*C42</f>
        <v/>
      </c>
      <c r="J42" s="1488" t="n">
        <v>5</v>
      </c>
      <c r="K42" s="1488">
        <f>J42*C42</f>
        <v/>
      </c>
      <c r="L42" s="1488" t="n">
        <v>7</v>
      </c>
      <c r="M42" s="1488">
        <f>L42*C42</f>
        <v/>
      </c>
      <c r="N42" s="1488" t="n">
        <v>6</v>
      </c>
      <c r="O42" s="1488">
        <f>N42*C42</f>
        <v/>
      </c>
      <c r="P42" s="1488" t="n">
        <v>6</v>
      </c>
      <c r="Q42" s="1488">
        <f>P42*C42</f>
        <v/>
      </c>
      <c r="R42" s="1488" t="n">
        <v>7</v>
      </c>
      <c r="S42" s="1488">
        <f>R42*C42</f>
        <v/>
      </c>
      <c r="T42" s="1488" t="n">
        <v>7</v>
      </c>
      <c r="U42" s="1488">
        <f>T42*C42</f>
        <v/>
      </c>
      <c r="V42" s="1488" t="n">
        <v>5</v>
      </c>
      <c r="W42" s="1488">
        <f>V42*C42</f>
        <v/>
      </c>
      <c r="X42" s="1488" t="n">
        <v>5</v>
      </c>
      <c r="Y42" s="1488">
        <f>X42*C42</f>
        <v/>
      </c>
      <c r="Z42" s="1488" t="n">
        <v>3</v>
      </c>
      <c r="AA42" s="1488">
        <f>Z42*C42</f>
        <v/>
      </c>
      <c r="AB42" s="1488" t="n"/>
    </row>
    <row r="43">
      <c r="A43" s="1488" t="inlineStr">
        <is>
          <t xml:space="preserve"> LING. NOBRE MISTA </t>
        </is>
      </c>
      <c r="B43" s="1488" t="inlineStr">
        <is>
          <t xml:space="preserve"> KG </t>
        </is>
      </c>
      <c r="C43" s="1488" t="n">
        <v>22.407</v>
      </c>
      <c r="D43" s="1488" t="n">
        <v>10</v>
      </c>
      <c r="E43" s="1488">
        <f>C43*D43</f>
        <v/>
      </c>
      <c r="F43" s="1488" t="n">
        <v>7</v>
      </c>
      <c r="G43" s="1488">
        <f>F43*C43</f>
        <v/>
      </c>
      <c r="H43" s="1488" t="n">
        <v>8</v>
      </c>
      <c r="I43" s="1488">
        <f>H43*C43</f>
        <v/>
      </c>
      <c r="J43" s="1488" t="n">
        <v>4</v>
      </c>
      <c r="K43" s="1488">
        <f>J43*C43</f>
        <v/>
      </c>
      <c r="L43" s="1488" t="n">
        <v>7</v>
      </c>
      <c r="M43" s="1488">
        <f>L43*C43</f>
        <v/>
      </c>
      <c r="N43" s="1488" t="n">
        <v>5</v>
      </c>
      <c r="O43" s="1488">
        <f>N43*C43</f>
        <v/>
      </c>
      <c r="P43" s="1488" t="n">
        <v>5</v>
      </c>
      <c r="Q43" s="1488">
        <f>P43*C43</f>
        <v/>
      </c>
      <c r="R43" s="1488" t="n">
        <v>7</v>
      </c>
      <c r="S43" s="1488">
        <f>R43*C43</f>
        <v/>
      </c>
      <c r="T43" s="1488" t="n">
        <v>7</v>
      </c>
      <c r="U43" s="1488">
        <f>T43*C43</f>
        <v/>
      </c>
      <c r="V43" s="1488" t="n">
        <v>4</v>
      </c>
      <c r="W43" s="1488">
        <f>V43*C43</f>
        <v/>
      </c>
      <c r="X43" s="1488" t="n">
        <v>4</v>
      </c>
      <c r="Y43" s="1488">
        <f>X43*C43</f>
        <v/>
      </c>
      <c r="Z43" s="1488" t="n">
        <v>3</v>
      </c>
      <c r="AA43" s="1488">
        <f>Z43*C43</f>
        <v/>
      </c>
      <c r="AB43" s="1488" t="n"/>
    </row>
    <row r="44">
      <c r="A44" s="1488" t="inlineStr">
        <is>
          <t xml:space="preserve"> LINGUI AURORA FGO </t>
        </is>
      </c>
      <c r="B44" s="1488" t="inlineStr">
        <is>
          <t xml:space="preserve"> KG </t>
        </is>
      </c>
      <c r="C44" s="1488" t="n">
        <v>22.47</v>
      </c>
      <c r="D44" s="1488" t="n">
        <v>9</v>
      </c>
      <c r="E44" s="1488">
        <f>C44*D44</f>
        <v/>
      </c>
      <c r="F44" s="1488" t="n">
        <v>18</v>
      </c>
      <c r="G44" s="1488">
        <f>F44*C44</f>
        <v/>
      </c>
      <c r="H44" s="1488" t="n">
        <v>8</v>
      </c>
      <c r="I44" s="1488">
        <f>H44*C44</f>
        <v/>
      </c>
      <c r="J44" s="1488" t="n">
        <v>2</v>
      </c>
      <c r="K44" s="1488">
        <f>J44*C44</f>
        <v/>
      </c>
      <c r="L44" s="1488" t="n">
        <v>18</v>
      </c>
      <c r="M44" s="1488">
        <f>L44*C44</f>
        <v/>
      </c>
      <c r="N44" s="1488" t="n">
        <v>16</v>
      </c>
      <c r="O44" s="1488">
        <f>N44*C44</f>
        <v/>
      </c>
      <c r="P44" s="1488" t="n">
        <v>16</v>
      </c>
      <c r="Q44" s="1488">
        <f>P44*C44</f>
        <v/>
      </c>
      <c r="R44" s="1488" t="n">
        <v>18</v>
      </c>
      <c r="S44" s="1488">
        <f>R44*C44</f>
        <v/>
      </c>
      <c r="T44" s="1488" t="n">
        <v>18</v>
      </c>
      <c r="U44" s="1488">
        <f>T44*C44</f>
        <v/>
      </c>
      <c r="V44" s="1488" t="n">
        <v>2</v>
      </c>
      <c r="W44" s="1488">
        <f>V44*C44</f>
        <v/>
      </c>
      <c r="X44" s="1488" t="n">
        <v>2</v>
      </c>
      <c r="Y44" s="1488">
        <f>X44*C44</f>
        <v/>
      </c>
      <c r="Z44" s="1488" t="n">
        <v>8</v>
      </c>
      <c r="AA44" s="1488">
        <f>Z44*C44</f>
        <v/>
      </c>
      <c r="AB44" s="1488" t="n"/>
    </row>
    <row r="45">
      <c r="A45" s="1488" t="inlineStr">
        <is>
          <t xml:space="preserve"> LUVA NOBRE PLAST DESC 100x1 </t>
        </is>
      </c>
      <c r="B45" s="1488" t="inlineStr">
        <is>
          <t xml:space="preserve"> UND </t>
        </is>
      </c>
      <c r="C45" s="1488" t="n">
        <v>19.005</v>
      </c>
      <c r="D45" s="1488" t="n">
        <v>2</v>
      </c>
      <c r="E45" s="1488">
        <f>C45*D45</f>
        <v/>
      </c>
      <c r="F45" s="1488" t="n">
        <v>2</v>
      </c>
      <c r="G45" s="1488">
        <f>F45*C45</f>
        <v/>
      </c>
      <c r="H45" s="1488" t="n">
        <v>2</v>
      </c>
      <c r="I45" s="1488">
        <f>H45*C45</f>
        <v/>
      </c>
      <c r="J45" s="1488" t="n">
        <v>2</v>
      </c>
      <c r="K45" s="1488">
        <f>J45*C45</f>
        <v/>
      </c>
      <c r="L45" s="1488" t="n">
        <v>2</v>
      </c>
      <c r="M45" s="1488">
        <f>L45*C45</f>
        <v/>
      </c>
      <c r="N45" s="1488" t="n">
        <v>2</v>
      </c>
      <c r="O45" s="1488">
        <f>N45*C45</f>
        <v/>
      </c>
      <c r="P45" s="1488" t="n">
        <v>2</v>
      </c>
      <c r="Q45" s="1488">
        <f>P45*C45</f>
        <v/>
      </c>
      <c r="R45" s="1488" t="n">
        <v>2</v>
      </c>
      <c r="S45" s="1488">
        <f>R45*C45</f>
        <v/>
      </c>
      <c r="T45" s="1488" t="n">
        <v>2</v>
      </c>
      <c r="U45" s="1488">
        <f>T45*C45</f>
        <v/>
      </c>
      <c r="V45" s="1488" t="n">
        <v>2</v>
      </c>
      <c r="W45" s="1488">
        <f>V45*C45</f>
        <v/>
      </c>
      <c r="X45" s="1488" t="n">
        <v>2</v>
      </c>
      <c r="Y45" s="1488">
        <f>X45*C45</f>
        <v/>
      </c>
      <c r="Z45" s="1488" t="n">
        <v>1</v>
      </c>
      <c r="AA45" s="1488">
        <f>Z45*C45</f>
        <v/>
      </c>
      <c r="AB45" s="1488" t="n"/>
    </row>
    <row r="46">
      <c r="A46" s="1488" t="inlineStr">
        <is>
          <t xml:space="preserve"> MAC PAULISTA SEM ESPAGUETE 500G </t>
        </is>
      </c>
      <c r="B46" s="1488" t="inlineStr">
        <is>
          <t xml:space="preserve"> UND </t>
        </is>
      </c>
      <c r="C46" s="1488" t="n">
        <v>3.003</v>
      </c>
      <c r="D46" s="1488" t="n">
        <v>20</v>
      </c>
      <c r="E46" s="1488">
        <f>C46*D46</f>
        <v/>
      </c>
      <c r="F46" s="1488" t="n">
        <v>15</v>
      </c>
      <c r="G46" s="1488">
        <f>F46*C46</f>
        <v/>
      </c>
      <c r="H46" s="1488" t="n">
        <v>14</v>
      </c>
      <c r="I46" s="1488">
        <f>H46*C46</f>
        <v/>
      </c>
      <c r="J46" s="1488" t="n">
        <v>20</v>
      </c>
      <c r="K46" s="1488">
        <f>J46*C46</f>
        <v/>
      </c>
      <c r="L46" s="1488" t="n">
        <v>15</v>
      </c>
      <c r="M46" s="1488">
        <f>L46*C46</f>
        <v/>
      </c>
      <c r="N46" s="1488" t="n">
        <v>16</v>
      </c>
      <c r="O46" s="1488">
        <f>N46*C46</f>
        <v/>
      </c>
      <c r="P46" s="1488" t="n">
        <v>16</v>
      </c>
      <c r="Q46" s="1488">
        <f>P46*C46</f>
        <v/>
      </c>
      <c r="R46" s="1488" t="n">
        <v>15</v>
      </c>
      <c r="S46" s="1488">
        <f>R46*C46</f>
        <v/>
      </c>
      <c r="T46" s="1488" t="n">
        <v>15</v>
      </c>
      <c r="U46" s="1488">
        <f>T46*C46</f>
        <v/>
      </c>
      <c r="V46" s="1488" t="n">
        <v>20</v>
      </c>
      <c r="W46" s="1488">
        <f>V46*C46</f>
        <v/>
      </c>
      <c r="X46" s="1488" t="n">
        <v>20</v>
      </c>
      <c r="Y46" s="1488">
        <f>X46*C46</f>
        <v/>
      </c>
      <c r="Z46" s="1488" t="n">
        <v>11</v>
      </c>
      <c r="AA46" s="1488">
        <f>Z46*C46</f>
        <v/>
      </c>
      <c r="AB46" s="1488" t="n"/>
    </row>
    <row r="47">
      <c r="A47" s="1488" t="inlineStr">
        <is>
          <t xml:space="preserve"> MASSA LASANHA DONA BENTA </t>
        </is>
      </c>
      <c r="B47" s="1488" t="inlineStr">
        <is>
          <t xml:space="preserve"> UND </t>
        </is>
      </c>
      <c r="C47" s="1488" t="n">
        <v>7.622999999999999</v>
      </c>
      <c r="D47" s="1488" t="n">
        <v>4</v>
      </c>
      <c r="E47" s="1488">
        <f>C47*D47</f>
        <v/>
      </c>
      <c r="F47" s="1488" t="n">
        <v>6</v>
      </c>
      <c r="G47" s="1488">
        <f>F47*C47</f>
        <v/>
      </c>
      <c r="H47" s="1488" t="n">
        <v>4</v>
      </c>
      <c r="I47" s="1488">
        <f>H47*C47</f>
        <v/>
      </c>
      <c r="J47" s="1488" t="n">
        <v>5</v>
      </c>
      <c r="K47" s="1488">
        <f>J47*C47</f>
        <v/>
      </c>
      <c r="L47" s="1488" t="n">
        <v>6</v>
      </c>
      <c r="M47" s="1488">
        <f>L47*C47</f>
        <v/>
      </c>
      <c r="N47" s="1488" t="n">
        <v>5</v>
      </c>
      <c r="O47" s="1488">
        <f>N47*C47</f>
        <v/>
      </c>
      <c r="P47" s="1488" t="n">
        <v>5</v>
      </c>
      <c r="Q47" s="1488">
        <f>P47*C47</f>
        <v/>
      </c>
      <c r="R47" s="1488" t="n">
        <v>6</v>
      </c>
      <c r="S47" s="1488">
        <f>R47*C47</f>
        <v/>
      </c>
      <c r="T47" s="1488" t="n">
        <v>6</v>
      </c>
      <c r="U47" s="1488">
        <f>T47*C47</f>
        <v/>
      </c>
      <c r="V47" s="1488" t="n">
        <v>5</v>
      </c>
      <c r="W47" s="1488">
        <f>V47*C47</f>
        <v/>
      </c>
      <c r="X47" s="1488" t="n">
        <v>5</v>
      </c>
      <c r="Y47" s="1488">
        <f>X47*C47</f>
        <v/>
      </c>
      <c r="Z47" s="1488" t="n">
        <v>4</v>
      </c>
      <c r="AA47" s="1488">
        <f>Z47*C47</f>
        <v/>
      </c>
      <c r="AB47" s="1488" t="n"/>
    </row>
    <row r="48">
      <c r="A48" s="1488" t="inlineStr">
        <is>
          <t xml:space="preserve"> MILHO VERDE FUGINI LT170G </t>
        </is>
      </c>
      <c r="B48" s="1488" t="inlineStr">
        <is>
          <t xml:space="preserve"> UND </t>
        </is>
      </c>
      <c r="C48" s="1488" t="n">
        <v>3.801</v>
      </c>
      <c r="D48" s="1488" t="n">
        <v>6</v>
      </c>
      <c r="E48" s="1488">
        <f>C48*D48</f>
        <v/>
      </c>
      <c r="F48" s="1488" t="n">
        <v>6</v>
      </c>
      <c r="G48" s="1488">
        <f>F48*C48</f>
        <v/>
      </c>
      <c r="H48" s="1488" t="n">
        <v>6</v>
      </c>
      <c r="I48" s="1488">
        <f>H48*C48</f>
        <v/>
      </c>
      <c r="J48" s="1488" t="n">
        <v>6</v>
      </c>
      <c r="K48" s="1488">
        <f>J48*C48</f>
        <v/>
      </c>
      <c r="L48" s="1488" t="n">
        <v>6</v>
      </c>
      <c r="M48" s="1488">
        <f>L48*C48</f>
        <v/>
      </c>
      <c r="N48" s="1488" t="n">
        <v>8</v>
      </c>
      <c r="O48" s="1488">
        <f>N48*C48</f>
        <v/>
      </c>
      <c r="P48" s="1488" t="n">
        <v>8</v>
      </c>
      <c r="Q48" s="1488">
        <f>P48*C48</f>
        <v/>
      </c>
      <c r="R48" s="1488" t="n">
        <v>6</v>
      </c>
      <c r="S48" s="1488">
        <f>R48*C48</f>
        <v/>
      </c>
      <c r="T48" s="1488" t="n">
        <v>6</v>
      </c>
      <c r="U48" s="1488">
        <f>T48*C48</f>
        <v/>
      </c>
      <c r="V48" s="1488" t="n">
        <v>6</v>
      </c>
      <c r="W48" s="1488">
        <f>V48*C48</f>
        <v/>
      </c>
      <c r="X48" s="1488" t="n">
        <v>6</v>
      </c>
      <c r="Y48" s="1488">
        <f>X48*C48</f>
        <v/>
      </c>
      <c r="Z48" s="1488" t="n">
        <v>6</v>
      </c>
      <c r="AA48" s="1488">
        <f>Z48*C48</f>
        <v/>
      </c>
      <c r="AB48" s="1488" t="n"/>
    </row>
    <row r="49">
      <c r="A49" s="1488" t="inlineStr">
        <is>
          <t xml:space="preserve"> MORT. FRIATO TUBULAR FGO </t>
        </is>
      </c>
      <c r="B49" s="1488" t="inlineStr">
        <is>
          <t xml:space="preserve"> UND </t>
        </is>
      </c>
      <c r="C49" s="1488" t="n">
        <v>23.17014</v>
      </c>
      <c r="D49" s="1488" t="n">
        <v>4</v>
      </c>
      <c r="E49" s="1488">
        <f>C49*D49</f>
        <v/>
      </c>
      <c r="F49" s="1488" t="n">
        <v>5</v>
      </c>
      <c r="G49" s="1488">
        <f>F49*C49</f>
        <v/>
      </c>
      <c r="H49" s="1488" t="n">
        <v>4</v>
      </c>
      <c r="I49" s="1488">
        <f>H49*C49</f>
        <v/>
      </c>
      <c r="J49" s="1488" t="n">
        <v>5</v>
      </c>
      <c r="K49" s="1488">
        <f>J49*C49</f>
        <v/>
      </c>
      <c r="L49" s="1488" t="n">
        <v>5</v>
      </c>
      <c r="M49" s="1488">
        <f>L49*C49</f>
        <v/>
      </c>
      <c r="N49" s="1488" t="n">
        <v>5</v>
      </c>
      <c r="O49" s="1488">
        <f>N49*C49</f>
        <v/>
      </c>
      <c r="P49" s="1488" t="n">
        <v>5</v>
      </c>
      <c r="Q49" s="1488">
        <f>P49*C49</f>
        <v/>
      </c>
      <c r="R49" s="1488" t="n">
        <v>5</v>
      </c>
      <c r="S49" s="1488">
        <f>R49*C49</f>
        <v/>
      </c>
      <c r="T49" s="1488" t="n">
        <v>5</v>
      </c>
      <c r="U49" s="1488">
        <f>T49*C49</f>
        <v/>
      </c>
      <c r="V49" s="1488" t="n">
        <v>5</v>
      </c>
      <c r="W49" s="1488">
        <f>V49*C49</f>
        <v/>
      </c>
      <c r="X49" s="1488" t="n">
        <v>5</v>
      </c>
      <c r="Y49" s="1488">
        <f>X49*C49</f>
        <v/>
      </c>
      <c r="Z49" s="1488" t="n">
        <v>4</v>
      </c>
      <c r="AA49" s="1488">
        <f>Z49*C49</f>
        <v/>
      </c>
      <c r="AB49" s="1488" t="n"/>
    </row>
    <row r="50">
      <c r="A50" s="1488" t="inlineStr">
        <is>
          <t xml:space="preserve"> MORT. SAUDALI SUINA </t>
        </is>
      </c>
      <c r="B50" s="1488" t="inlineStr">
        <is>
          <t xml:space="preserve"> KG </t>
        </is>
      </c>
      <c r="C50" s="1488" t="n">
        <v>9.439500000000001</v>
      </c>
      <c r="D50" s="1488" t="n">
        <v>2</v>
      </c>
      <c r="E50" s="1488">
        <f>C50*D50</f>
        <v/>
      </c>
      <c r="F50" s="1488" t="n">
        <v>4</v>
      </c>
      <c r="G50" s="1488">
        <f>F50*C50</f>
        <v/>
      </c>
      <c r="H50" s="1488" t="n">
        <v>2</v>
      </c>
      <c r="I50" s="1488">
        <f>H50*C50</f>
        <v/>
      </c>
      <c r="J50" s="1488" t="n">
        <v>2</v>
      </c>
      <c r="K50" s="1488">
        <f>J50*C50</f>
        <v/>
      </c>
      <c r="L50" s="1488" t="n">
        <v>4</v>
      </c>
      <c r="M50" s="1488">
        <f>L50*C50</f>
        <v/>
      </c>
      <c r="N50" s="1488" t="n">
        <v>15</v>
      </c>
      <c r="O50" s="1488">
        <f>N50*C50</f>
        <v/>
      </c>
      <c r="P50" s="1488" t="n">
        <v>15</v>
      </c>
      <c r="Q50" s="1488">
        <f>P50*C50</f>
        <v/>
      </c>
      <c r="R50" s="1488" t="n">
        <v>4</v>
      </c>
      <c r="S50" s="1488">
        <f>R50*C50</f>
        <v/>
      </c>
      <c r="T50" s="1488" t="n">
        <v>4</v>
      </c>
      <c r="U50" s="1488">
        <f>T50*C50</f>
        <v/>
      </c>
      <c r="V50" s="1488" t="n">
        <v>2</v>
      </c>
      <c r="W50" s="1488">
        <f>V50*C50</f>
        <v/>
      </c>
      <c r="X50" s="1488" t="n">
        <v>2</v>
      </c>
      <c r="Y50" s="1488">
        <f>X50*C50</f>
        <v/>
      </c>
      <c r="Z50" s="1488" t="n">
        <v>2</v>
      </c>
      <c r="AA50" s="1488">
        <f>Z50*C50</f>
        <v/>
      </c>
      <c r="AB50" s="1488" t="n"/>
    </row>
    <row r="51">
      <c r="A51" s="1488" t="inlineStr">
        <is>
          <t xml:space="preserve"> OLEO SOJA SOYA PET 900 ML </t>
        </is>
      </c>
      <c r="B51" s="1488" t="inlineStr">
        <is>
          <t xml:space="preserve"> UND </t>
        </is>
      </c>
      <c r="C51" s="1488" t="n">
        <v>7.875</v>
      </c>
      <c r="D51" s="1488" t="n">
        <v>30</v>
      </c>
      <c r="E51" s="1488">
        <f>C51*D51</f>
        <v/>
      </c>
      <c r="F51" s="1488" t="n">
        <v>35</v>
      </c>
      <c r="G51" s="1488">
        <f>F51*C51</f>
        <v/>
      </c>
      <c r="H51" s="1488" t="n">
        <v>25</v>
      </c>
      <c r="I51" s="1488">
        <f>H51*C51</f>
        <v/>
      </c>
      <c r="J51" s="1488" t="n">
        <v>16</v>
      </c>
      <c r="K51" s="1488">
        <f>J51*C51</f>
        <v/>
      </c>
      <c r="L51" s="1488" t="n">
        <v>35</v>
      </c>
      <c r="M51" s="1488">
        <f>L51*C51</f>
        <v/>
      </c>
      <c r="N51" s="1488" t="n">
        <v>35</v>
      </c>
      <c r="O51" s="1488">
        <f>N51*C51</f>
        <v/>
      </c>
      <c r="P51" s="1488" t="n">
        <v>35</v>
      </c>
      <c r="Q51" s="1488">
        <f>P51*C51</f>
        <v/>
      </c>
      <c r="R51" s="1488" t="n">
        <v>35</v>
      </c>
      <c r="S51" s="1488">
        <f>R51*C51</f>
        <v/>
      </c>
      <c r="T51" s="1488" t="n">
        <v>35</v>
      </c>
      <c r="U51" s="1488">
        <f>T51*C51</f>
        <v/>
      </c>
      <c r="V51" s="1488" t="n">
        <v>16</v>
      </c>
      <c r="W51" s="1488">
        <f>V51*C51</f>
        <v/>
      </c>
      <c r="X51" s="1488" t="n">
        <v>16</v>
      </c>
      <c r="Y51" s="1488">
        <f>X51*C51</f>
        <v/>
      </c>
      <c r="Z51" s="1488" t="n">
        <v>20</v>
      </c>
      <c r="AA51" s="1488">
        <f>Z51*C51</f>
        <v/>
      </c>
      <c r="AB51" s="1488" t="n"/>
    </row>
    <row r="52">
      <c r="A52" s="1488" t="inlineStr">
        <is>
          <t xml:space="preserve"> OVOS VERMELHO </t>
        </is>
      </c>
      <c r="B52" s="1488" t="inlineStr">
        <is>
          <t xml:space="preserve"> UND </t>
        </is>
      </c>
      <c r="C52" s="1488" t="n">
        <v>15.204</v>
      </c>
      <c r="D52" s="1488" t="n">
        <v>10</v>
      </c>
      <c r="E52" s="1488">
        <f>C52*D52</f>
        <v/>
      </c>
      <c r="F52" s="1488" t="n">
        <v>12</v>
      </c>
      <c r="G52" s="1488">
        <f>F52*C52</f>
        <v/>
      </c>
      <c r="H52" s="1488" t="n">
        <v>8</v>
      </c>
      <c r="I52" s="1488">
        <f>H52*C52</f>
        <v/>
      </c>
      <c r="J52" s="1488" t="n">
        <v>10</v>
      </c>
      <c r="K52" s="1488">
        <f>J52*C52</f>
        <v/>
      </c>
      <c r="L52" s="1488" t="n">
        <v>12</v>
      </c>
      <c r="M52" s="1488">
        <f>L52*C52</f>
        <v/>
      </c>
      <c r="N52" s="1488" t="n">
        <v>8</v>
      </c>
      <c r="O52" s="1488">
        <f>N52*C52</f>
        <v/>
      </c>
      <c r="P52" s="1488" t="n">
        <v>8</v>
      </c>
      <c r="Q52" s="1488">
        <f>P52*C52</f>
        <v/>
      </c>
      <c r="R52" s="1488" t="n">
        <v>12</v>
      </c>
      <c r="S52" s="1488">
        <f>R52*C52</f>
        <v/>
      </c>
      <c r="T52" s="1488" t="n">
        <v>12</v>
      </c>
      <c r="U52" s="1488">
        <f>T52*C52</f>
        <v/>
      </c>
      <c r="V52" s="1488" t="n">
        <v>10</v>
      </c>
      <c r="W52" s="1488">
        <f>V52*C52</f>
        <v/>
      </c>
      <c r="X52" s="1488" t="n">
        <v>10</v>
      </c>
      <c r="Y52" s="1488">
        <f>X52*C52</f>
        <v/>
      </c>
      <c r="Z52" s="1488" t="n">
        <v>7</v>
      </c>
      <c r="AA52" s="1488">
        <f>Z52*C52</f>
        <v/>
      </c>
      <c r="AB52" s="1488" t="n"/>
    </row>
    <row r="53">
      <c r="A53" s="1488" t="inlineStr">
        <is>
          <t xml:space="preserve"> PAPEL HIGIEN. FAMILIAR SOFT PERF. 30M </t>
        </is>
      </c>
      <c r="B53" s="1488" t="inlineStr">
        <is>
          <t xml:space="preserve"> UND </t>
        </is>
      </c>
      <c r="C53" s="1488" t="n">
        <v>16.695</v>
      </c>
      <c r="D53" s="1488" t="n">
        <v>8</v>
      </c>
      <c r="E53" s="1488">
        <f>C53*D53</f>
        <v/>
      </c>
      <c r="F53" s="1488" t="n">
        <v>20</v>
      </c>
      <c r="G53" s="1488">
        <f>F53*C53</f>
        <v/>
      </c>
      <c r="H53" s="1488" t="n">
        <v>20</v>
      </c>
      <c r="I53" s="1488">
        <f>H53*C53</f>
        <v/>
      </c>
      <c r="J53" s="1488" t="n">
        <v>8</v>
      </c>
      <c r="K53" s="1488">
        <f>J53*C53</f>
        <v/>
      </c>
      <c r="L53" s="1488" t="n">
        <v>20</v>
      </c>
      <c r="M53" s="1488">
        <f>L53*C53</f>
        <v/>
      </c>
      <c r="N53" s="1488" t="n">
        <v>25</v>
      </c>
      <c r="O53" s="1488">
        <f>N53*C53</f>
        <v/>
      </c>
      <c r="P53" s="1488" t="n">
        <v>25</v>
      </c>
      <c r="Q53" s="1488">
        <f>P53*C53</f>
        <v/>
      </c>
      <c r="R53" s="1488" t="n">
        <v>20</v>
      </c>
      <c r="S53" s="1488">
        <f>R53*C53</f>
        <v/>
      </c>
      <c r="T53" s="1488" t="n">
        <v>20</v>
      </c>
      <c r="U53" s="1488">
        <f>T53*C53</f>
        <v/>
      </c>
      <c r="V53" s="1488" t="n">
        <v>8</v>
      </c>
      <c r="W53" s="1488">
        <f>V53*C53</f>
        <v/>
      </c>
      <c r="X53" s="1488" t="n">
        <v>8</v>
      </c>
      <c r="Y53" s="1488">
        <f>X53*C53</f>
        <v/>
      </c>
      <c r="Z53" s="1488" t="n">
        <v>16</v>
      </c>
      <c r="AA53" s="1488">
        <f>Z53*C53</f>
        <v/>
      </c>
      <c r="AB53" s="1488" t="n"/>
    </row>
    <row r="54">
      <c r="A54" s="1488" t="inlineStr">
        <is>
          <t xml:space="preserve"> PERNEIL SUINA C/PELE  </t>
        </is>
      </c>
      <c r="B54" s="1488" t="inlineStr">
        <is>
          <t xml:space="preserve"> KG </t>
        </is>
      </c>
      <c r="C54" s="1488" t="n">
        <v>32.77218</v>
      </c>
      <c r="D54" s="1488" t="n">
        <v>31</v>
      </c>
      <c r="E54" s="1488">
        <f>C54*D54</f>
        <v/>
      </c>
      <c r="F54" s="1488" t="n">
        <v>33</v>
      </c>
      <c r="G54" s="1488">
        <f>F54*C54</f>
        <v/>
      </c>
      <c r="H54" s="1488" t="n">
        <v>25</v>
      </c>
      <c r="I54" s="1488">
        <f>H54*C54</f>
        <v/>
      </c>
      <c r="J54" s="1488" t="n">
        <v>31</v>
      </c>
      <c r="K54" s="1488">
        <f>J54*C54</f>
        <v/>
      </c>
      <c r="L54" s="1488" t="n">
        <v>33</v>
      </c>
      <c r="M54" s="1488">
        <f>L54*C54</f>
        <v/>
      </c>
      <c r="N54" s="1488" t="n">
        <v>30</v>
      </c>
      <c r="O54" s="1488">
        <f>N54*C54</f>
        <v/>
      </c>
      <c r="P54" s="1488" t="n">
        <v>30</v>
      </c>
      <c r="Q54" s="1488">
        <f>P54*C54</f>
        <v/>
      </c>
      <c r="R54" s="1488" t="n">
        <v>33</v>
      </c>
      <c r="S54" s="1488">
        <f>R54*C54</f>
        <v/>
      </c>
      <c r="T54" s="1488" t="n">
        <v>33</v>
      </c>
      <c r="U54" s="1488">
        <f>T54*C54</f>
        <v/>
      </c>
      <c r="V54" s="1488" t="n">
        <v>31</v>
      </c>
      <c r="W54" s="1488">
        <f>V54*C54</f>
        <v/>
      </c>
      <c r="X54" s="1488" t="n">
        <v>31</v>
      </c>
      <c r="Y54" s="1488">
        <f>X54*C54</f>
        <v/>
      </c>
      <c r="Z54" s="1488" t="n">
        <v>30</v>
      </c>
      <c r="AA54" s="1488">
        <f>Z54*C54</f>
        <v/>
      </c>
      <c r="AB54" s="1488" t="n"/>
    </row>
    <row r="55">
      <c r="A55" s="1488" t="inlineStr">
        <is>
          <t xml:space="preserve"> POLVILHO MATUTO DOCE 1KG </t>
        </is>
      </c>
      <c r="B55" s="1488" t="inlineStr">
        <is>
          <t xml:space="preserve"> UND </t>
        </is>
      </c>
      <c r="C55" s="1488" t="n">
        <v>13.97067</v>
      </c>
      <c r="D55" s="1488" t="n">
        <v>4</v>
      </c>
      <c r="E55" s="1488">
        <f>C55*D55</f>
        <v/>
      </c>
      <c r="F55" s="1488" t="n">
        <v>8</v>
      </c>
      <c r="G55" s="1488">
        <f>F55*C55</f>
        <v/>
      </c>
      <c r="H55" s="1488" t="n">
        <v>4</v>
      </c>
      <c r="I55" s="1488">
        <f>H55*C55</f>
        <v/>
      </c>
      <c r="J55" s="1488" t="n">
        <v>4</v>
      </c>
      <c r="K55" s="1488">
        <f>J55*C55</f>
        <v/>
      </c>
      <c r="L55" s="1488" t="n">
        <v>8</v>
      </c>
      <c r="M55" s="1488">
        <f>L55*C55</f>
        <v/>
      </c>
      <c r="N55" s="1488" t="n">
        <v>5</v>
      </c>
      <c r="O55" s="1488">
        <f>N55*C55</f>
        <v/>
      </c>
      <c r="P55" s="1488" t="n">
        <v>5</v>
      </c>
      <c r="Q55" s="1488">
        <f>P55*C55</f>
        <v/>
      </c>
      <c r="R55" s="1488" t="n">
        <v>8</v>
      </c>
      <c r="S55" s="1488">
        <f>R55*C55</f>
        <v/>
      </c>
      <c r="T55" s="1488" t="n">
        <v>8</v>
      </c>
      <c r="U55" s="1488">
        <f>T55*C55</f>
        <v/>
      </c>
      <c r="V55" s="1488" t="n">
        <v>4</v>
      </c>
      <c r="W55" s="1488">
        <f>V55*C55</f>
        <v/>
      </c>
      <c r="X55" s="1488" t="n">
        <v>4</v>
      </c>
      <c r="Y55" s="1488">
        <f>X55*C55</f>
        <v/>
      </c>
      <c r="Z55" s="1488" t="n">
        <v>4</v>
      </c>
      <c r="AA55" s="1488">
        <f>Z55*C55</f>
        <v/>
      </c>
      <c r="AB55" s="1488" t="n"/>
    </row>
    <row r="56">
      <c r="A56" s="1488" t="inlineStr">
        <is>
          <t xml:space="preserve"> PRESUNTO PERDIGAO MAGRO TRAD </t>
        </is>
      </c>
      <c r="B56" s="1488" t="inlineStr">
        <is>
          <t xml:space="preserve"> KG </t>
        </is>
      </c>
      <c r="C56" s="1488" t="n">
        <v>23.1</v>
      </c>
      <c r="D56" s="1488" t="n">
        <v>5</v>
      </c>
      <c r="E56" s="1488">
        <f>C56*D56</f>
        <v/>
      </c>
      <c r="F56" s="1488" t="n">
        <v>7</v>
      </c>
      <c r="G56" s="1488">
        <f>F56*C56</f>
        <v/>
      </c>
      <c r="H56" s="1488" t="n">
        <v>4</v>
      </c>
      <c r="I56" s="1488">
        <f>H56*C56</f>
        <v/>
      </c>
      <c r="J56" s="1488" t="n">
        <v>5</v>
      </c>
      <c r="K56" s="1488">
        <f>J56*C56</f>
        <v/>
      </c>
      <c r="L56" s="1488" t="n">
        <v>7</v>
      </c>
      <c r="M56" s="1488">
        <f>L56*C56</f>
        <v/>
      </c>
      <c r="N56" s="1488" t="n">
        <v>6</v>
      </c>
      <c r="O56" s="1488">
        <f>N56*C56</f>
        <v/>
      </c>
      <c r="P56" s="1488" t="n">
        <v>6</v>
      </c>
      <c r="Q56" s="1488">
        <f>P56*C56</f>
        <v/>
      </c>
      <c r="R56" s="1488" t="n">
        <v>7</v>
      </c>
      <c r="S56" s="1488">
        <f>R56*C56</f>
        <v/>
      </c>
      <c r="T56" s="1488" t="n">
        <v>7</v>
      </c>
      <c r="U56" s="1488">
        <f>T56*C56</f>
        <v/>
      </c>
      <c r="V56" s="1488" t="n">
        <v>5</v>
      </c>
      <c r="W56" s="1488">
        <f>V56*C56</f>
        <v/>
      </c>
      <c r="X56" s="1488" t="n">
        <v>5</v>
      </c>
      <c r="Y56" s="1488">
        <f>X56*C56</f>
        <v/>
      </c>
      <c r="Z56" s="1488" t="n">
        <v>4</v>
      </c>
      <c r="AA56" s="1488">
        <f>Z56*C56</f>
        <v/>
      </c>
      <c r="AB56" s="1488" t="n"/>
    </row>
    <row r="57">
      <c r="A57" s="1488" t="inlineStr">
        <is>
          <t xml:space="preserve"> QUEIJO MUSSARELA </t>
        </is>
      </c>
      <c r="B57" s="1488" t="inlineStr">
        <is>
          <t xml:space="preserve"> KG </t>
        </is>
      </c>
      <c r="C57" s="1488" t="n">
        <v>48.3</v>
      </c>
      <c r="D57" s="1488" t="n">
        <v>8</v>
      </c>
      <c r="E57" s="1488">
        <f>C57*D57</f>
        <v/>
      </c>
      <c r="F57" s="1488" t="n">
        <v>5</v>
      </c>
      <c r="G57" s="1488">
        <f>F57*C57</f>
        <v/>
      </c>
      <c r="H57" s="1488" t="n">
        <v>5</v>
      </c>
      <c r="I57" s="1488">
        <f>H57*C57</f>
        <v/>
      </c>
      <c r="J57" s="1488" t="n">
        <v>8</v>
      </c>
      <c r="K57" s="1488">
        <f>J57*C57</f>
        <v/>
      </c>
      <c r="L57" s="1488" t="n">
        <v>5</v>
      </c>
      <c r="M57" s="1488">
        <f>L57*C57</f>
        <v/>
      </c>
      <c r="N57" s="1488" t="n">
        <v>10</v>
      </c>
      <c r="O57" s="1488">
        <f>N57*C57</f>
        <v/>
      </c>
      <c r="P57" s="1488" t="n">
        <v>10</v>
      </c>
      <c r="Q57" s="1488">
        <f>P57*C57</f>
        <v/>
      </c>
      <c r="R57" s="1488" t="n">
        <v>5</v>
      </c>
      <c r="S57" s="1488">
        <f>R57*C57</f>
        <v/>
      </c>
      <c r="T57" s="1488" t="n">
        <v>5</v>
      </c>
      <c r="U57" s="1488">
        <f>T57*C57</f>
        <v/>
      </c>
      <c r="V57" s="1488" t="n">
        <v>8</v>
      </c>
      <c r="W57" s="1488">
        <f>V57*C57</f>
        <v/>
      </c>
      <c r="X57" s="1488" t="n">
        <v>8</v>
      </c>
      <c r="Y57" s="1488">
        <f>X57*C57</f>
        <v/>
      </c>
      <c r="Z57" s="1488" t="n">
        <v>5</v>
      </c>
      <c r="AA57" s="1488">
        <f>Z57*C57</f>
        <v/>
      </c>
      <c r="AB57" s="1488" t="n"/>
    </row>
    <row r="58">
      <c r="A58" s="1488" t="inlineStr">
        <is>
          <t xml:space="preserve"> RAPADURA SANTANA 900G </t>
        </is>
      </c>
      <c r="B58" s="1488" t="inlineStr">
        <is>
          <t xml:space="preserve"> UND </t>
        </is>
      </c>
      <c r="C58" s="1488" t="n">
        <v>26.25</v>
      </c>
      <c r="D58" s="1488" t="n">
        <v>4</v>
      </c>
      <c r="E58" s="1488">
        <f>C58*D58</f>
        <v/>
      </c>
      <c r="F58" s="1488" t="n">
        <v>0</v>
      </c>
      <c r="G58" s="1488">
        <f>F58*C58</f>
        <v/>
      </c>
      <c r="H58" s="1488" t="n">
        <v>0</v>
      </c>
      <c r="I58" s="1488">
        <f>H58*C58</f>
        <v/>
      </c>
      <c r="J58" s="1488" t="n">
        <v>0</v>
      </c>
      <c r="K58" s="1488">
        <f>J58*C58</f>
        <v/>
      </c>
      <c r="L58" s="1488" t="n">
        <v>0</v>
      </c>
      <c r="M58" s="1488">
        <f>L58*C58</f>
        <v/>
      </c>
      <c r="N58" s="1488" t="n">
        <v>0</v>
      </c>
      <c r="O58" s="1488">
        <f>N58*C58</f>
        <v/>
      </c>
      <c r="P58" s="1488" t="n">
        <v>0</v>
      </c>
      <c r="Q58" s="1488">
        <f>P58*C58</f>
        <v/>
      </c>
      <c r="R58" s="1488" t="n">
        <v>0</v>
      </c>
      <c r="S58" s="1488">
        <f>R58*C58</f>
        <v/>
      </c>
      <c r="T58" s="1488" t="n">
        <v>0</v>
      </c>
      <c r="U58" s="1488">
        <f>T58*C58</f>
        <v/>
      </c>
      <c r="V58" s="1488" t="n">
        <v>0</v>
      </c>
      <c r="W58" s="1488">
        <f>V58*C58</f>
        <v/>
      </c>
      <c r="X58" s="1488" t="n">
        <v>0</v>
      </c>
      <c r="Y58" s="1488">
        <f>X58*C58</f>
        <v/>
      </c>
      <c r="Z58" s="1488" t="n">
        <v>3</v>
      </c>
      <c r="AA58" s="1488">
        <f>Z58*C58</f>
        <v/>
      </c>
      <c r="AB58" s="1488" t="n"/>
    </row>
    <row r="59">
      <c r="A59" s="1488" t="inlineStr">
        <is>
          <t xml:space="preserve"> SACO DE LIXO VASNORTE 100L </t>
        </is>
      </c>
      <c r="B59" s="1488" t="inlineStr">
        <is>
          <t xml:space="preserve"> UND </t>
        </is>
      </c>
      <c r="C59" s="1488" t="n">
        <v>7.14</v>
      </c>
      <c r="D59" s="1488" t="n">
        <v>4</v>
      </c>
      <c r="E59" s="1488">
        <f>C59*D59</f>
        <v/>
      </c>
      <c r="F59" s="1488" t="n">
        <v>7</v>
      </c>
      <c r="G59" s="1488">
        <f>F59*C59</f>
        <v/>
      </c>
      <c r="H59" s="1488" t="n">
        <v>3</v>
      </c>
      <c r="I59" s="1488">
        <f>H59*C59</f>
        <v/>
      </c>
      <c r="J59" s="1488" t="n">
        <v>4</v>
      </c>
      <c r="K59" s="1488">
        <f>J59*C59</f>
        <v/>
      </c>
      <c r="L59" s="1488" t="n">
        <v>7</v>
      </c>
      <c r="M59" s="1488">
        <f>L59*C59</f>
        <v/>
      </c>
      <c r="N59" s="1488" t="n">
        <v>6</v>
      </c>
      <c r="O59" s="1488">
        <f>N59*C59</f>
        <v/>
      </c>
      <c r="P59" s="1488" t="n">
        <v>6</v>
      </c>
      <c r="Q59" s="1488">
        <f>P59*C59</f>
        <v/>
      </c>
      <c r="R59" s="1488" t="n">
        <v>7</v>
      </c>
      <c r="S59" s="1488">
        <f>R59*C59</f>
        <v/>
      </c>
      <c r="T59" s="1488" t="n">
        <v>7</v>
      </c>
      <c r="U59" s="1488">
        <f>T59*C59</f>
        <v/>
      </c>
      <c r="V59" s="1488" t="n">
        <v>4</v>
      </c>
      <c r="W59" s="1488">
        <f>V59*C59</f>
        <v/>
      </c>
      <c r="X59" s="1488" t="n">
        <v>4</v>
      </c>
      <c r="Y59" s="1488">
        <f>X59*C59</f>
        <v/>
      </c>
      <c r="Z59" s="1488" t="n">
        <v>3</v>
      </c>
      <c r="AA59" s="1488">
        <f>Z59*C59</f>
        <v/>
      </c>
      <c r="AB59" s="1488" t="n"/>
    </row>
    <row r="60">
      <c r="A60" s="1488" t="inlineStr">
        <is>
          <t xml:space="preserve"> SACO DE LIXO VASNORTE 30L </t>
        </is>
      </c>
      <c r="B60" s="1488" t="inlineStr">
        <is>
          <t xml:space="preserve"> UND </t>
        </is>
      </c>
      <c r="C60" s="1488" t="n">
        <v>7.14</v>
      </c>
      <c r="D60" s="1488" t="n">
        <v>5</v>
      </c>
      <c r="E60" s="1488">
        <f>C60*D60</f>
        <v/>
      </c>
      <c r="F60" s="1488" t="n">
        <v>10</v>
      </c>
      <c r="G60" s="1488">
        <f>F60*C60</f>
        <v/>
      </c>
      <c r="H60" s="1488" t="n">
        <v>5</v>
      </c>
      <c r="I60" s="1488">
        <f>H60*C60</f>
        <v/>
      </c>
      <c r="J60" s="1488" t="n">
        <v>5</v>
      </c>
      <c r="K60" s="1488">
        <f>J60*C60</f>
        <v/>
      </c>
      <c r="L60" s="1488" t="n">
        <v>10</v>
      </c>
      <c r="M60" s="1488">
        <f>L60*C60</f>
        <v/>
      </c>
      <c r="N60" s="1488" t="n">
        <v>7</v>
      </c>
      <c r="O60" s="1488">
        <f>N60*C60</f>
        <v/>
      </c>
      <c r="P60" s="1488" t="n">
        <v>7</v>
      </c>
      <c r="Q60" s="1488">
        <f>P60*C60</f>
        <v/>
      </c>
      <c r="R60" s="1488" t="n">
        <v>10</v>
      </c>
      <c r="S60" s="1488">
        <f>R60*C60</f>
        <v/>
      </c>
      <c r="T60" s="1488" t="n">
        <v>10</v>
      </c>
      <c r="U60" s="1488">
        <f>T60*C60</f>
        <v/>
      </c>
      <c r="V60" s="1488" t="n">
        <v>5</v>
      </c>
      <c r="W60" s="1488">
        <f>V60*C60</f>
        <v/>
      </c>
      <c r="X60" s="1488" t="n">
        <v>5</v>
      </c>
      <c r="Y60" s="1488">
        <f>X60*C60</f>
        <v/>
      </c>
      <c r="Z60" s="1488" t="n">
        <v>5</v>
      </c>
      <c r="AA60" s="1488">
        <f>Z60*C60</f>
        <v/>
      </c>
      <c r="AB60" s="1488" t="n"/>
    </row>
    <row r="61">
      <c r="A61" s="1488" t="inlineStr">
        <is>
          <t xml:space="preserve"> SACO DE LIXO VASNORTE 50L </t>
        </is>
      </c>
      <c r="B61" s="1488" t="inlineStr">
        <is>
          <t xml:space="preserve"> UND </t>
        </is>
      </c>
      <c r="C61" s="1488" t="n">
        <v>7.14</v>
      </c>
      <c r="D61" s="1488" t="n">
        <v>8</v>
      </c>
      <c r="E61" s="1488">
        <f>C61*D61</f>
        <v/>
      </c>
      <c r="F61" s="1488" t="n">
        <v>15</v>
      </c>
      <c r="G61" s="1488">
        <f>F61*C61</f>
        <v/>
      </c>
      <c r="H61" s="1488" t="n">
        <v>7</v>
      </c>
      <c r="I61" s="1488">
        <f>H61*C61</f>
        <v/>
      </c>
      <c r="J61" s="1488" t="n">
        <v>8</v>
      </c>
      <c r="K61" s="1488">
        <f>J61*C61</f>
        <v/>
      </c>
      <c r="L61" s="1488" t="n">
        <v>15</v>
      </c>
      <c r="M61" s="1488">
        <f>L61*C61</f>
        <v/>
      </c>
      <c r="N61" s="1488" t="n">
        <v>12</v>
      </c>
      <c r="O61" s="1488">
        <f>N61*C61</f>
        <v/>
      </c>
      <c r="P61" s="1488" t="n">
        <v>12</v>
      </c>
      <c r="Q61" s="1488">
        <f>P61*C61</f>
        <v/>
      </c>
      <c r="R61" s="1488" t="n">
        <v>15</v>
      </c>
      <c r="S61" s="1488">
        <f>R61*C61</f>
        <v/>
      </c>
      <c r="T61" s="1488" t="n">
        <v>15</v>
      </c>
      <c r="U61" s="1488">
        <f>T61*C61</f>
        <v/>
      </c>
      <c r="V61" s="1488" t="n">
        <v>8</v>
      </c>
      <c r="W61" s="1488">
        <f>V61*C61</f>
        <v/>
      </c>
      <c r="X61" s="1488" t="n">
        <v>8</v>
      </c>
      <c r="Y61" s="1488">
        <f>X61*C61</f>
        <v/>
      </c>
      <c r="Z61" s="1488" t="n">
        <v>7</v>
      </c>
      <c r="AA61" s="1488">
        <f>Z61*C61</f>
        <v/>
      </c>
      <c r="AB61" s="1488" t="n"/>
    </row>
    <row r="62">
      <c r="A62" s="1488" t="inlineStr">
        <is>
          <t xml:space="preserve"> SALSICHA FRIATO CONG. </t>
        </is>
      </c>
      <c r="B62" s="1488" t="inlineStr">
        <is>
          <t xml:space="preserve"> KG </t>
        </is>
      </c>
      <c r="C62" s="1488" t="n">
        <v>9.849</v>
      </c>
      <c r="D62" s="1488" t="n">
        <v>10</v>
      </c>
      <c r="E62" s="1488">
        <f>C62*D62</f>
        <v/>
      </c>
      <c r="F62" s="1488" t="n">
        <v>12</v>
      </c>
      <c r="G62" s="1488">
        <f>F62*C62</f>
        <v/>
      </c>
      <c r="H62" s="1488" t="n">
        <v>6</v>
      </c>
      <c r="I62" s="1488">
        <f>H62*C62</f>
        <v/>
      </c>
      <c r="J62" s="1488" t="n">
        <v>10</v>
      </c>
      <c r="K62" s="1488">
        <f>J62*C62</f>
        <v/>
      </c>
      <c r="L62" s="1488" t="n">
        <v>12</v>
      </c>
      <c r="M62" s="1488">
        <f>L62*C62</f>
        <v/>
      </c>
      <c r="N62" s="1488" t="n">
        <v>10</v>
      </c>
      <c r="O62" s="1488">
        <f>N62*C62</f>
        <v/>
      </c>
      <c r="P62" s="1488" t="n">
        <v>10</v>
      </c>
      <c r="Q62" s="1488">
        <f>P62*C62</f>
        <v/>
      </c>
      <c r="R62" s="1488" t="n">
        <v>12</v>
      </c>
      <c r="S62" s="1488">
        <f>R62*C62</f>
        <v/>
      </c>
      <c r="T62" s="1488" t="n">
        <v>12</v>
      </c>
      <c r="U62" s="1488">
        <f>T62*C62</f>
        <v/>
      </c>
      <c r="V62" s="1488" t="n">
        <v>10</v>
      </c>
      <c r="W62" s="1488">
        <f>V62*C62</f>
        <v/>
      </c>
      <c r="X62" s="1488" t="n">
        <v>10</v>
      </c>
      <c r="Y62" s="1488">
        <f>X62*C62</f>
        <v/>
      </c>
      <c r="Z62" s="1488" t="n">
        <v>6</v>
      </c>
      <c r="AA62" s="1488">
        <f>Z62*C62</f>
        <v/>
      </c>
      <c r="AB62" s="1488" t="n"/>
    </row>
    <row r="63">
      <c r="A63" s="1488" t="inlineStr">
        <is>
          <t xml:space="preserve">Suino granja </t>
        </is>
      </c>
      <c r="B63" s="1488" t="inlineStr">
        <is>
          <t>Kg</t>
        </is>
      </c>
      <c r="C63" s="1488" t="n">
        <v>15</v>
      </c>
      <c r="D63" s="1488" t="n">
        <v>300</v>
      </c>
      <c r="E63" s="1488">
        <f>C63*D63</f>
        <v/>
      </c>
      <c r="F63" s="1488" t="n"/>
      <c r="G63" s="1488" t="n"/>
      <c r="H63" s="1488" t="n"/>
      <c r="I63" s="1488" t="n"/>
      <c r="J63" s="1488" t="n"/>
      <c r="K63" s="1488" t="n"/>
      <c r="L63" s="1488" t="n"/>
      <c r="M63" s="1488" t="n"/>
      <c r="N63" s="1488" t="n"/>
      <c r="O63" s="1488" t="n"/>
      <c r="P63" s="1488" t="n"/>
      <c r="Q63" s="1488" t="n"/>
      <c r="R63" s="1488" t="n"/>
      <c r="S63" s="1488" t="n"/>
      <c r="T63" s="1488" t="n"/>
      <c r="U63" s="1488" t="n"/>
      <c r="V63" s="1488" t="n"/>
      <c r="W63" s="1488" t="n"/>
      <c r="X63" s="1488" t="n"/>
      <c r="Y63" s="1488" t="n"/>
      <c r="Z63" s="1488" t="n"/>
      <c r="AA63" s="1488" t="n"/>
      <c r="AB63" s="1488" t="n"/>
    </row>
    <row r="64">
      <c r="A64" s="1488" t="n"/>
      <c r="B64" s="1488" t="n"/>
      <c r="C64" s="1488" t="n">
        <v>0</v>
      </c>
      <c r="D64" s="1488" t="n"/>
      <c r="E64" s="1488" t="n"/>
      <c r="F64" s="1488" t="n"/>
      <c r="G64" s="1488" t="n"/>
      <c r="H64" s="1488" t="n"/>
      <c r="I64" s="1488" t="n"/>
      <c r="J64" s="1488" t="n"/>
      <c r="K64" s="1488" t="n"/>
      <c r="L64" s="1488" t="n"/>
      <c r="M64" s="1488" t="n"/>
      <c r="N64" s="1488" t="n"/>
      <c r="O64" s="1488" t="n"/>
      <c r="P64" s="1488" t="n"/>
      <c r="Q64" s="1488" t="n"/>
      <c r="R64" s="1488" t="n"/>
      <c r="S64" s="1488" t="n"/>
      <c r="T64" s="1488" t="n"/>
      <c r="U64" s="1488" t="n"/>
      <c r="V64" s="1488" t="n"/>
      <c r="W64" s="1488" t="n"/>
      <c r="X64" s="1488" t="n"/>
      <c r="Y64" s="1488" t="n"/>
      <c r="Z64" s="1488" t="n"/>
      <c r="AA64" s="1488" t="n"/>
      <c r="AB64" s="1488" t="n"/>
    </row>
    <row r="65">
      <c r="A65" s="1488" t="inlineStr">
        <is>
          <t xml:space="preserve"> TAPETE PARNASUL PORTA CASA 45X65 </t>
        </is>
      </c>
      <c r="B65" s="1488" t="inlineStr">
        <is>
          <t xml:space="preserve"> UND </t>
        </is>
      </c>
      <c r="C65" s="1488" t="n">
        <v>20.79</v>
      </c>
      <c r="D65" s="1488" t="n">
        <v>4</v>
      </c>
      <c r="E65" s="1488">
        <f>C65*D65</f>
        <v/>
      </c>
      <c r="F65" s="1488" t="n">
        <v>7</v>
      </c>
      <c r="G65" s="1488">
        <f>F65*C65</f>
        <v/>
      </c>
      <c r="H65" s="1488" t="n">
        <v>1</v>
      </c>
      <c r="I65" s="1488">
        <f>H65*C65</f>
        <v/>
      </c>
      <c r="J65" s="1488" t="n">
        <v>4</v>
      </c>
      <c r="K65" s="1488">
        <f>J65*C65</f>
        <v/>
      </c>
      <c r="L65" s="1488" t="n">
        <v>7</v>
      </c>
      <c r="M65" s="1488">
        <f>L65*C65</f>
        <v/>
      </c>
      <c r="N65" s="1488" t="n">
        <v>1</v>
      </c>
      <c r="O65" s="1488">
        <f>N65*C65</f>
        <v/>
      </c>
      <c r="P65" s="1488" t="n">
        <v>1</v>
      </c>
      <c r="Q65" s="1488">
        <f>P65*C65</f>
        <v/>
      </c>
      <c r="R65" s="1488" t="n">
        <v>7</v>
      </c>
      <c r="S65" s="1488">
        <f>R65*C65</f>
        <v/>
      </c>
      <c r="T65" s="1488" t="n">
        <v>7</v>
      </c>
      <c r="U65" s="1488">
        <f>T65*C65</f>
        <v/>
      </c>
      <c r="V65" s="1488" t="n">
        <v>4</v>
      </c>
      <c r="W65" s="1488">
        <f>V65*C65</f>
        <v/>
      </c>
      <c r="X65" s="1488" t="n">
        <v>4</v>
      </c>
      <c r="Y65" s="1488">
        <f>X65*C65</f>
        <v/>
      </c>
      <c r="Z65" s="1488" t="n">
        <v>3</v>
      </c>
      <c r="AA65" s="1488">
        <f>Z65*C65</f>
        <v/>
      </c>
      <c r="AB65" s="1488" t="n"/>
    </row>
    <row r="66">
      <c r="A66" s="1488" t="inlineStr">
        <is>
          <t xml:space="preserve"> TEMP. NERESCO AÇAFRAO 500G </t>
        </is>
      </c>
      <c r="B66" s="1488" t="inlineStr">
        <is>
          <t xml:space="preserve"> UND </t>
        </is>
      </c>
      <c r="C66" s="1488" t="n">
        <v>16.317</v>
      </c>
      <c r="D66" s="1488" t="n">
        <v>3</v>
      </c>
      <c r="E66" s="1488">
        <f>C66*D66</f>
        <v/>
      </c>
      <c r="F66" s="1488" t="n">
        <v>3</v>
      </c>
      <c r="G66" s="1488">
        <f>F66*C66</f>
        <v/>
      </c>
      <c r="H66" s="1488" t="n">
        <v>2</v>
      </c>
      <c r="I66" s="1488">
        <f>H66*C66</f>
        <v/>
      </c>
      <c r="J66" s="1488" t="n">
        <v>3</v>
      </c>
      <c r="K66" s="1488">
        <f>J66*C66</f>
        <v/>
      </c>
      <c r="L66" s="1488" t="n">
        <v>3</v>
      </c>
      <c r="M66" s="1488">
        <f>L66*C66</f>
        <v/>
      </c>
      <c r="N66" s="1488" t="n">
        <v>3</v>
      </c>
      <c r="O66" s="1488">
        <f>N66*C66</f>
        <v/>
      </c>
      <c r="P66" s="1488" t="n">
        <v>3</v>
      </c>
      <c r="Q66" s="1488">
        <f>P66*C66</f>
        <v/>
      </c>
      <c r="R66" s="1488" t="n">
        <v>3</v>
      </c>
      <c r="S66" s="1488">
        <f>R66*C66</f>
        <v/>
      </c>
      <c r="T66" s="1488" t="n">
        <v>3</v>
      </c>
      <c r="U66" s="1488">
        <f>T66*C66</f>
        <v/>
      </c>
      <c r="V66" s="1488" t="n">
        <v>3</v>
      </c>
      <c r="W66" s="1488">
        <f>V66*C66</f>
        <v/>
      </c>
      <c r="X66" s="1488" t="n">
        <v>3</v>
      </c>
      <c r="Y66" s="1488">
        <f>X66*C66</f>
        <v/>
      </c>
      <c r="Z66" s="1488" t="n">
        <v>2</v>
      </c>
      <c r="AA66" s="1488">
        <f>Z66*C66</f>
        <v/>
      </c>
      <c r="AB66" s="1488" t="n"/>
    </row>
    <row r="67">
      <c r="A67" s="1488" t="inlineStr">
        <is>
          <t xml:space="preserve"> TEMP. SAZON CARNE 60G </t>
        </is>
      </c>
      <c r="B67" s="1488" t="inlineStr">
        <is>
          <t xml:space="preserve"> UND </t>
        </is>
      </c>
      <c r="C67" s="1488" t="n">
        <v>5.6805</v>
      </c>
      <c r="D67" s="1488" t="n">
        <v>6</v>
      </c>
      <c r="E67" s="1488">
        <f>C67*D67</f>
        <v/>
      </c>
      <c r="F67" s="1488" t="n">
        <v>5</v>
      </c>
      <c r="G67" s="1488">
        <f>F67*C67</f>
        <v/>
      </c>
      <c r="H67" s="1488" t="n">
        <v>4</v>
      </c>
      <c r="I67" s="1488">
        <f>H67*C67</f>
        <v/>
      </c>
      <c r="J67" s="1488" t="n">
        <v>11</v>
      </c>
      <c r="K67" s="1488">
        <f>J67*C67</f>
        <v/>
      </c>
      <c r="L67" s="1488" t="n">
        <v>5</v>
      </c>
      <c r="M67" s="1488">
        <f>L67*C67</f>
        <v/>
      </c>
      <c r="N67" s="1488" t="n">
        <v>6</v>
      </c>
      <c r="O67" s="1488">
        <f>N67*C67</f>
        <v/>
      </c>
      <c r="P67" s="1488" t="n">
        <v>6</v>
      </c>
      <c r="Q67" s="1488">
        <f>P67*C67</f>
        <v/>
      </c>
      <c r="R67" s="1488" t="n">
        <v>5</v>
      </c>
      <c r="S67" s="1488">
        <f>R67*C67</f>
        <v/>
      </c>
      <c r="T67" s="1488" t="n">
        <v>5</v>
      </c>
      <c r="U67" s="1488">
        <f>T67*C67</f>
        <v/>
      </c>
      <c r="V67" s="1488" t="n">
        <v>11</v>
      </c>
      <c r="W67" s="1488">
        <f>V67*C67</f>
        <v/>
      </c>
      <c r="X67" s="1488" t="n">
        <v>11</v>
      </c>
      <c r="Y67" s="1488">
        <f>X67*C67</f>
        <v/>
      </c>
      <c r="Z67" s="1488" t="n">
        <v>6</v>
      </c>
      <c r="AA67" s="1488">
        <f>Z67*C67</f>
        <v/>
      </c>
      <c r="AB67" s="1488" t="n"/>
    </row>
    <row r="68">
      <c r="A68" s="1488" t="inlineStr">
        <is>
          <t xml:space="preserve"> TEMP. SAZON FRANGO 60G </t>
        </is>
      </c>
      <c r="B68" s="1488" t="inlineStr">
        <is>
          <t xml:space="preserve"> UND </t>
        </is>
      </c>
      <c r="C68" s="1488" t="n">
        <v>5.6805</v>
      </c>
      <c r="D68" s="1488" t="n">
        <v>4</v>
      </c>
      <c r="E68" s="1488">
        <f>C68*D68</f>
        <v/>
      </c>
      <c r="F68" s="1488" t="n">
        <v>7</v>
      </c>
      <c r="G68" s="1488">
        <f>F68*C68</f>
        <v/>
      </c>
      <c r="H68" s="1488" t="n">
        <v>4</v>
      </c>
      <c r="I68" s="1488">
        <f>H68*C68</f>
        <v/>
      </c>
      <c r="J68" s="1488" t="n">
        <v>6</v>
      </c>
      <c r="K68" s="1488">
        <f>J68*C68</f>
        <v/>
      </c>
      <c r="L68" s="1488" t="n">
        <v>7</v>
      </c>
      <c r="M68" s="1488">
        <f>L68*C68</f>
        <v/>
      </c>
      <c r="N68" s="1488" t="n">
        <v>6</v>
      </c>
      <c r="O68" s="1488">
        <f>N68*C68</f>
        <v/>
      </c>
      <c r="P68" s="1488" t="n">
        <v>6</v>
      </c>
      <c r="Q68" s="1488">
        <f>P68*C68</f>
        <v/>
      </c>
      <c r="R68" s="1488" t="n">
        <v>7</v>
      </c>
      <c r="S68" s="1488">
        <f>R68*C68</f>
        <v/>
      </c>
      <c r="T68" s="1488" t="n">
        <v>7</v>
      </c>
      <c r="U68" s="1488">
        <f>T68*C68</f>
        <v/>
      </c>
      <c r="V68" s="1488" t="n">
        <v>6</v>
      </c>
      <c r="W68" s="1488">
        <f>V68*C68</f>
        <v/>
      </c>
      <c r="X68" s="1488" t="n">
        <v>6</v>
      </c>
      <c r="Y68" s="1488">
        <f>X68*C68</f>
        <v/>
      </c>
      <c r="Z68" s="1488" t="n">
        <v>3</v>
      </c>
      <c r="AA68" s="1488">
        <f>Z68*C68</f>
        <v/>
      </c>
      <c r="AB68" s="1488" t="n"/>
    </row>
    <row r="69">
      <c r="A69" s="1488" t="inlineStr">
        <is>
          <t xml:space="preserve"> TEMP. SAZON LEGUMES 60G </t>
        </is>
      </c>
      <c r="B69" s="1488" t="inlineStr">
        <is>
          <t xml:space="preserve"> UND </t>
        </is>
      </c>
      <c r="C69" s="1488" t="n">
        <v>5.6805</v>
      </c>
      <c r="D69" s="1488" t="n">
        <v>6</v>
      </c>
      <c r="E69" s="1488">
        <f>C69*D69</f>
        <v/>
      </c>
      <c r="F69" s="1488" t="n">
        <v>12</v>
      </c>
      <c r="G69" s="1488">
        <f>F69*C69</f>
        <v/>
      </c>
      <c r="H69" s="1488" t="n">
        <v>3</v>
      </c>
      <c r="I69" s="1488">
        <f>H69*C69</f>
        <v/>
      </c>
      <c r="J69" s="1488" t="n">
        <v>6</v>
      </c>
      <c r="K69" s="1488">
        <f>J69*C69</f>
        <v/>
      </c>
      <c r="L69" s="1488" t="n">
        <v>12</v>
      </c>
      <c r="M69" s="1488">
        <f>L69*C69</f>
        <v/>
      </c>
      <c r="N69" s="1488" t="n">
        <v>10</v>
      </c>
      <c r="O69" s="1488">
        <f>N69*C69</f>
        <v/>
      </c>
      <c r="P69" s="1488" t="n">
        <v>10</v>
      </c>
      <c r="Q69" s="1488">
        <f>P69*C69</f>
        <v/>
      </c>
      <c r="R69" s="1488" t="n">
        <v>12</v>
      </c>
      <c r="S69" s="1488">
        <f>R69*C69</f>
        <v/>
      </c>
      <c r="T69" s="1488" t="n">
        <v>12</v>
      </c>
      <c r="U69" s="1488">
        <f>T69*C69</f>
        <v/>
      </c>
      <c r="V69" s="1488" t="n">
        <v>6</v>
      </c>
      <c r="W69" s="1488">
        <f>V69*C69</f>
        <v/>
      </c>
      <c r="X69" s="1488" t="n">
        <v>6</v>
      </c>
      <c r="Y69" s="1488">
        <f>X69*C69</f>
        <v/>
      </c>
      <c r="Z69" s="1488" t="n">
        <v>6</v>
      </c>
      <c r="AA69" s="1488">
        <f>Z69*C69</f>
        <v/>
      </c>
      <c r="AB69" s="1488" t="n"/>
    </row>
    <row r="70">
      <c r="A70" s="1488" t="inlineStr">
        <is>
          <t xml:space="preserve"> TEMP.SAZON MASSAS 60G </t>
        </is>
      </c>
      <c r="B70" s="1488" t="inlineStr">
        <is>
          <t xml:space="preserve"> UND </t>
        </is>
      </c>
      <c r="C70" s="1488" t="n">
        <v>5.6805</v>
      </c>
      <c r="D70" s="1488" t="n">
        <v>4</v>
      </c>
      <c r="E70" s="1488">
        <f>C70*D70</f>
        <v/>
      </c>
      <c r="F70" s="1488" t="n">
        <v>7</v>
      </c>
      <c r="G70" s="1488">
        <f>F70*C70</f>
        <v/>
      </c>
      <c r="H70" s="1488" t="n">
        <v>3</v>
      </c>
      <c r="I70" s="1488">
        <f>H70*C70</f>
        <v/>
      </c>
      <c r="J70" s="1488" t="n">
        <v>4</v>
      </c>
      <c r="K70" s="1488">
        <f>J70*C70</f>
        <v/>
      </c>
      <c r="L70" s="1488" t="n">
        <v>7</v>
      </c>
      <c r="M70" s="1488">
        <f>L70*C70</f>
        <v/>
      </c>
      <c r="N70" s="1488" t="n">
        <v>5</v>
      </c>
      <c r="O70" s="1488">
        <f>N70*C70</f>
        <v/>
      </c>
      <c r="P70" s="1488" t="n">
        <v>5</v>
      </c>
      <c r="Q70" s="1488">
        <f>P70*C70</f>
        <v/>
      </c>
      <c r="R70" s="1488" t="n">
        <v>7</v>
      </c>
      <c r="S70" s="1488">
        <f>R70*C70</f>
        <v/>
      </c>
      <c r="T70" s="1488" t="n">
        <v>7</v>
      </c>
      <c r="U70" s="1488">
        <f>T70*C70</f>
        <v/>
      </c>
      <c r="V70" s="1488" t="n">
        <v>4</v>
      </c>
      <c r="W70" s="1488">
        <f>V70*C70</f>
        <v/>
      </c>
      <c r="X70" s="1488" t="n">
        <v>3</v>
      </c>
      <c r="Y70" s="1488">
        <f>X70*C70</f>
        <v/>
      </c>
      <c r="Z70" s="1488" t="n">
        <v>3</v>
      </c>
      <c r="AA70" s="1488">
        <f>Z70*C70</f>
        <v/>
      </c>
      <c r="AB70" s="1488" t="n"/>
    </row>
    <row r="71">
      <c r="A71" s="1488" t="inlineStr">
        <is>
          <t xml:space="preserve"> TOUCA DESC. NOBRE TNT 50X1 </t>
        </is>
      </c>
      <c r="B71" s="1488" t="inlineStr">
        <is>
          <t xml:space="preserve"> UND </t>
        </is>
      </c>
      <c r="C71" s="1488" t="n">
        <v>11.55</v>
      </c>
      <c r="D71" s="1488" t="n">
        <v>2</v>
      </c>
      <c r="E71" s="1488">
        <f>C71*D71</f>
        <v/>
      </c>
      <c r="F71" s="1488" t="n">
        <v>3</v>
      </c>
      <c r="G71" s="1488">
        <f>F71*C71</f>
        <v/>
      </c>
      <c r="H71" s="1488" t="n">
        <v>2</v>
      </c>
      <c r="I71" s="1488">
        <f>H71*C71</f>
        <v/>
      </c>
      <c r="J71" s="1488" t="n">
        <v>2</v>
      </c>
      <c r="K71" s="1488">
        <f>J71*C71</f>
        <v/>
      </c>
      <c r="L71" s="1488" t="n">
        <v>3</v>
      </c>
      <c r="M71" s="1488">
        <f>L71*C71</f>
        <v/>
      </c>
      <c r="N71" s="1488" t="n">
        <v>2</v>
      </c>
      <c r="O71" s="1488">
        <f>N71*C71</f>
        <v/>
      </c>
      <c r="P71" s="1488" t="n">
        <v>2</v>
      </c>
      <c r="Q71" s="1488">
        <f>P71*C71</f>
        <v/>
      </c>
      <c r="R71" s="1488" t="n">
        <v>3</v>
      </c>
      <c r="S71" s="1488">
        <f>R71*C71</f>
        <v/>
      </c>
      <c r="T71" s="1488" t="n">
        <v>3</v>
      </c>
      <c r="U71" s="1488">
        <f>T71*C71</f>
        <v/>
      </c>
      <c r="V71" s="1488" t="n">
        <v>2</v>
      </c>
      <c r="W71" s="1488">
        <f>V71*C71</f>
        <v/>
      </c>
      <c r="X71" s="1488" t="n">
        <v>2</v>
      </c>
      <c r="Y71" s="1488">
        <f>X71*C71</f>
        <v/>
      </c>
      <c r="Z71" s="1488" t="n">
        <v>2</v>
      </c>
      <c r="AA71" s="1488">
        <f>Z71*C71</f>
        <v/>
      </c>
      <c r="AB71" s="1488" t="n"/>
    </row>
    <row r="72">
      <c r="A72" s="1488" t="inlineStr">
        <is>
          <t xml:space="preserve"> VERD. ALFACE </t>
        </is>
      </c>
      <c r="B72" s="1488" t="inlineStr">
        <is>
          <t xml:space="preserve"> UND </t>
        </is>
      </c>
      <c r="C72" s="1488" t="n">
        <v>2.65398</v>
      </c>
      <c r="D72" s="1488" t="n">
        <v>6</v>
      </c>
      <c r="E72" s="1488">
        <f>C72*D72</f>
        <v/>
      </c>
      <c r="F72" s="1488" t="n">
        <v>12</v>
      </c>
      <c r="G72" s="1488">
        <f>F72*C72</f>
        <v/>
      </c>
      <c r="H72" s="1488" t="n">
        <v>6</v>
      </c>
      <c r="I72" s="1488">
        <f>H72*C72</f>
        <v/>
      </c>
      <c r="J72" s="1488" t="n">
        <v>7</v>
      </c>
      <c r="K72" s="1488">
        <f>J72*C72</f>
        <v/>
      </c>
      <c r="L72" s="1488" t="n">
        <v>12</v>
      </c>
      <c r="M72" s="1488">
        <f>L72*C72</f>
        <v/>
      </c>
      <c r="N72" s="1488" t="n">
        <v>10</v>
      </c>
      <c r="O72" s="1488">
        <f>N72*C72</f>
        <v/>
      </c>
      <c r="P72" s="1488" t="n">
        <v>10</v>
      </c>
      <c r="Q72" s="1488">
        <f>P72*C72</f>
        <v/>
      </c>
      <c r="R72" s="1488" t="n">
        <v>12</v>
      </c>
      <c r="S72" s="1488">
        <f>R72*C72</f>
        <v/>
      </c>
      <c r="T72" s="1488" t="n">
        <v>12</v>
      </c>
      <c r="U72" s="1488">
        <f>T72*C72</f>
        <v/>
      </c>
      <c r="V72" s="1488" t="n">
        <v>7</v>
      </c>
      <c r="W72" s="1488">
        <f>V72*C72</f>
        <v/>
      </c>
      <c r="X72" s="1488" t="n">
        <v>6</v>
      </c>
      <c r="Y72" s="1488">
        <f>X72*C72</f>
        <v/>
      </c>
      <c r="Z72" s="1488" t="n">
        <v>6</v>
      </c>
      <c r="AA72" s="1488">
        <f>Z72*C72</f>
        <v/>
      </c>
      <c r="AB72" s="1488" t="n"/>
    </row>
    <row r="73">
      <c r="A73" s="1488" t="inlineStr">
        <is>
          <t xml:space="preserve"> VERD. BATATA DOCE </t>
        </is>
      </c>
      <c r="B73" s="1488" t="inlineStr">
        <is>
          <t xml:space="preserve"> KG </t>
        </is>
      </c>
      <c r="C73" s="1488" t="n">
        <v>4.189500000000001</v>
      </c>
      <c r="D73" s="1488" t="n">
        <v>4</v>
      </c>
      <c r="E73" s="1488">
        <f>C73*D73</f>
        <v/>
      </c>
      <c r="F73" s="1488" t="n">
        <v>8</v>
      </c>
      <c r="G73" s="1488">
        <f>F73*C73</f>
        <v/>
      </c>
      <c r="H73" s="1488" t="n">
        <v>4</v>
      </c>
      <c r="I73" s="1488">
        <f>H73*C73</f>
        <v/>
      </c>
      <c r="J73" s="1488" t="n">
        <v>4</v>
      </c>
      <c r="K73" s="1488">
        <f>J73*C73</f>
        <v/>
      </c>
      <c r="L73" s="1488" t="n">
        <v>8</v>
      </c>
      <c r="M73" s="1488">
        <f>L73*C73</f>
        <v/>
      </c>
      <c r="N73" s="1488" t="n">
        <v>6</v>
      </c>
      <c r="O73" s="1488">
        <f>N73*C73</f>
        <v/>
      </c>
      <c r="P73" s="1488" t="n">
        <v>6</v>
      </c>
      <c r="Q73" s="1488">
        <f>P73*C73</f>
        <v/>
      </c>
      <c r="R73" s="1488" t="n">
        <v>8</v>
      </c>
      <c r="S73" s="1488">
        <f>R73*C73</f>
        <v/>
      </c>
      <c r="T73" s="1488" t="n">
        <v>8</v>
      </c>
      <c r="U73" s="1488">
        <f>T73*C73</f>
        <v/>
      </c>
      <c r="V73" s="1488" t="n">
        <v>4</v>
      </c>
      <c r="W73" s="1488">
        <f>V73*C73</f>
        <v/>
      </c>
      <c r="X73" s="1488" t="n">
        <v>4</v>
      </c>
      <c r="Y73" s="1488">
        <f>X73*C73</f>
        <v/>
      </c>
      <c r="Z73" s="1488" t="n">
        <v>4</v>
      </c>
      <c r="AA73" s="1488">
        <f>Z73*C73</f>
        <v/>
      </c>
      <c r="AB73" s="1488" t="n"/>
    </row>
    <row r="74">
      <c r="A74" s="1488" t="inlineStr">
        <is>
          <t xml:space="preserve"> VERD. BETERRABA </t>
        </is>
      </c>
      <c r="B74" s="1488" t="inlineStr">
        <is>
          <t xml:space="preserve"> KG </t>
        </is>
      </c>
      <c r="C74" s="1488" t="n">
        <v>5.313</v>
      </c>
      <c r="D74" s="1488" t="n">
        <v>4</v>
      </c>
      <c r="E74" s="1488">
        <f>C74*D74</f>
        <v/>
      </c>
      <c r="F74" s="1488" t="n">
        <v>7</v>
      </c>
      <c r="G74" s="1488">
        <f>F74*C74</f>
        <v/>
      </c>
      <c r="H74" s="1488" t="n">
        <v>4</v>
      </c>
      <c r="I74" s="1488">
        <f>H74*C74</f>
        <v/>
      </c>
      <c r="J74" s="1488" t="n">
        <v>4</v>
      </c>
      <c r="K74" s="1488">
        <f>J74*C74</f>
        <v/>
      </c>
      <c r="L74" s="1488" t="n">
        <v>7</v>
      </c>
      <c r="M74" s="1488">
        <f>L74*C74</f>
        <v/>
      </c>
      <c r="N74" s="1488" t="n">
        <v>6</v>
      </c>
      <c r="O74" s="1488">
        <f>N74*C74</f>
        <v/>
      </c>
      <c r="P74" s="1488" t="n">
        <v>6</v>
      </c>
      <c r="Q74" s="1488">
        <f>P74*C74</f>
        <v/>
      </c>
      <c r="R74" s="1488" t="n">
        <v>7</v>
      </c>
      <c r="S74" s="1488">
        <f>R74*C74</f>
        <v/>
      </c>
      <c r="T74" s="1488" t="n">
        <v>7</v>
      </c>
      <c r="U74" s="1488">
        <f>T74*C74</f>
        <v/>
      </c>
      <c r="V74" s="1488" t="n">
        <v>4</v>
      </c>
      <c r="W74" s="1488">
        <f>V74*C74</f>
        <v/>
      </c>
      <c r="X74" s="1488" t="n">
        <v>3</v>
      </c>
      <c r="Y74" s="1488">
        <f>X74*C74</f>
        <v/>
      </c>
      <c r="Z74" s="1488" t="n">
        <v>3</v>
      </c>
      <c r="AA74" s="1488">
        <f>Z74*C74</f>
        <v/>
      </c>
      <c r="AB74" s="1488" t="n"/>
    </row>
    <row r="75">
      <c r="A75" s="1488" t="inlineStr">
        <is>
          <t xml:space="preserve"> VERD. CEBOLINHA </t>
        </is>
      </c>
      <c r="B75" s="1488" t="inlineStr">
        <is>
          <t xml:space="preserve"> UB </t>
        </is>
      </c>
      <c r="C75" s="1488" t="n">
        <v>3.69768</v>
      </c>
      <c r="D75" s="1488" t="n">
        <v>7</v>
      </c>
      <c r="E75" s="1488">
        <f>C75*D75</f>
        <v/>
      </c>
      <c r="F75" s="1488" t="n">
        <v>6</v>
      </c>
      <c r="G75" s="1488">
        <f>F75*C75</f>
        <v/>
      </c>
      <c r="H75" s="1488" t="n">
        <v>7</v>
      </c>
      <c r="I75" s="1488">
        <f>H75*C75</f>
        <v/>
      </c>
      <c r="J75" s="1488" t="n">
        <v>8</v>
      </c>
      <c r="K75" s="1488">
        <f>J75*C75</f>
        <v/>
      </c>
      <c r="L75" s="1488" t="n">
        <v>6</v>
      </c>
      <c r="M75" s="1488">
        <f>L75*C75</f>
        <v/>
      </c>
      <c r="N75" s="1488" t="n">
        <v>6</v>
      </c>
      <c r="O75" s="1488">
        <f>N75*C75</f>
        <v/>
      </c>
      <c r="P75" s="1488" t="n">
        <v>6</v>
      </c>
      <c r="Q75" s="1488">
        <f>P75*C75</f>
        <v/>
      </c>
      <c r="R75" s="1488" t="n">
        <v>6</v>
      </c>
      <c r="S75" s="1488">
        <f>R75*C75</f>
        <v/>
      </c>
      <c r="T75" s="1488" t="n">
        <v>6</v>
      </c>
      <c r="U75" s="1488">
        <f>T75*C75</f>
        <v/>
      </c>
      <c r="V75" s="1488" t="n">
        <v>8</v>
      </c>
      <c r="W75" s="1488">
        <f>V75*C75</f>
        <v/>
      </c>
      <c r="X75" s="1488" t="n">
        <v>7</v>
      </c>
      <c r="Y75" s="1488">
        <f>X75*C75</f>
        <v/>
      </c>
      <c r="Z75" s="1488" t="n">
        <v>7</v>
      </c>
      <c r="AA75" s="1488">
        <f>Z75*C75</f>
        <v/>
      </c>
      <c r="AB75" s="1488" t="n"/>
    </row>
    <row r="76">
      <c r="A76" s="1488" t="inlineStr">
        <is>
          <t xml:space="preserve"> VERD. CENOURA </t>
        </is>
      </c>
      <c r="B76" s="1488" t="inlineStr">
        <is>
          <t xml:space="preserve"> UB </t>
        </is>
      </c>
      <c r="C76" s="1488" t="n">
        <v>3.57</v>
      </c>
      <c r="D76" s="1488" t="n">
        <v>4</v>
      </c>
      <c r="E76" s="1488">
        <f>C76*D76</f>
        <v/>
      </c>
      <c r="F76" s="1488" t="n">
        <v>7</v>
      </c>
      <c r="G76" s="1488">
        <f>F76*C76</f>
        <v/>
      </c>
      <c r="H76" s="1488" t="n">
        <v>4</v>
      </c>
      <c r="I76" s="1488">
        <f>H76*C76</f>
        <v/>
      </c>
      <c r="J76" s="1488" t="n">
        <v>4</v>
      </c>
      <c r="K76" s="1488">
        <f>J76*C76</f>
        <v/>
      </c>
      <c r="L76" s="1488" t="n">
        <v>7</v>
      </c>
      <c r="M76" s="1488">
        <f>L76*C76</f>
        <v/>
      </c>
      <c r="N76" s="1488" t="n">
        <v>3</v>
      </c>
      <c r="O76" s="1488">
        <f>N76*C76</f>
        <v/>
      </c>
      <c r="P76" s="1488" t="n">
        <v>3</v>
      </c>
      <c r="Q76" s="1488">
        <f>P76*C76</f>
        <v/>
      </c>
      <c r="R76" s="1488" t="n">
        <v>7</v>
      </c>
      <c r="S76" s="1488">
        <f>R76*C76</f>
        <v/>
      </c>
      <c r="T76" s="1488" t="n">
        <v>7</v>
      </c>
      <c r="U76" s="1488">
        <f>T76*C76</f>
        <v/>
      </c>
      <c r="V76" s="1488" t="n">
        <v>4</v>
      </c>
      <c r="W76" s="1488">
        <f>V76*C76</f>
        <v/>
      </c>
      <c r="X76" s="1488" t="n">
        <v>3</v>
      </c>
      <c r="Y76" s="1488">
        <f>X76*C76</f>
        <v/>
      </c>
      <c r="Z76" s="1488" t="n">
        <v>3</v>
      </c>
      <c r="AA76" s="1488">
        <f>Z76*C76</f>
        <v/>
      </c>
      <c r="AB76" s="1488" t="n"/>
    </row>
    <row r="77">
      <c r="A77" s="1488" t="inlineStr">
        <is>
          <t xml:space="preserve"> VERD. CHUCHU </t>
        </is>
      </c>
      <c r="B77" s="1488" t="inlineStr">
        <is>
          <t xml:space="preserve"> KG </t>
        </is>
      </c>
      <c r="C77" s="1488" t="n">
        <v>4.725</v>
      </c>
      <c r="D77" s="1488" t="n">
        <v>3</v>
      </c>
      <c r="E77" s="1488">
        <f>C77*D77</f>
        <v/>
      </c>
      <c r="F77" s="1488" t="n">
        <v>5</v>
      </c>
      <c r="G77" s="1488">
        <f>F77*C77</f>
        <v/>
      </c>
      <c r="H77" s="1488" t="n">
        <v>3</v>
      </c>
      <c r="I77" s="1488">
        <f>H77*C77</f>
        <v/>
      </c>
      <c r="J77" s="1488" t="n">
        <v>3</v>
      </c>
      <c r="K77" s="1488">
        <f>J77*C77</f>
        <v/>
      </c>
      <c r="L77" s="1488" t="n">
        <v>5</v>
      </c>
      <c r="M77" s="1488">
        <f>L77*C77</f>
        <v/>
      </c>
      <c r="N77" s="1488" t="n">
        <v>2</v>
      </c>
      <c r="O77" s="1488">
        <f>N77*C77</f>
        <v/>
      </c>
      <c r="P77" s="1488" t="n">
        <v>2</v>
      </c>
      <c r="Q77" s="1488">
        <f>P77*C77</f>
        <v/>
      </c>
      <c r="R77" s="1488" t="n">
        <v>5</v>
      </c>
      <c r="S77" s="1488">
        <f>R77*C77</f>
        <v/>
      </c>
      <c r="T77" s="1488" t="n">
        <v>5</v>
      </c>
      <c r="U77" s="1488">
        <f>T77*C77</f>
        <v/>
      </c>
      <c r="V77" s="1488" t="n">
        <v>3</v>
      </c>
      <c r="W77" s="1488">
        <f>V77*C77</f>
        <v/>
      </c>
      <c r="X77" s="1488" t="n">
        <v>3</v>
      </c>
      <c r="Y77" s="1488">
        <f>X77*C77</f>
        <v/>
      </c>
      <c r="Z77" s="1488" t="n">
        <v>3</v>
      </c>
      <c r="AA77" s="1488">
        <f>Z77*C77</f>
        <v/>
      </c>
      <c r="AB77" s="1488" t="n"/>
    </row>
    <row r="78">
      <c r="A78" s="1488" t="inlineStr">
        <is>
          <t xml:space="preserve"> VERD. COENTRO VERDE </t>
        </is>
      </c>
      <c r="B78" s="1488" t="inlineStr">
        <is>
          <t xml:space="preserve"> UB </t>
        </is>
      </c>
      <c r="C78" s="1488" t="n">
        <v>3.69768</v>
      </c>
      <c r="D78" s="1488" t="n">
        <v>3</v>
      </c>
      <c r="E78" s="1488">
        <f>C78*D78</f>
        <v/>
      </c>
      <c r="F78" s="1488" t="n">
        <v>5</v>
      </c>
      <c r="G78" s="1488">
        <f>F78*C78</f>
        <v/>
      </c>
      <c r="H78" s="1488" t="n">
        <v>3</v>
      </c>
      <c r="I78" s="1488">
        <f>H78*C78</f>
        <v/>
      </c>
      <c r="J78" s="1488" t="n">
        <v>3</v>
      </c>
      <c r="K78" s="1488">
        <f>J78*C78</f>
        <v/>
      </c>
      <c r="L78" s="1488" t="n">
        <v>5</v>
      </c>
      <c r="M78" s="1488">
        <f>L78*C78</f>
        <v/>
      </c>
      <c r="N78" s="1488" t="n">
        <v>5</v>
      </c>
      <c r="O78" s="1488">
        <f>N78*C78</f>
        <v/>
      </c>
      <c r="P78" s="1488" t="n">
        <v>5</v>
      </c>
      <c r="Q78" s="1488">
        <f>P78*C78</f>
        <v/>
      </c>
      <c r="R78" s="1488" t="n">
        <v>5</v>
      </c>
      <c r="S78" s="1488">
        <f>R78*C78</f>
        <v/>
      </c>
      <c r="T78" s="1488" t="n">
        <v>5</v>
      </c>
      <c r="U78" s="1488">
        <f>T78*C78</f>
        <v/>
      </c>
      <c r="V78" s="1488" t="n">
        <v>3</v>
      </c>
      <c r="W78" s="1488">
        <f>V78*C78</f>
        <v/>
      </c>
      <c r="X78" s="1488" t="n">
        <v>3</v>
      </c>
      <c r="Y78" s="1488">
        <f>X78*C78</f>
        <v/>
      </c>
      <c r="Z78" s="1488" t="n">
        <v>3</v>
      </c>
      <c r="AA78" s="1488">
        <f>Z78*C78</f>
        <v/>
      </c>
      <c r="AB78" s="1488" t="n"/>
    </row>
    <row r="79">
      <c r="A79" s="1488" t="inlineStr">
        <is>
          <t xml:space="preserve"> VERD. COUVE </t>
        </is>
      </c>
      <c r="B79" s="1488" t="inlineStr">
        <is>
          <t xml:space="preserve"> UB </t>
        </is>
      </c>
      <c r="C79" s="1488" t="n">
        <v>3.7275</v>
      </c>
      <c r="D79" s="1488" t="n">
        <v>5</v>
      </c>
      <c r="E79" s="1488">
        <f>C79*D79</f>
        <v/>
      </c>
      <c r="F79" s="1488" t="n">
        <v>9</v>
      </c>
      <c r="G79" s="1488">
        <f>F79*C79</f>
        <v/>
      </c>
      <c r="H79" s="1488" t="n">
        <v>4</v>
      </c>
      <c r="I79" s="1488">
        <f>H79*C79</f>
        <v/>
      </c>
      <c r="J79" s="1488" t="n">
        <v>6</v>
      </c>
      <c r="K79" s="1488">
        <f>J79*C79</f>
        <v/>
      </c>
      <c r="L79" s="1488" t="n">
        <v>9</v>
      </c>
      <c r="M79" s="1488">
        <f>L79*C79</f>
        <v/>
      </c>
      <c r="N79" s="1488" t="n">
        <v>6</v>
      </c>
      <c r="O79" s="1488">
        <f>N79*C79</f>
        <v/>
      </c>
      <c r="P79" s="1488" t="n">
        <v>6</v>
      </c>
      <c r="Q79" s="1488">
        <f>P79*C79</f>
        <v/>
      </c>
      <c r="R79" s="1488" t="n">
        <v>9</v>
      </c>
      <c r="S79" s="1488">
        <f>R79*C79</f>
        <v/>
      </c>
      <c r="T79" s="1488" t="n">
        <v>9</v>
      </c>
      <c r="U79" s="1488">
        <f>T79*C79</f>
        <v/>
      </c>
      <c r="V79" s="1488" t="n">
        <v>6</v>
      </c>
      <c r="W79" s="1488">
        <f>V79*C79</f>
        <v/>
      </c>
      <c r="X79" s="1488" t="n">
        <v>4</v>
      </c>
      <c r="Y79" s="1488">
        <f>X79*C79</f>
        <v/>
      </c>
      <c r="Z79" s="1488" t="n">
        <v>4</v>
      </c>
      <c r="AA79" s="1488">
        <f>Z79*C79</f>
        <v/>
      </c>
      <c r="AB79" s="1488" t="n"/>
    </row>
    <row r="80">
      <c r="A80" s="1488" t="inlineStr">
        <is>
          <t xml:space="preserve"> VERD. JILÓ </t>
        </is>
      </c>
      <c r="B80" s="1488" t="inlineStr">
        <is>
          <t xml:space="preserve"> KG </t>
        </is>
      </c>
      <c r="C80" s="1488" t="n">
        <v>12.117</v>
      </c>
      <c r="D80" s="1488" t="n">
        <v>2</v>
      </c>
      <c r="E80" s="1488">
        <f>C80*D80</f>
        <v/>
      </c>
      <c r="F80" s="1488" t="n">
        <v>3</v>
      </c>
      <c r="G80" s="1488">
        <f>F80*C80</f>
        <v/>
      </c>
      <c r="H80" s="1488" t="n">
        <v>2</v>
      </c>
      <c r="I80" s="1488">
        <f>H80*C80</f>
        <v/>
      </c>
      <c r="J80" s="1488" t="n">
        <v>2</v>
      </c>
      <c r="K80" s="1488">
        <f>J80*C80</f>
        <v/>
      </c>
      <c r="L80" s="1488" t="n">
        <v>3</v>
      </c>
      <c r="M80" s="1488">
        <f>L80*C80</f>
        <v/>
      </c>
      <c r="N80" s="1488" t="n">
        <v>1</v>
      </c>
      <c r="O80" s="1488">
        <f>N80*C80</f>
        <v/>
      </c>
      <c r="P80" s="1488" t="n">
        <v>1</v>
      </c>
      <c r="Q80" s="1488">
        <f>P80*C80</f>
        <v/>
      </c>
      <c r="R80" s="1488" t="n">
        <v>3</v>
      </c>
      <c r="S80" s="1488">
        <f>R80*C80</f>
        <v/>
      </c>
      <c r="T80" s="1488" t="n">
        <v>3</v>
      </c>
      <c r="U80" s="1488">
        <f>T80*C80</f>
        <v/>
      </c>
      <c r="V80" s="1488" t="n">
        <v>2</v>
      </c>
      <c r="W80" s="1488">
        <f>V80*C80</f>
        <v/>
      </c>
      <c r="X80" s="1488" t="n">
        <v>2</v>
      </c>
      <c r="Y80" s="1488">
        <f>X80*C80</f>
        <v/>
      </c>
      <c r="Z80" s="1488" t="n">
        <v>2</v>
      </c>
      <c r="AA80" s="1488">
        <f>Z80*C80</f>
        <v/>
      </c>
      <c r="AB80" s="1488" t="n"/>
    </row>
    <row r="81">
      <c r="A81" s="1488" t="inlineStr">
        <is>
          <t xml:space="preserve"> VERD. PEPINO </t>
        </is>
      </c>
      <c r="B81" s="1488" t="inlineStr">
        <is>
          <t xml:space="preserve"> KG </t>
        </is>
      </c>
      <c r="C81" s="1488" t="n">
        <v>3.36</v>
      </c>
      <c r="D81" s="1488" t="n">
        <v>4</v>
      </c>
      <c r="E81" s="1488">
        <f>C81*D81</f>
        <v/>
      </c>
      <c r="F81" s="1488" t="n">
        <v>8</v>
      </c>
      <c r="G81" s="1488">
        <f>F81*C81</f>
        <v/>
      </c>
      <c r="H81" s="1488" t="n">
        <v>4</v>
      </c>
      <c r="I81" s="1488">
        <f>H81*C81</f>
        <v/>
      </c>
      <c r="J81" s="1488" t="n">
        <v>5</v>
      </c>
      <c r="K81" s="1488">
        <f>J81*C81</f>
        <v/>
      </c>
      <c r="L81" s="1488" t="n">
        <v>8</v>
      </c>
      <c r="M81" s="1488">
        <f>L81*C81</f>
        <v/>
      </c>
      <c r="N81" s="1488" t="n">
        <v>6</v>
      </c>
      <c r="O81" s="1488">
        <f>N81*C81</f>
        <v/>
      </c>
      <c r="P81" s="1488" t="n">
        <v>6</v>
      </c>
      <c r="Q81" s="1488">
        <f>P81*C81</f>
        <v/>
      </c>
      <c r="R81" s="1488" t="n">
        <v>8</v>
      </c>
      <c r="S81" s="1488">
        <f>R81*C81</f>
        <v/>
      </c>
      <c r="T81" s="1488" t="n">
        <v>8</v>
      </c>
      <c r="U81" s="1488">
        <f>T81*C81</f>
        <v/>
      </c>
      <c r="V81" s="1488" t="n">
        <v>5</v>
      </c>
      <c r="W81" s="1488">
        <f>V81*C81</f>
        <v/>
      </c>
      <c r="X81" s="1488" t="n">
        <v>4</v>
      </c>
      <c r="Y81" s="1488">
        <f>X81*C81</f>
        <v/>
      </c>
      <c r="Z81" s="1488" t="n">
        <v>4</v>
      </c>
      <c r="AA81" s="1488">
        <f>Z81*C81</f>
        <v/>
      </c>
      <c r="AB81" s="1488" t="n"/>
    </row>
    <row r="82">
      <c r="A82" s="1488" t="inlineStr">
        <is>
          <t xml:space="preserve"> VERD. REPOLHO VERDE </t>
        </is>
      </c>
      <c r="B82" s="1488" t="inlineStr">
        <is>
          <t xml:space="preserve"> KG </t>
        </is>
      </c>
      <c r="C82" s="1488" t="n">
        <v>2.94</v>
      </c>
      <c r="D82" s="1488" t="n">
        <v>11</v>
      </c>
      <c r="E82" s="1488">
        <f>C82*D82</f>
        <v/>
      </c>
      <c r="F82" s="1488" t="n">
        <v>22</v>
      </c>
      <c r="G82" s="1488">
        <f>F82*C82</f>
        <v/>
      </c>
      <c r="H82" s="1488" t="n">
        <v>11</v>
      </c>
      <c r="I82" s="1488">
        <f>H82*C82</f>
        <v/>
      </c>
      <c r="J82" s="1488" t="n">
        <v>12</v>
      </c>
      <c r="K82" s="1488">
        <f>J82*C82</f>
        <v/>
      </c>
      <c r="L82" s="1488" t="n">
        <v>22</v>
      </c>
      <c r="M82" s="1488">
        <f>L82*C82</f>
        <v/>
      </c>
      <c r="N82" s="1488" t="n">
        <v>7</v>
      </c>
      <c r="O82" s="1488">
        <f>N82*C82</f>
        <v/>
      </c>
      <c r="P82" s="1488" t="n">
        <v>7</v>
      </c>
      <c r="Q82" s="1488">
        <f>P82*C82</f>
        <v/>
      </c>
      <c r="R82" s="1488" t="n">
        <v>22</v>
      </c>
      <c r="S82" s="1488">
        <f>R82*C82</f>
        <v/>
      </c>
      <c r="T82" s="1488" t="n">
        <v>22</v>
      </c>
      <c r="U82" s="1488">
        <f>T82*C82</f>
        <v/>
      </c>
      <c r="V82" s="1488" t="n">
        <v>12</v>
      </c>
      <c r="W82" s="1488">
        <f>V82*C82</f>
        <v/>
      </c>
      <c r="X82" s="1488" t="n">
        <v>10</v>
      </c>
      <c r="Y82" s="1488">
        <f>X82*C82</f>
        <v/>
      </c>
      <c r="Z82" s="1488" t="n">
        <v>10</v>
      </c>
      <c r="AA82" s="1488">
        <f>Z82*C82</f>
        <v/>
      </c>
      <c r="AB82" s="1488" t="n"/>
    </row>
    <row r="83">
      <c r="A83" s="1488" t="inlineStr">
        <is>
          <t xml:space="preserve"> VERD. TOMATE </t>
        </is>
      </c>
      <c r="B83" s="1488" t="inlineStr">
        <is>
          <t xml:space="preserve"> KG </t>
        </is>
      </c>
      <c r="C83" s="1488" t="n">
        <v>8.4</v>
      </c>
      <c r="D83" s="1488" t="n">
        <v>4</v>
      </c>
      <c r="E83" s="1488">
        <f>C83*D83</f>
        <v/>
      </c>
      <c r="F83" s="1488" t="n">
        <v>7</v>
      </c>
      <c r="G83" s="1488">
        <f>F83*C83</f>
        <v/>
      </c>
      <c r="H83" s="1488" t="n">
        <v>4</v>
      </c>
      <c r="I83" s="1488">
        <f>H83*C83</f>
        <v/>
      </c>
      <c r="J83" s="1488" t="n">
        <v>7</v>
      </c>
      <c r="K83" s="1488">
        <f>J83*C83</f>
        <v/>
      </c>
      <c r="L83" s="1488" t="n">
        <v>7</v>
      </c>
      <c r="M83" s="1488">
        <f>L83*C83</f>
        <v/>
      </c>
      <c r="N83" s="1488" t="n">
        <v>9</v>
      </c>
      <c r="O83" s="1488">
        <f>N83*C83</f>
        <v/>
      </c>
      <c r="P83" s="1488" t="n">
        <v>9</v>
      </c>
      <c r="Q83" s="1488">
        <f>P83*C83</f>
        <v/>
      </c>
      <c r="R83" s="1488" t="n">
        <v>7</v>
      </c>
      <c r="S83" s="1488">
        <f>R83*C83</f>
        <v/>
      </c>
      <c r="T83" s="1488" t="n">
        <v>7</v>
      </c>
      <c r="U83" s="1488">
        <f>T83*C83</f>
        <v/>
      </c>
      <c r="V83" s="1488" t="n">
        <v>7</v>
      </c>
      <c r="W83" s="1488">
        <f>V83*C83</f>
        <v/>
      </c>
      <c r="X83" s="1488" t="n">
        <v>4</v>
      </c>
      <c r="Y83" s="1488">
        <f>X83*C83</f>
        <v/>
      </c>
      <c r="Z83" s="1488" t="n">
        <v>4</v>
      </c>
      <c r="AA83" s="1488">
        <f>Z83*C83</f>
        <v/>
      </c>
      <c r="AB83" s="1488" t="n"/>
    </row>
    <row r="84">
      <c r="A84" s="1488" t="inlineStr">
        <is>
          <t xml:space="preserve"> VINAGRE CASTELO ALCOOL 750ML </t>
        </is>
      </c>
      <c r="B84" s="1488" t="inlineStr">
        <is>
          <t xml:space="preserve"> UND </t>
        </is>
      </c>
      <c r="C84" s="1488" t="n">
        <v>5.48688</v>
      </c>
      <c r="D84" s="1488" t="n">
        <v>4</v>
      </c>
      <c r="E84" s="1488">
        <f>C84*D84</f>
        <v/>
      </c>
      <c r="F84" s="1488" t="n">
        <v>7</v>
      </c>
      <c r="G84" s="1488">
        <f>F84*C84</f>
        <v/>
      </c>
      <c r="H84" s="1488" t="n">
        <v>3</v>
      </c>
      <c r="I84" s="1488">
        <f>H84*C84</f>
        <v/>
      </c>
      <c r="J84" s="1488" t="n">
        <v>4</v>
      </c>
      <c r="K84" s="1488">
        <f>J84*C84</f>
        <v/>
      </c>
      <c r="L84" s="1488" t="n">
        <v>7</v>
      </c>
      <c r="M84" s="1488">
        <f>L84*C84</f>
        <v/>
      </c>
      <c r="N84" s="1488" t="n">
        <v>2</v>
      </c>
      <c r="O84" s="1488">
        <f>N84*C84</f>
        <v/>
      </c>
      <c r="P84" s="1488" t="n">
        <v>2</v>
      </c>
      <c r="Q84" s="1488">
        <f>P84*C84</f>
        <v/>
      </c>
      <c r="R84" s="1488" t="n">
        <v>7</v>
      </c>
      <c r="S84" s="1488">
        <f>R84*C84</f>
        <v/>
      </c>
      <c r="T84" s="1488" t="n">
        <v>7</v>
      </c>
      <c r="U84" s="1488">
        <f>T84*C84</f>
        <v/>
      </c>
      <c r="V84" s="1488" t="n">
        <v>3</v>
      </c>
      <c r="W84" s="1488">
        <f>V84*C84</f>
        <v/>
      </c>
      <c r="X84" s="1488" t="n">
        <v>3</v>
      </c>
      <c r="Y84" s="1488">
        <f>X84*C84</f>
        <v/>
      </c>
      <c r="Z84" s="1488" t="n">
        <v>3</v>
      </c>
      <c r="AA84" s="1488">
        <f>Z84*C84</f>
        <v/>
      </c>
      <c r="AB84" s="1488" t="n"/>
    </row>
    <row r="85">
      <c r="A85" s="1488" t="n"/>
      <c r="B85" s="1488" t="n"/>
      <c r="C85" s="1488" t="n"/>
      <c r="D85" s="1488" t="n"/>
      <c r="E85" s="1488">
        <f>SUM(E2:E84)</f>
        <v/>
      </c>
      <c r="F85" s="1488" t="n"/>
      <c r="G85" s="1488">
        <f>SUM(G2:G84)</f>
        <v/>
      </c>
      <c r="H85" s="1488" t="n"/>
      <c r="I85" s="1488">
        <f>SUM(I2:I84)</f>
        <v/>
      </c>
      <c r="J85" s="1488" t="n"/>
      <c r="K85" s="1488">
        <f>SUM(K2:K84)</f>
        <v/>
      </c>
      <c r="L85" s="1488" t="n"/>
      <c r="M85" s="1488">
        <f>SUM(M2:M84)</f>
        <v/>
      </c>
      <c r="N85" s="1488" t="n"/>
      <c r="O85" s="1488">
        <f>SUM(O2:O84)</f>
        <v/>
      </c>
      <c r="P85" s="1488" t="n"/>
      <c r="Q85" s="1488">
        <f>SUM(Q2:Q84)</f>
        <v/>
      </c>
      <c r="R85" s="1488" t="n"/>
      <c r="S85" s="1488">
        <f>SUM(S2:S84)</f>
        <v/>
      </c>
      <c r="T85" s="1488" t="n"/>
      <c r="U85" s="1488">
        <f>SUM(U2:U84)</f>
        <v/>
      </c>
      <c r="V85" s="1488" t="n"/>
      <c r="W85" s="1488">
        <f>SUM(W2:W84)</f>
        <v/>
      </c>
      <c r="X85" s="1488" t="n"/>
      <c r="Y85" s="1488">
        <f>SUM(Y2:Y84)</f>
        <v/>
      </c>
      <c r="Z85" s="1488" t="n"/>
      <c r="AA85" s="1488">
        <f>SUM(AA2:AA84)</f>
        <v/>
      </c>
      <c r="AB85" s="1488">
        <f>SUM(E85:AA85)</f>
        <v/>
      </c>
    </row>
    <row r="86">
      <c r="AA86" s="1487" t="inlineStr">
        <is>
          <t>R$/dia/func</t>
        </is>
      </c>
      <c r="AB86" s="667">
        <f>(AB85/365)/14</f>
        <v/>
      </c>
    </row>
  </sheetData>
  <pageMargins left="0.511811024" right="0.511811024" top="0.787401575" bottom="0.787401575" header="0.31496062" footer="0.31496062"/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2:P63"/>
  <sheetViews>
    <sheetView topLeftCell="B38" workbookViewId="0">
      <selection activeCell="J66" sqref="J66"/>
    </sheetView>
  </sheetViews>
  <sheetFormatPr baseColWidth="8" defaultRowHeight="15"/>
  <cols>
    <col width="15.28515625" bestFit="1" customWidth="1" style="1173" min="1" max="1"/>
    <col width="30.28515625" bestFit="1" customWidth="1" style="1173" min="2" max="2"/>
    <col width="31.140625" bestFit="1" customWidth="1" style="1173" min="3" max="3"/>
    <col width="17.7109375" customWidth="1" style="1173" min="4" max="4"/>
    <col width="14.28515625" bestFit="1" customWidth="1" style="1173" min="5" max="5"/>
    <col width="18.42578125" customWidth="1" style="1173" min="6" max="6"/>
    <col width="16.85546875" customWidth="1" style="1173" min="7" max="7"/>
    <col width="13.5703125" bestFit="1" customWidth="1" style="1173" min="8" max="8"/>
    <col width="12.85546875" bestFit="1" customWidth="1" style="1173" min="9" max="9"/>
    <col width="21" bestFit="1" customWidth="1" style="1173" min="10" max="10"/>
    <col width="13.28515625" bestFit="1" customWidth="1" style="1173" min="11" max="11"/>
    <col width="13.5703125" bestFit="1" customWidth="1" style="1173" min="13" max="13"/>
    <col width="12.85546875" bestFit="1" customWidth="1" style="1173" min="14" max="14"/>
    <col width="14" bestFit="1" customWidth="1" style="1173" min="16" max="17"/>
  </cols>
  <sheetData>
    <row r="1" ht="15.75" customHeight="1" s="1173" thickBot="1"/>
    <row r="2" ht="46.5" customHeight="1" s="1173">
      <c r="A2" s="7" t="inlineStr">
        <is>
          <t>Radoll/Silo</t>
        </is>
      </c>
      <c r="B2" s="8" t="inlineStr">
        <is>
          <t>Consumo kw/h/mês fora Ponta</t>
        </is>
      </c>
      <c r="C2" s="8" t="inlineStr">
        <is>
          <t>Consumo kw/h/mês na Ponta</t>
        </is>
      </c>
      <c r="D2" s="8" t="inlineStr">
        <is>
          <t xml:space="preserve">Demanda </t>
        </is>
      </c>
      <c r="E2" s="9" t="inlineStr">
        <is>
          <t>R$</t>
        </is>
      </c>
      <c r="G2" s="481" t="inlineStr">
        <is>
          <t>Radoll/Sede</t>
        </is>
      </c>
      <c r="H2" s="482" t="inlineStr">
        <is>
          <t>Consumo kw/h/mês -TUSD</t>
        </is>
      </c>
      <c r="I2" s="482" t="inlineStr">
        <is>
          <t>Consumo kw/h/mês TE</t>
        </is>
      </c>
      <c r="J2" s="482" t="inlineStr">
        <is>
          <t>Bandeira vermelha</t>
        </is>
      </c>
      <c r="K2" s="483" t="inlineStr">
        <is>
          <t>R$</t>
        </is>
      </c>
      <c r="M2" s="7" t="inlineStr">
        <is>
          <t>INTERNET</t>
        </is>
      </c>
      <c r="N2" s="14" t="inlineStr">
        <is>
          <t>TOTAL</t>
        </is>
      </c>
      <c r="P2" t="inlineStr">
        <is>
          <t>Total</t>
        </is>
      </c>
    </row>
    <row r="3">
      <c r="A3" s="10" t="inlineStr">
        <is>
          <t>Outubro</t>
        </is>
      </c>
      <c r="B3" s="11" t="n">
        <v>1623</v>
      </c>
      <c r="C3" s="11" t="n">
        <v>108</v>
      </c>
      <c r="D3" s="11" t="n">
        <v>33</v>
      </c>
      <c r="E3" s="12">
        <f>(B3*0.45)+(C3*3.9)+(D3*49.68)+200</f>
        <v/>
      </c>
      <c r="F3" s="412" t="n"/>
      <c r="G3" s="507" t="inlineStr">
        <is>
          <t>Outubro</t>
        </is>
      </c>
      <c r="H3" s="178" t="n"/>
      <c r="I3" s="178" t="n"/>
      <c r="J3" s="178" t="n"/>
      <c r="K3" s="485" t="n">
        <v>100</v>
      </c>
      <c r="L3" s="412" t="n"/>
      <c r="M3" s="15" t="inlineStr">
        <is>
          <t>Outurbro</t>
        </is>
      </c>
      <c r="N3" s="16" t="n">
        <v>240</v>
      </c>
      <c r="P3" s="61">
        <f>SUM(N3,K3,E3)</f>
        <v/>
      </c>
    </row>
    <row r="4">
      <c r="A4" s="10" t="inlineStr">
        <is>
          <t>Novembro</t>
        </is>
      </c>
      <c r="B4" s="11" t="n">
        <v>2200</v>
      </c>
      <c r="C4" s="11" t="n">
        <v>47</v>
      </c>
      <c r="D4" s="11" t="n">
        <v>34</v>
      </c>
      <c r="E4" s="12">
        <f>(B4*0.45)+(C4*3.9)+(D4*49.68)+200</f>
        <v/>
      </c>
      <c r="F4" s="11" t="n"/>
      <c r="G4" s="501" t="inlineStr">
        <is>
          <t>Novembro</t>
        </is>
      </c>
      <c r="H4" s="178" t="n"/>
      <c r="I4" s="178" t="n"/>
      <c r="J4" s="178" t="n"/>
      <c r="K4" s="485" t="n">
        <v>100</v>
      </c>
      <c r="L4" s="1222" t="n"/>
      <c r="M4" s="15" t="inlineStr">
        <is>
          <t>Novembro</t>
        </is>
      </c>
      <c r="N4" s="16" t="n">
        <v>240</v>
      </c>
      <c r="P4" s="61">
        <f>SUM(N4,K4,E4)</f>
        <v/>
      </c>
    </row>
    <row r="5">
      <c r="A5" s="10" t="inlineStr">
        <is>
          <t>Dezembro</t>
        </is>
      </c>
      <c r="B5" s="11" t="n">
        <v>2400</v>
      </c>
      <c r="C5" s="11" t="n">
        <v>60</v>
      </c>
      <c r="D5" s="11" t="n">
        <v>34</v>
      </c>
      <c r="E5" s="12">
        <f>(B5*0.45)+(C5*3.9)+(D5*49.68)+200</f>
        <v/>
      </c>
      <c r="F5" s="11" t="n"/>
      <c r="G5" s="498" t="inlineStr">
        <is>
          <t>Dezembro</t>
        </is>
      </c>
      <c r="H5" s="178" t="n"/>
      <c r="I5" s="178" t="n"/>
      <c r="J5" s="178" t="n"/>
      <c r="K5" s="485" t="n">
        <v>100</v>
      </c>
      <c r="L5" s="1132" t="n"/>
      <c r="M5" s="15" t="inlineStr">
        <is>
          <t>Dez</t>
        </is>
      </c>
      <c r="N5" s="16" t="n">
        <v>240</v>
      </c>
      <c r="P5" s="61">
        <f>SUM(N5,K5,E5)</f>
        <v/>
      </c>
    </row>
    <row r="6">
      <c r="A6" s="10" t="inlineStr">
        <is>
          <t>Janeiro</t>
        </is>
      </c>
      <c r="B6" s="11" t="n">
        <v>1000</v>
      </c>
      <c r="C6" s="11" t="n">
        <v>127</v>
      </c>
      <c r="D6" s="11" t="n">
        <v>40</v>
      </c>
      <c r="E6" s="12">
        <f>(B6*0.45)+(C6*3.9)+(D6*49.68)+200</f>
        <v/>
      </c>
      <c r="F6" s="11" t="n"/>
      <c r="G6" s="498" t="inlineStr">
        <is>
          <t>Janeiro</t>
        </is>
      </c>
      <c r="H6" s="178" t="n"/>
      <c r="I6" s="178" t="n"/>
      <c r="J6" s="178" t="n"/>
      <c r="K6" s="485" t="n">
        <v>100</v>
      </c>
      <c r="L6" s="1132" t="n"/>
      <c r="M6" s="15" t="inlineStr">
        <is>
          <t>Jan</t>
        </is>
      </c>
      <c r="N6" s="16" t="n">
        <v>240</v>
      </c>
      <c r="P6" s="61">
        <f>SUM(N6,K6,E6)</f>
        <v/>
      </c>
    </row>
    <row r="7">
      <c r="A7" s="10" t="inlineStr">
        <is>
          <t xml:space="preserve">Fevereiro </t>
        </is>
      </c>
      <c r="B7" s="11" t="n">
        <v>1720</v>
      </c>
      <c r="C7" s="11" t="n">
        <v>72</v>
      </c>
      <c r="D7" s="11" t="n">
        <v>70</v>
      </c>
      <c r="E7" s="12">
        <f>(B7*0.45)+(C7*3.9)+(D7*49.68)+200</f>
        <v/>
      </c>
      <c r="F7" s="11" t="n"/>
      <c r="G7" s="498" t="inlineStr">
        <is>
          <t xml:space="preserve">Fevereiro </t>
        </is>
      </c>
      <c r="H7" s="178" t="n"/>
      <c r="I7" s="178" t="n"/>
      <c r="J7" s="178" t="n"/>
      <c r="K7" s="485" t="n">
        <v>100</v>
      </c>
      <c r="L7" s="1122" t="n"/>
      <c r="M7" s="15" t="inlineStr">
        <is>
          <t>Fevereiro</t>
        </is>
      </c>
      <c r="N7" s="16" t="n">
        <v>240</v>
      </c>
      <c r="P7" s="61">
        <f>SUM(N7,K7,E7)</f>
        <v/>
      </c>
    </row>
    <row r="8">
      <c r="A8" s="10" t="inlineStr">
        <is>
          <t xml:space="preserve">Março </t>
        </is>
      </c>
      <c r="B8" s="11" t="n">
        <v>1620</v>
      </c>
      <c r="C8" s="11" t="n">
        <v>84</v>
      </c>
      <c r="D8" s="11" t="n">
        <v>7</v>
      </c>
      <c r="E8" s="12">
        <f>(B8*0.45)+(C8*3.9)+(D8*49.68)+200</f>
        <v/>
      </c>
      <c r="F8" s="11" t="n"/>
      <c r="G8" s="498" t="inlineStr">
        <is>
          <t xml:space="preserve">Março </t>
        </is>
      </c>
      <c r="H8" s="178" t="n"/>
      <c r="I8" s="178" t="n"/>
      <c r="J8" s="178" t="n"/>
      <c r="K8" s="485" t="n">
        <v>100</v>
      </c>
      <c r="L8" s="1489" t="n"/>
      <c r="M8" s="15" t="inlineStr">
        <is>
          <t>Março</t>
        </is>
      </c>
      <c r="N8" s="16" t="n">
        <v>240</v>
      </c>
      <c r="P8" s="61">
        <f>SUM(N8,K8,E8)</f>
        <v/>
      </c>
    </row>
    <row r="9">
      <c r="A9" s="10" t="inlineStr">
        <is>
          <t xml:space="preserve">Abril </t>
        </is>
      </c>
      <c r="B9" s="11" t="n">
        <v>10700</v>
      </c>
      <c r="C9" s="11" t="n">
        <v>240</v>
      </c>
      <c r="D9" s="11" t="n">
        <v>140</v>
      </c>
      <c r="E9" s="12">
        <f>(B9*0.45)+(C9*3.9)+(D9*49.68)+200</f>
        <v/>
      </c>
      <c r="F9" s="11" t="n"/>
      <c r="G9" s="498" t="inlineStr">
        <is>
          <t xml:space="preserve">Abril </t>
        </is>
      </c>
      <c r="H9" s="178" t="n"/>
      <c r="I9" s="178" t="n"/>
      <c r="J9" s="1490" t="n"/>
      <c r="K9" s="485" t="n">
        <v>100</v>
      </c>
      <c r="L9" s="1489" t="n"/>
      <c r="M9" s="15" t="inlineStr">
        <is>
          <t>Abril</t>
        </is>
      </c>
      <c r="N9" s="16" t="n">
        <v>240</v>
      </c>
      <c r="P9" s="61">
        <f>SUM(N9,K9,E9)</f>
        <v/>
      </c>
    </row>
    <row r="10">
      <c r="A10" s="10" t="inlineStr">
        <is>
          <t xml:space="preserve">Maio </t>
        </is>
      </c>
      <c r="B10" s="11" t="n">
        <v>3350</v>
      </c>
      <c r="C10" s="11" t="n">
        <v>57</v>
      </c>
      <c r="D10" s="11" t="n">
        <v>70</v>
      </c>
      <c r="E10" s="12">
        <f>(B10*0.45)+(C10*3.9)+(D10*49.68)+200</f>
        <v/>
      </c>
      <c r="F10" s="11" t="n"/>
      <c r="G10" s="498" t="inlineStr">
        <is>
          <t xml:space="preserve">Maio </t>
        </is>
      </c>
      <c r="H10" s="178" t="n"/>
      <c r="I10" s="178" t="n"/>
      <c r="J10" s="178" t="n"/>
      <c r="K10" s="485" t="n">
        <v>100</v>
      </c>
      <c r="M10" s="15" t="inlineStr">
        <is>
          <t>Maio</t>
        </is>
      </c>
      <c r="N10" s="16" t="n">
        <v>240</v>
      </c>
      <c r="P10" s="61">
        <f>SUM(N10,K10,E10)</f>
        <v/>
      </c>
    </row>
    <row r="11">
      <c r="A11" s="10" t="inlineStr">
        <is>
          <t>Junho</t>
        </is>
      </c>
      <c r="B11" s="11" t="n">
        <v>1471</v>
      </c>
      <c r="C11" s="11" t="n">
        <v>50</v>
      </c>
      <c r="D11" s="11" t="n">
        <v>42</v>
      </c>
      <c r="E11" s="12">
        <f>(B11*0.45)+(C11*3.9)+(D11*49.68)+200</f>
        <v/>
      </c>
      <c r="F11" s="11" t="n"/>
      <c r="G11" s="498" t="inlineStr">
        <is>
          <t>Junho</t>
        </is>
      </c>
      <c r="H11" s="178" t="n"/>
      <c r="I11" s="178" t="n"/>
      <c r="J11" s="178" t="n"/>
      <c r="K11" s="485" t="n">
        <v>100</v>
      </c>
      <c r="M11" s="15" t="inlineStr">
        <is>
          <t>Junho</t>
        </is>
      </c>
      <c r="N11" s="16" t="n">
        <v>240</v>
      </c>
      <c r="P11" s="61">
        <f>SUM(N11,K11,E11)</f>
        <v/>
      </c>
    </row>
    <row r="12">
      <c r="A12" s="10" t="inlineStr">
        <is>
          <t>Julho</t>
        </is>
      </c>
      <c r="B12" s="11" t="n">
        <v>1300</v>
      </c>
      <c r="C12" s="11" t="n">
        <v>55</v>
      </c>
      <c r="D12" s="11" t="n">
        <v>42</v>
      </c>
      <c r="E12" s="12">
        <f>(B12*0.45)+(C12*3.9)+(D12*49.68)+200</f>
        <v/>
      </c>
      <c r="F12" s="11" t="n"/>
      <c r="G12" s="498" t="inlineStr">
        <is>
          <t>Julho</t>
        </is>
      </c>
      <c r="H12" s="178" t="n"/>
      <c r="I12" s="178" t="n"/>
      <c r="J12" s="178" t="n"/>
      <c r="K12" s="485" t="n">
        <v>100</v>
      </c>
      <c r="M12" s="15" t="inlineStr">
        <is>
          <t>Julho</t>
        </is>
      </c>
      <c r="N12" s="16" t="n">
        <v>240</v>
      </c>
      <c r="P12" s="61">
        <f>SUM(N12,K12,E12)</f>
        <v/>
      </c>
    </row>
    <row r="13">
      <c r="A13" s="10" t="inlineStr">
        <is>
          <t>Agosto</t>
        </is>
      </c>
      <c r="B13" s="11" t="n">
        <v>1200</v>
      </c>
      <c r="C13" s="11" t="n">
        <v>30</v>
      </c>
      <c r="D13" s="11" t="n">
        <v>41</v>
      </c>
      <c r="E13" s="12">
        <f>(B13*0.45)+(C13*3.9)+(D13*49.68)+200</f>
        <v/>
      </c>
      <c r="F13" s="11" t="n"/>
      <c r="G13" s="498" t="inlineStr">
        <is>
          <t>Agosto</t>
        </is>
      </c>
      <c r="H13" s="178" t="n"/>
      <c r="I13" s="178" t="n"/>
      <c r="J13" s="178" t="n"/>
      <c r="K13" s="485" t="n">
        <v>100</v>
      </c>
      <c r="M13" s="17" t="inlineStr">
        <is>
          <t>Agosto</t>
        </is>
      </c>
      <c r="N13" s="16" t="n">
        <v>240</v>
      </c>
      <c r="P13" s="61">
        <f>SUM(N13,K13,E13)</f>
        <v/>
      </c>
    </row>
    <row r="14" ht="15.75" customHeight="1" s="1173" thickBot="1">
      <c r="A14" s="10" t="inlineStr">
        <is>
          <t>Setembro</t>
        </is>
      </c>
      <c r="B14" s="619" t="n">
        <v>1100</v>
      </c>
      <c r="C14" s="619" t="n">
        <v>42</v>
      </c>
      <c r="D14" s="11" t="n">
        <v>45</v>
      </c>
      <c r="E14" s="12">
        <f>(B14*0.45)+(C14*3.9)+(D14*49.68)+200</f>
        <v/>
      </c>
      <c r="G14" s="484" t="inlineStr">
        <is>
          <t>Setembro</t>
        </is>
      </c>
      <c r="H14" s="178" t="n"/>
      <c r="I14" s="178" t="n"/>
      <c r="J14" s="178" t="n"/>
      <c r="K14" s="485" t="n">
        <v>100</v>
      </c>
      <c r="M14" s="18" t="inlineStr">
        <is>
          <t>Setembro</t>
        </is>
      </c>
      <c r="N14" s="16" t="n">
        <v>240</v>
      </c>
      <c r="P14" s="61">
        <f>SUM(N14,K14,E14)</f>
        <v/>
      </c>
    </row>
    <row r="15" ht="15.75" customHeight="1" s="1173" thickBot="1">
      <c r="A15" s="13" t="n"/>
      <c r="B15" s="409" t="n">
        <v>118200</v>
      </c>
      <c r="C15" s="409" t="inlineStr">
        <is>
          <t>Cambio 5,20</t>
        </is>
      </c>
      <c r="D15" s="409">
        <f>D14*5.2</f>
        <v/>
      </c>
      <c r="E15" s="487">
        <f>SUM(E3:E14)</f>
        <v/>
      </c>
      <c r="I15">
        <f>I14*5.2</f>
        <v/>
      </c>
      <c r="K15" s="486">
        <f>SUM(K3:K14)</f>
        <v/>
      </c>
      <c r="M15" s="19" t="n"/>
      <c r="N15" s="689">
        <f>SUM(N3:N14)</f>
        <v/>
      </c>
      <c r="P15" s="691">
        <f>SUM(P3:P14)</f>
        <v/>
      </c>
    </row>
    <row r="18" ht="18.75" customHeight="1" s="1173">
      <c r="B18" s="1491" t="inlineStr">
        <is>
          <t xml:space="preserve">                Planilha de   Veiculos   Agroservice - Exercício  2022</t>
        </is>
      </c>
      <c r="C18" s="1491" t="inlineStr">
        <is>
          <t xml:space="preserve">                Planilha de   Veiculos   Agroservice - Exercício  2022</t>
        </is>
      </c>
      <c r="D18" s="1491" t="inlineStr">
        <is>
          <t xml:space="preserve">                Planilha de   Veiculos   Agroservice - Exercício  2022</t>
        </is>
      </c>
      <c r="E18" s="1491" t="inlineStr">
        <is>
          <t xml:space="preserve">                Planilha de   Veiculos   Agroservice - Exercício  2022</t>
        </is>
      </c>
      <c r="F18" s="1491" t="inlineStr">
        <is>
          <t xml:space="preserve">                Planilha de   Veiculos   Agroservice - Exercício  2022</t>
        </is>
      </c>
      <c r="G18" s="1491" t="inlineStr">
        <is>
          <t xml:space="preserve">                Planilha de   Veiculos   Agroservice - Exercício  2022</t>
        </is>
      </c>
      <c r="H18" s="1491" t="inlineStr">
        <is>
          <t xml:space="preserve">                Planilha de   Veiculos   Agroservice - Exercício  2022</t>
        </is>
      </c>
      <c r="I18" s="1491" t="inlineStr">
        <is>
          <t xml:space="preserve">                Planilha de   Veiculos   Agroservice - Exercício  2022</t>
        </is>
      </c>
      <c r="J18" s="123" t="n"/>
    </row>
    <row r="19">
      <c r="B19" s="717" t="inlineStr">
        <is>
          <t>veiculos</t>
        </is>
      </c>
      <c r="C19" s="717" t="inlineStr">
        <is>
          <t>Chassi:</t>
        </is>
      </c>
      <c r="D19" s="717" t="inlineStr">
        <is>
          <t>Renavam:</t>
        </is>
      </c>
      <c r="E19" s="717" t="inlineStr">
        <is>
          <t xml:space="preserve">Placa:    </t>
        </is>
      </c>
      <c r="F19" s="717" t="inlineStr">
        <is>
          <t>Valor normal</t>
        </is>
      </c>
      <c r="G19" s="717" t="inlineStr">
        <is>
          <t>Valor c desconto</t>
        </is>
      </c>
      <c r="H19" s="717" t="inlineStr">
        <is>
          <t>CRLV -2021</t>
        </is>
      </c>
      <c r="I19" s="717" t="inlineStr">
        <is>
          <t>Situação</t>
        </is>
      </c>
      <c r="J19" s="718" t="inlineStr">
        <is>
          <t xml:space="preserve">Proprietarios </t>
        </is>
      </c>
    </row>
    <row r="20">
      <c r="A20" s="807" t="inlineStr">
        <is>
          <t>F4000 2019</t>
        </is>
      </c>
      <c r="B20" s="788" t="inlineStr">
        <is>
          <t xml:space="preserve">       F4000 a</t>
        </is>
      </c>
      <c r="C20" s="810" t="inlineStr">
        <is>
          <t>9BFLF47P6KB017257</t>
        </is>
      </c>
      <c r="D20" s="811" t="n">
        <v>1183397566</v>
      </c>
      <c r="E20" s="811" t="inlineStr">
        <is>
          <t>PRV3B48</t>
        </is>
      </c>
      <c r="F20" s="812" t="n"/>
      <c r="G20" s="1492" t="n">
        <v>1132</v>
      </c>
      <c r="H20" s="812" t="n"/>
      <c r="I20" s="814" t="inlineStr">
        <is>
          <t>ok</t>
        </is>
      </c>
      <c r="J20" s="440" t="inlineStr">
        <is>
          <t>AGROINVEST</t>
        </is>
      </c>
    </row>
    <row r="21" ht="15.75" customHeight="1" s="1173">
      <c r="B21" s="719" t="inlineStr">
        <is>
          <t xml:space="preserve">       F4000</t>
        </is>
      </c>
      <c r="C21" s="720" t="inlineStr">
        <is>
          <t>9BFLF4799BB098143</t>
        </is>
      </c>
      <c r="D21" s="721" t="n">
        <v>464016150</v>
      </c>
      <c r="E21" s="722" t="inlineStr">
        <is>
          <t>NZU-7394</t>
        </is>
      </c>
      <c r="F21" s="1493" t="n"/>
      <c r="G21" s="1493" t="n">
        <v>622.85</v>
      </c>
      <c r="H21" s="724" t="n"/>
      <c r="I21" s="725" t="inlineStr">
        <is>
          <t>ok</t>
        </is>
      </c>
      <c r="J21" s="124" t="inlineStr">
        <is>
          <t xml:space="preserve">AGROSERVICE </t>
        </is>
      </c>
    </row>
    <row r="22" ht="15.75" customHeight="1" s="1173">
      <c r="B22" s="788" t="inlineStr">
        <is>
          <t xml:space="preserve">       F4000 a</t>
        </is>
      </c>
      <c r="C22" s="789" t="inlineStr">
        <is>
          <t>9BFLF47949B061110</t>
        </is>
      </c>
      <c r="D22" s="790" t="n">
        <v>124118003</v>
      </c>
      <c r="E22" s="791" t="inlineStr">
        <is>
          <t>JSA-0223</t>
        </is>
      </c>
      <c r="F22" s="1494" t="n"/>
      <c r="G22" s="1494" t="n">
        <v>544.25</v>
      </c>
      <c r="H22" s="786" t="n"/>
      <c r="I22" s="787" t="inlineStr">
        <is>
          <t>ok</t>
        </is>
      </c>
      <c r="J22" s="179" t="inlineStr">
        <is>
          <t>JOHN DANIEL CARROLL</t>
        </is>
      </c>
      <c r="K22" s="88" t="n"/>
    </row>
    <row r="23" ht="15.75" customHeight="1" s="1173">
      <c r="B23" s="719" t="inlineStr">
        <is>
          <t xml:space="preserve">       F4000</t>
        </is>
      </c>
      <c r="C23" s="720" t="inlineStr">
        <is>
          <t>9BFLF4798AB077721</t>
        </is>
      </c>
      <c r="D23" s="721" t="n">
        <v>273513079</v>
      </c>
      <c r="E23" s="722" t="inlineStr">
        <is>
          <t>NYK-7967</t>
        </is>
      </c>
      <c r="F23" s="1493" t="n"/>
      <c r="G23" s="1493" t="n">
        <v>581.45</v>
      </c>
      <c r="H23" s="724" t="n"/>
      <c r="I23" s="725" t="inlineStr">
        <is>
          <t>ok</t>
        </is>
      </c>
      <c r="J23" s="124" t="inlineStr">
        <is>
          <t>JOHN DANIEL CARROLL</t>
        </is>
      </c>
    </row>
    <row r="24" ht="15.75" customHeight="1" s="1173">
      <c r="B24" s="719" t="inlineStr">
        <is>
          <t xml:space="preserve">       F4000</t>
        </is>
      </c>
      <c r="C24" s="720" t="inlineStr">
        <is>
          <t>9BFLF4791AB076751</t>
        </is>
      </c>
      <c r="D24" s="721" t="n">
        <v>273494791</v>
      </c>
      <c r="E24" s="722" t="inlineStr">
        <is>
          <t>NYK-4040</t>
        </is>
      </c>
      <c r="F24" s="1493" t="n"/>
      <c r="G24" s="1493" t="n">
        <v>581.45</v>
      </c>
      <c r="H24" s="724" t="n"/>
      <c r="I24" s="725" t="inlineStr">
        <is>
          <t>ok</t>
        </is>
      </c>
      <c r="J24" s="124" t="inlineStr">
        <is>
          <t>JOHN DANIEL CARROLL</t>
        </is>
      </c>
    </row>
    <row r="25" ht="15.75" customHeight="1" s="1173">
      <c r="B25" s="719" t="inlineStr">
        <is>
          <t xml:space="preserve">       F4000</t>
        </is>
      </c>
      <c r="C25" s="720" t="inlineStr">
        <is>
          <t>9BFLF4799BB098370</t>
        </is>
      </c>
      <c r="D25" s="721" t="n">
        <v>471104248</v>
      </c>
      <c r="E25" s="722" t="inlineStr">
        <is>
          <t>NZY-3157</t>
        </is>
      </c>
      <c r="F25" s="1493" t="n"/>
      <c r="G25" s="1495" t="n">
        <v>622.85</v>
      </c>
      <c r="H25" s="724" t="n"/>
      <c r="I25" s="725" t="inlineStr">
        <is>
          <t>ok</t>
        </is>
      </c>
      <c r="J25" s="124" t="inlineStr">
        <is>
          <t xml:space="preserve">AGROSERVICE </t>
        </is>
      </c>
    </row>
    <row r="26" ht="15.75" customHeight="1" s="1173">
      <c r="B26" s="719" t="inlineStr">
        <is>
          <t xml:space="preserve">       F4000</t>
        </is>
      </c>
      <c r="C26" s="720" t="inlineStr">
        <is>
          <t>9BFLF4797BB087433</t>
        </is>
      </c>
      <c r="D26" s="721" t="n">
        <v>337348677</v>
      </c>
      <c r="E26" s="722" t="inlineStr">
        <is>
          <t>NYZ-2185</t>
        </is>
      </c>
      <c r="F26" s="1493" t="n"/>
      <c r="G26" s="1493" t="n">
        <v>622.85</v>
      </c>
      <c r="H26" s="724" t="n"/>
      <c r="I26" s="725" t="inlineStr">
        <is>
          <t>ok</t>
        </is>
      </c>
      <c r="J26" s="124" t="inlineStr">
        <is>
          <t xml:space="preserve">AGROSERVICE </t>
        </is>
      </c>
    </row>
    <row r="27" ht="15.75" customHeight="1" s="1173">
      <c r="B27" s="727" t="inlineStr">
        <is>
          <t>VOLKSWAGEN 23230  NOVO</t>
        </is>
      </c>
      <c r="C27" s="728" t="inlineStr">
        <is>
          <t>9536G8243LR003331</t>
        </is>
      </c>
      <c r="D27" s="729" t="n">
        <v>1197330574</v>
      </c>
      <c r="E27" s="730" t="inlineStr">
        <is>
          <t>PLT-5I44</t>
        </is>
      </c>
      <c r="F27" s="1495" t="n"/>
      <c r="G27" s="1495" t="n">
        <v>1939.19</v>
      </c>
      <c r="H27" s="724" t="n"/>
      <c r="I27" s="725" t="inlineStr">
        <is>
          <t>ok</t>
        </is>
      </c>
      <c r="J27" s="124" t="inlineStr">
        <is>
          <t xml:space="preserve">AGROSERVICE </t>
        </is>
      </c>
    </row>
    <row r="28" ht="15.75" customHeight="1" s="1173">
      <c r="B28" s="727" t="inlineStr">
        <is>
          <t xml:space="preserve">FORD 2422 E </t>
        </is>
      </c>
      <c r="C28" s="731" t="inlineStr">
        <is>
          <t>9BFYCEHVX7BB99495</t>
        </is>
      </c>
      <c r="D28" s="729" t="n">
        <v>954271483</v>
      </c>
      <c r="E28" s="732" t="inlineStr">
        <is>
          <t>JRC-6349</t>
        </is>
      </c>
      <c r="F28" s="1493" t="n"/>
      <c r="G28" s="1493" t="n">
        <v>840.8</v>
      </c>
      <c r="H28" s="724" t="n"/>
      <c r="I28" s="725" t="inlineStr">
        <is>
          <t>ok</t>
        </is>
      </c>
      <c r="J28" s="124" t="inlineStr">
        <is>
          <t>JOHN DANIEL CARROLL</t>
        </is>
      </c>
    </row>
    <row r="29" ht="15.75" customHeight="1" s="1173">
      <c r="B29" s="781" t="inlineStr">
        <is>
          <t>FORD 2422 E  a</t>
        </is>
      </c>
      <c r="C29" s="782" t="inlineStr">
        <is>
          <t>9BFYCEHV47BB89394</t>
        </is>
      </c>
      <c r="D29" s="783" t="n">
        <v>954273478</v>
      </c>
      <c r="E29" s="784" t="inlineStr">
        <is>
          <t>JRE-1214</t>
        </is>
      </c>
      <c r="F29" s="1494" t="n"/>
      <c r="G29" s="1494" t="n">
        <v>840.8</v>
      </c>
      <c r="H29" s="786" t="n"/>
      <c r="I29" s="787" t="inlineStr">
        <is>
          <t>ok</t>
        </is>
      </c>
      <c r="J29" s="179" t="inlineStr">
        <is>
          <t>JOHN DANIEL CARROLL</t>
        </is>
      </c>
      <c r="K29" s="88" t="n"/>
    </row>
    <row r="30" ht="15.75" customHeight="1" s="1173">
      <c r="B30" s="727" t="inlineStr">
        <is>
          <t>ONIBUS</t>
        </is>
      </c>
      <c r="C30" s="731" t="inlineStr">
        <is>
          <t>9BM384088NB944904</t>
        </is>
      </c>
      <c r="D30" s="729" t="n">
        <v>319418359</v>
      </c>
      <c r="E30" s="732" t="inlineStr">
        <is>
          <t>KOD-1895</t>
        </is>
      </c>
      <c r="F30" s="1493" t="n"/>
      <c r="G30" s="1493" t="n">
        <v>149.16</v>
      </c>
      <c r="H30" s="724" t="n"/>
      <c r="I30" s="725" t="inlineStr">
        <is>
          <t>ok</t>
        </is>
      </c>
      <c r="J30" s="124" t="inlineStr">
        <is>
          <t>JHON DANIEL CARROLL</t>
        </is>
      </c>
    </row>
    <row r="31" ht="15.75" customHeight="1" s="1173">
      <c r="B31" s="719" t="inlineStr">
        <is>
          <t xml:space="preserve">       F350</t>
        </is>
      </c>
      <c r="C31" s="733" t="inlineStr">
        <is>
          <t xml:space="preserve">            9BFJF37939B062346        </t>
        </is>
      </c>
      <c r="D31" s="721" t="n">
        <v>124117074</v>
      </c>
      <c r="E31" s="722" t="inlineStr">
        <is>
          <t>JSA-9307</t>
        </is>
      </c>
      <c r="F31" s="1495" t="n"/>
      <c r="G31" s="1495" t="n">
        <v>589.9</v>
      </c>
      <c r="H31" s="724" t="n"/>
      <c r="I31" s="725" t="inlineStr">
        <is>
          <t xml:space="preserve">ok/v </t>
        </is>
      </c>
      <c r="J31" s="124" t="inlineStr">
        <is>
          <t>JOHN DANIEL CARROLL</t>
        </is>
      </c>
    </row>
    <row r="32" ht="15.75" customHeight="1" s="1173">
      <c r="B32" s="781" t="inlineStr">
        <is>
          <t>STRADA BRANCA NOVO 2018</t>
        </is>
      </c>
      <c r="C32" s="782" t="inlineStr">
        <is>
          <t>9BD5781FFHY167654</t>
        </is>
      </c>
      <c r="D32" s="783" t="n">
        <v>1129961807</v>
      </c>
      <c r="E32" s="784" t="inlineStr">
        <is>
          <t>PKQ-1249</t>
        </is>
      </c>
      <c r="F32" s="1496" t="n"/>
      <c r="G32" s="1496" t="n">
        <v>1049.6</v>
      </c>
      <c r="H32" s="786" t="n"/>
      <c r="I32" s="787" t="inlineStr">
        <is>
          <t>ok</t>
        </is>
      </c>
      <c r="J32" s="179" t="inlineStr">
        <is>
          <t xml:space="preserve">AGROSERVICE </t>
        </is>
      </c>
      <c r="K32" s="88" t="inlineStr">
        <is>
          <t xml:space="preserve">office </t>
        </is>
      </c>
      <c r="L32" s="88" t="inlineStr">
        <is>
          <t>ok</t>
        </is>
      </c>
    </row>
    <row r="33" ht="15.75" customHeight="1" s="1173">
      <c r="B33" s="727" t="inlineStr">
        <is>
          <t>EVOQUE PURE</t>
        </is>
      </c>
      <c r="C33" s="720" t="inlineStr">
        <is>
          <t>SALVA2BG4DH724928</t>
        </is>
      </c>
      <c r="D33" s="729" t="n">
        <v>505863987</v>
      </c>
      <c r="E33" s="732" t="inlineStr">
        <is>
          <t>OUD-7408</t>
        </is>
      </c>
      <c r="F33" s="1495" t="n"/>
      <c r="G33" s="1495" t="n">
        <v>2114.6</v>
      </c>
      <c r="H33" s="724" t="n"/>
      <c r="I33" s="725" t="inlineStr">
        <is>
          <t>ok</t>
        </is>
      </c>
      <c r="J33" s="124" t="inlineStr">
        <is>
          <t xml:space="preserve">AGROSERVICE </t>
        </is>
      </c>
      <c r="K33" t="inlineStr">
        <is>
          <t xml:space="preserve">office </t>
        </is>
      </c>
      <c r="L33" t="inlineStr">
        <is>
          <t>ok</t>
        </is>
      </c>
    </row>
    <row r="34" ht="15.75" customHeight="1" s="1173">
      <c r="B34" s="734" t="inlineStr">
        <is>
          <t>ONIX  NOVO 2018</t>
        </is>
      </c>
      <c r="C34" s="735" t="inlineStr">
        <is>
          <t xml:space="preserve">    9BGKS48V0JG146937</t>
        </is>
      </c>
      <c r="D34" s="736" t="n">
        <v>1124430986</v>
      </c>
      <c r="E34" s="737" t="inlineStr">
        <is>
          <t>PKO-5490</t>
        </is>
      </c>
      <c r="F34" s="738" t="n"/>
      <c r="G34" s="738" t="n">
        <v>1189.01</v>
      </c>
      <c r="H34" s="724" t="n"/>
      <c r="I34" s="725" t="inlineStr">
        <is>
          <t>ok</t>
        </is>
      </c>
      <c r="J34" s="124" t="inlineStr">
        <is>
          <t xml:space="preserve">AGROSERVICE </t>
        </is>
      </c>
      <c r="K34" t="inlineStr">
        <is>
          <t xml:space="preserve">office </t>
        </is>
      </c>
      <c r="L34" t="inlineStr">
        <is>
          <t>ok</t>
        </is>
      </c>
    </row>
    <row r="35" ht="15.75" customHeight="1" s="1173">
      <c r="B35" s="727" t="inlineStr">
        <is>
          <t>FOX</t>
        </is>
      </c>
      <c r="C35" s="731" t="inlineStr">
        <is>
          <t>9BWKA05Z664065844</t>
        </is>
      </c>
      <c r="D35" s="729" t="n">
        <v>865893497</v>
      </c>
      <c r="E35" s="732" t="inlineStr">
        <is>
          <t>JGO-6738</t>
        </is>
      </c>
      <c r="F35" s="1495" t="n"/>
      <c r="G35" s="1495" t="n">
        <v>149.16</v>
      </c>
      <c r="H35" s="724" t="n"/>
      <c r="I35" s="725" t="inlineStr">
        <is>
          <t>ok</t>
        </is>
      </c>
      <c r="J35" s="124" t="inlineStr">
        <is>
          <t>JOHN DANIEL CARROLL</t>
        </is>
      </c>
      <c r="K35" t="inlineStr">
        <is>
          <t xml:space="preserve">office </t>
        </is>
      </c>
      <c r="L35" t="inlineStr">
        <is>
          <t>ok</t>
        </is>
      </c>
    </row>
    <row r="36" ht="15.75" customHeight="1" s="1173">
      <c r="B36" s="727" t="inlineStr">
        <is>
          <t>QUANTUM</t>
        </is>
      </c>
      <c r="C36" s="731" t="inlineStr">
        <is>
          <t>9BWZZZ33ZNP030722</t>
        </is>
      </c>
      <c r="D36" s="729" t="n">
        <v>606002928</v>
      </c>
      <c r="E36" s="732" t="inlineStr">
        <is>
          <t>BLG-6647</t>
        </is>
      </c>
      <c r="F36" s="1495" t="n"/>
      <c r="G36" s="1495" t="n">
        <v>149.16</v>
      </c>
      <c r="H36" s="724" t="n"/>
      <c r="I36" s="725" t="inlineStr">
        <is>
          <t xml:space="preserve">ok/v </t>
        </is>
      </c>
      <c r="J36" s="124" t="inlineStr">
        <is>
          <t>JOHN DANIEL CARROLL</t>
        </is>
      </c>
      <c r="K36" t="inlineStr">
        <is>
          <t xml:space="preserve">office </t>
        </is>
      </c>
      <c r="L36" t="inlineStr">
        <is>
          <t>ok</t>
        </is>
      </c>
    </row>
    <row r="37" ht="15.75" customHeight="1" s="1173">
      <c r="B37" s="727" t="inlineStr">
        <is>
          <t>S-10 Nova  Prata - Schuh</t>
        </is>
      </c>
      <c r="C37" s="739" t="inlineStr">
        <is>
          <t>9BG148FK0LC429210</t>
        </is>
      </c>
      <c r="D37" s="729" t="n">
        <v>1226385033</v>
      </c>
      <c r="E37" s="732" t="inlineStr">
        <is>
          <t>QTZ3H12</t>
        </is>
      </c>
      <c r="F37" s="1495" t="n"/>
      <c r="G37" s="1495" t="n">
        <v>3822.27</v>
      </c>
      <c r="H37" s="724" t="n"/>
      <c r="I37" s="740" t="inlineStr">
        <is>
          <t>ok</t>
        </is>
      </c>
      <c r="J37" s="124" t="inlineStr">
        <is>
          <t xml:space="preserve">AGROSERVICE </t>
        </is>
      </c>
    </row>
    <row r="38" ht="15.75" customHeight="1" s="1173">
      <c r="B38" s="741" t="inlineStr">
        <is>
          <t xml:space="preserve">S-10  - Dan </t>
        </is>
      </c>
      <c r="C38" s="742" t="inlineStr">
        <is>
          <t>9BG148FK0FC409677</t>
        </is>
      </c>
      <c r="D38" s="743" t="n">
        <v>1036472890</v>
      </c>
      <c r="E38" s="744" t="inlineStr">
        <is>
          <t>OZV-5618</t>
        </is>
      </c>
      <c r="F38" s="1497" t="n"/>
      <c r="G38" s="1497" t="n">
        <v>2624.66</v>
      </c>
      <c r="H38" s="746" t="n"/>
      <c r="I38" s="725" t="inlineStr">
        <is>
          <t>ok</t>
        </is>
      </c>
      <c r="J38" s="124" t="inlineStr">
        <is>
          <t xml:space="preserve">AGROSERVICE </t>
        </is>
      </c>
      <c r="K38" t="inlineStr">
        <is>
          <t xml:space="preserve">office </t>
        </is>
      </c>
      <c r="L38" t="inlineStr">
        <is>
          <t>ok</t>
        </is>
      </c>
    </row>
    <row r="39" ht="15.75" customHeight="1" s="1173">
      <c r="B39" s="781" t="inlineStr">
        <is>
          <t xml:space="preserve">S-10 - nova Branca - Davi </t>
        </is>
      </c>
      <c r="C39" s="789" t="inlineStr">
        <is>
          <t>9BG148DK0KC406908</t>
        </is>
      </c>
      <c r="D39" s="793" t="n">
        <v>1154492491</v>
      </c>
      <c r="E39" s="784" t="inlineStr">
        <is>
          <t>QOK-8422</t>
        </is>
      </c>
      <c r="F39" s="1496" t="n"/>
      <c r="G39" s="1496" t="n">
        <v>2927.76</v>
      </c>
      <c r="H39" s="786" t="n"/>
      <c r="I39" s="787" t="inlineStr">
        <is>
          <t>ok</t>
        </is>
      </c>
      <c r="J39" s="179" t="inlineStr">
        <is>
          <t xml:space="preserve">AGROSERVICE </t>
        </is>
      </c>
      <c r="K39" s="88" t="inlineStr">
        <is>
          <t>radoll</t>
        </is>
      </c>
      <c r="L39" s="88" t="n"/>
    </row>
    <row r="40" ht="15.75" customHeight="1" s="1173">
      <c r="B40" s="748" t="inlineStr">
        <is>
          <t>S-10 - Dpt. Compras</t>
        </is>
      </c>
      <c r="C40" s="749" t="inlineStr">
        <is>
          <t>9BG144DK0LC431427</t>
        </is>
      </c>
      <c r="D40" s="750" t="n">
        <v>1218843494</v>
      </c>
      <c r="E40" s="751" t="inlineStr">
        <is>
          <t>QTW2B92</t>
        </is>
      </c>
      <c r="F40" s="1498" t="n"/>
      <c r="G40" s="1498" t="n">
        <v>3580.85</v>
      </c>
      <c r="H40" s="753" t="n"/>
      <c r="I40" s="725" t="inlineStr">
        <is>
          <t>ok</t>
        </is>
      </c>
      <c r="J40" s="124" t="inlineStr">
        <is>
          <t xml:space="preserve">AGROSERVICE </t>
        </is>
      </c>
    </row>
    <row r="41" ht="15.75" customHeight="1" s="1173">
      <c r="B41" s="727" t="inlineStr">
        <is>
          <t>Moto bros 150 ano 2011</t>
        </is>
      </c>
      <c r="C41" s="720" t="inlineStr">
        <is>
          <t>9C2KD0580CR500290</t>
        </is>
      </c>
      <c r="D41" s="729" t="n">
        <v>425829022</v>
      </c>
      <c r="E41" s="732" t="inlineStr">
        <is>
          <t>OGL-7521</t>
        </is>
      </c>
      <c r="F41" s="1495" t="n"/>
      <c r="G41" s="1495" t="n">
        <v>149.16</v>
      </c>
      <c r="H41" s="724" t="n"/>
      <c r="I41" s="725" t="inlineStr">
        <is>
          <t>ok</t>
        </is>
      </c>
      <c r="J41" s="124" t="inlineStr">
        <is>
          <t xml:space="preserve">AGROSERVICE </t>
        </is>
      </c>
    </row>
    <row r="42" ht="15.75" customHeight="1" s="1173">
      <c r="B42" s="727" t="inlineStr">
        <is>
          <t>Moto xtz 125 ano 2011</t>
        </is>
      </c>
      <c r="C42" s="720" t="inlineStr">
        <is>
          <t>9C6KE1260C0026212</t>
        </is>
      </c>
      <c r="D42" s="747" t="n">
        <v>459372858</v>
      </c>
      <c r="E42" s="732" t="inlineStr">
        <is>
          <t>OGZ-3372</t>
        </is>
      </c>
      <c r="F42" s="1495" t="n"/>
      <c r="G42" s="1495" t="n">
        <v>149.16</v>
      </c>
      <c r="H42" s="724" t="n"/>
      <c r="I42" s="725" t="inlineStr">
        <is>
          <t>ok</t>
        </is>
      </c>
      <c r="J42" s="124" t="inlineStr">
        <is>
          <t xml:space="preserve">AGROSERVICE </t>
        </is>
      </c>
    </row>
    <row r="43" ht="15.75" customHeight="1" s="1173">
      <c r="B43" s="781" t="inlineStr">
        <is>
          <t>Moto bros 150 ano 2011 a</t>
        </is>
      </c>
      <c r="C43" s="789" t="inlineStr">
        <is>
          <t>9C2KD0560CR500617</t>
        </is>
      </c>
      <c r="D43" s="793" t="n">
        <v>394245792</v>
      </c>
      <c r="E43" s="784" t="inlineStr">
        <is>
          <t>OGW-7606</t>
        </is>
      </c>
      <c r="F43" s="1496" t="n"/>
      <c r="G43" s="1496" t="n">
        <v>149.16</v>
      </c>
      <c r="H43" s="786" t="n"/>
      <c r="I43" s="787" t="inlineStr">
        <is>
          <t>ok</t>
        </is>
      </c>
      <c r="J43" s="179" t="inlineStr">
        <is>
          <t xml:space="preserve">AGROSERVICE </t>
        </is>
      </c>
    </row>
    <row r="44" ht="15.75" customHeight="1" s="1173">
      <c r="B44" s="727" t="inlineStr">
        <is>
          <t>HONDA BROZ</t>
        </is>
      </c>
      <c r="C44" s="731" t="inlineStr">
        <is>
          <t>9C2KD03208R036469</t>
        </is>
      </c>
      <c r="D44" s="729" t="n">
        <v>117032476</v>
      </c>
      <c r="E44" s="732" t="inlineStr">
        <is>
          <t>JRX-1383</t>
        </is>
      </c>
      <c r="F44" s="1495" t="n"/>
      <c r="G44" s="1495" t="n">
        <v>149.16</v>
      </c>
      <c r="H44" s="724" t="n"/>
      <c r="I44" s="725" t="inlineStr">
        <is>
          <t>ok</t>
        </is>
      </c>
      <c r="J44" s="124" t="inlineStr">
        <is>
          <t>JOHN DANIEL CARROLL</t>
        </is>
      </c>
    </row>
    <row r="45" ht="15.75" customHeight="1" s="1173">
      <c r="B45" s="727" t="inlineStr">
        <is>
          <t>HONDA BROZ</t>
        </is>
      </c>
      <c r="C45" s="720" t="inlineStr">
        <is>
          <t>9C2KD0530AR017279</t>
        </is>
      </c>
      <c r="D45" s="729" t="n">
        <v>273661388</v>
      </c>
      <c r="E45" s="732" t="inlineStr">
        <is>
          <t>NYK7394</t>
        </is>
      </c>
      <c r="F45" s="1495" t="n"/>
      <c r="G45" s="1495" t="n">
        <v>149.16</v>
      </c>
      <c r="H45" s="724" t="n"/>
      <c r="I45" s="725" t="inlineStr">
        <is>
          <t>ok</t>
        </is>
      </c>
      <c r="J45" s="124" t="inlineStr">
        <is>
          <t>JOHN DANIEL CARROLL</t>
        </is>
      </c>
    </row>
    <row r="46">
      <c r="B46" s="815" t="inlineStr">
        <is>
          <t xml:space="preserve"> honda bros 160cc  a</t>
        </is>
      </c>
      <c r="C46" s="811" t="inlineStr">
        <is>
          <t>9C2KD100HR002639</t>
        </is>
      </c>
      <c r="D46" s="811" t="n">
        <v>1116589777</v>
      </c>
      <c r="E46" s="811" t="inlineStr">
        <is>
          <t>PKK1003</t>
        </is>
      </c>
      <c r="F46" s="1496" t="n"/>
      <c r="G46" s="1496" t="n">
        <v>264</v>
      </c>
      <c r="H46" s="786" t="n"/>
      <c r="I46" s="787" t="inlineStr">
        <is>
          <t>ok</t>
        </is>
      </c>
      <c r="J46" s="179" t="inlineStr">
        <is>
          <t xml:space="preserve">Agroinvest </t>
        </is>
      </c>
    </row>
    <row r="47" ht="15.75" customHeight="1" s="1173">
      <c r="B47" s="727" t="inlineStr">
        <is>
          <t>HONDA BROZ PRETA</t>
        </is>
      </c>
      <c r="C47" s="720" t="inlineStr">
        <is>
          <t>9C2KD0530AR017337</t>
        </is>
      </c>
      <c r="D47" s="729" t="n">
        <v>273663143</v>
      </c>
      <c r="E47" s="732" t="inlineStr">
        <is>
          <t>NYK-3552</t>
        </is>
      </c>
      <c r="F47" s="1495" t="n"/>
      <c r="G47" s="1495" t="n">
        <v>149.16</v>
      </c>
      <c r="H47" s="724" t="n"/>
      <c r="I47" s="725" t="inlineStr">
        <is>
          <t>ok</t>
        </is>
      </c>
      <c r="J47" s="124" t="inlineStr">
        <is>
          <t>JOHN DANIEL CARROLL</t>
        </is>
      </c>
    </row>
    <row r="48" ht="15.75" customHeight="1" s="1173">
      <c r="B48" s="727" t="inlineStr">
        <is>
          <t>HONDA BIZ</t>
        </is>
      </c>
      <c r="C48" s="731" t="inlineStr">
        <is>
          <t>9C2HA07103R065270</t>
        </is>
      </c>
      <c r="D48" s="729" t="n">
        <v>827421311</v>
      </c>
      <c r="E48" s="732" t="inlineStr">
        <is>
          <t>JQE-5117</t>
        </is>
      </c>
      <c r="F48" s="1495" t="n"/>
      <c r="G48" s="1495" t="n">
        <v>149.16</v>
      </c>
      <c r="H48" s="724" t="n"/>
      <c r="I48" s="725" t="inlineStr">
        <is>
          <t>ok</t>
        </is>
      </c>
      <c r="J48" s="124" t="inlineStr">
        <is>
          <t xml:space="preserve">AGROSERVICE </t>
        </is>
      </c>
      <c r="K48" t="inlineStr">
        <is>
          <t xml:space="preserve">office </t>
        </is>
      </c>
      <c r="L48" t="inlineStr">
        <is>
          <t>ok</t>
        </is>
      </c>
    </row>
    <row r="49" ht="15.75" customHeight="1" s="1173">
      <c r="B49" s="802" t="inlineStr">
        <is>
          <t>YAMAHA XTZ-125</t>
        </is>
      </c>
      <c r="C49" s="803" t="inlineStr">
        <is>
          <t>9C6KE1260C0027940</t>
        </is>
      </c>
      <c r="D49" s="804" t="n">
        <v>492843651</v>
      </c>
      <c r="E49" s="805" t="inlineStr">
        <is>
          <t>OMY-0515</t>
        </is>
      </c>
      <c r="F49" s="1499" t="n"/>
      <c r="G49" s="1499" t="n">
        <v>149.16</v>
      </c>
      <c r="H49" s="778" t="n"/>
      <c r="I49" s="806" t="inlineStr">
        <is>
          <t>ok</t>
        </is>
      </c>
      <c r="J49" s="120" t="inlineStr">
        <is>
          <t xml:space="preserve">AGROSERVICE </t>
        </is>
      </c>
    </row>
    <row r="50" ht="15.75" customHeight="1" s="1173">
      <c r="B50" s="802" t="inlineStr">
        <is>
          <t>YAMAHA XTZ-125</t>
        </is>
      </c>
      <c r="C50" s="803" t="inlineStr">
        <is>
          <t>9C6KE1260C0027588</t>
        </is>
      </c>
      <c r="D50" s="804" t="n">
        <v>492844577</v>
      </c>
      <c r="E50" s="805" t="inlineStr">
        <is>
          <t>OMY-0565</t>
        </is>
      </c>
      <c r="F50" s="1499" t="n"/>
      <c r="G50" s="1499" t="n">
        <v>149.16</v>
      </c>
      <c r="H50" s="778" t="n"/>
      <c r="I50" s="806" t="inlineStr">
        <is>
          <t>ok</t>
        </is>
      </c>
      <c r="J50" s="120" t="inlineStr">
        <is>
          <t xml:space="preserve">AGROSERVICE </t>
        </is>
      </c>
    </row>
    <row r="51" ht="15.75" customHeight="1" s="1173">
      <c r="B51" s="741" t="inlineStr">
        <is>
          <t xml:space="preserve">REBOQUE  </t>
        </is>
      </c>
      <c r="C51" s="754" t="inlineStr">
        <is>
          <t>C1C1546CIC</t>
        </is>
      </c>
      <c r="D51" s="755" t="n">
        <v>216160260</v>
      </c>
      <c r="E51" s="744" t="inlineStr">
        <is>
          <t>JOL- 1037</t>
        </is>
      </c>
      <c r="F51" s="1495" t="n"/>
      <c r="G51" s="1495" t="n">
        <v>149.16</v>
      </c>
      <c r="H51" s="724" t="n"/>
      <c r="I51" s="725" t="inlineStr">
        <is>
          <t>ok</t>
        </is>
      </c>
      <c r="J51" s="124" t="inlineStr">
        <is>
          <t xml:space="preserve">AGROSERVICE </t>
        </is>
      </c>
    </row>
    <row r="52" ht="15.75" customHeight="1" s="1173">
      <c r="B52" s="741" t="inlineStr">
        <is>
          <t xml:space="preserve">REBOQUE  </t>
        </is>
      </c>
      <c r="C52" s="756" t="inlineStr">
        <is>
          <t>9A9V11530V2AD9142</t>
        </is>
      </c>
      <c r="D52" s="755" t="n">
        <v>692229485</v>
      </c>
      <c r="E52" s="744" t="inlineStr">
        <is>
          <t>JLI-9419</t>
        </is>
      </c>
      <c r="F52" s="1497" t="n"/>
      <c r="G52" s="1497" t="n">
        <v>149.16</v>
      </c>
      <c r="H52" s="724" t="n"/>
      <c r="I52" s="725" t="inlineStr">
        <is>
          <t>ok</t>
        </is>
      </c>
      <c r="J52" s="124" t="inlineStr">
        <is>
          <t xml:space="preserve">AGROSERVICE </t>
        </is>
      </c>
    </row>
    <row r="53" ht="15.75" customHeight="1" s="1173">
      <c r="B53" s="757" t="inlineStr">
        <is>
          <t>Moto bros 150 ano 2011</t>
        </is>
      </c>
      <c r="C53" s="728" t="inlineStr">
        <is>
          <t>Carroll Farms</t>
        </is>
      </c>
      <c r="D53" s="758" t="inlineStr">
        <is>
          <t>9C2KD0560CR506030</t>
        </is>
      </c>
      <c r="E53" s="1500" t="inlineStr">
        <is>
          <t>N emplacada</t>
        </is>
      </c>
      <c r="F53" s="1500" t="inlineStr">
        <is>
          <t>N emplacada</t>
        </is>
      </c>
      <c r="G53" s="1500" t="inlineStr">
        <is>
          <t>N emplacada</t>
        </is>
      </c>
      <c r="H53" s="759" t="n"/>
      <c r="I53" s="124" t="n"/>
      <c r="J53" s="124" t="inlineStr">
        <is>
          <t>CARROLL FARMS BRASIL</t>
        </is>
      </c>
    </row>
    <row r="54" ht="15.75" customHeight="1" s="1173">
      <c r="B54" s="757" t="inlineStr">
        <is>
          <t>Moto bros 150 ano 2010</t>
        </is>
      </c>
      <c r="C54" s="728" t="inlineStr">
        <is>
          <t xml:space="preserve">JONH </t>
        </is>
      </c>
      <c r="D54" s="728" t="inlineStr">
        <is>
          <t>9C2KD0530AR002069</t>
        </is>
      </c>
      <c r="E54" s="1501" t="inlineStr">
        <is>
          <t>N emplacada</t>
        </is>
      </c>
      <c r="F54" s="1501" t="inlineStr">
        <is>
          <t>N emplacada</t>
        </is>
      </c>
      <c r="G54" s="1501" t="inlineStr">
        <is>
          <t>N emplacada</t>
        </is>
      </c>
      <c r="H54" s="759" t="n"/>
      <c r="I54" s="124" t="n"/>
      <c r="J54" s="124" t="inlineStr">
        <is>
          <t>JHON DANIEL CARROLL</t>
        </is>
      </c>
    </row>
    <row r="55" ht="15.75" customHeight="1" s="1173">
      <c r="B55" s="760" t="inlineStr">
        <is>
          <t>Ford Ranger XLS LUIZ</t>
        </is>
      </c>
      <c r="C55" s="761" t="n"/>
      <c r="D55" s="762" t="n">
        <v>1271767179</v>
      </c>
      <c r="E55" s="762" t="inlineStr">
        <is>
          <t>RDJ0C64</t>
        </is>
      </c>
      <c r="F55" s="763" t="n"/>
      <c r="G55" s="764" t="n">
        <v>3688.65</v>
      </c>
      <c r="H55" s="765" t="n"/>
      <c r="I55" s="120" t="inlineStr">
        <is>
          <t>ok</t>
        </is>
      </c>
      <c r="J55" s="120" t="inlineStr">
        <is>
          <t xml:space="preserve">AGROSERVICE </t>
        </is>
      </c>
    </row>
    <row r="56" ht="15.75" customHeight="1" s="1173">
      <c r="B56" s="766" t="inlineStr">
        <is>
          <t xml:space="preserve">F4000 2020 </t>
        </is>
      </c>
      <c r="C56" s="767" t="n"/>
      <c r="D56" s="762" t="n">
        <v>1053727647</v>
      </c>
      <c r="E56" s="768" t="inlineStr">
        <is>
          <t>PJI - 6B81</t>
        </is>
      </c>
      <c r="F56" s="763" t="n"/>
      <c r="G56" s="769" t="n">
        <v>952.12</v>
      </c>
      <c r="H56" s="765" t="n"/>
      <c r="I56" s="120" t="inlineStr">
        <is>
          <t>ok</t>
        </is>
      </c>
      <c r="J56" s="120" t="inlineStr">
        <is>
          <t xml:space="preserve">AGROSERVICE </t>
        </is>
      </c>
    </row>
    <row r="57" ht="15.75" customHeight="1" s="1173">
      <c r="B57" s="770" t="inlineStr">
        <is>
          <t xml:space="preserve"> VOLVO/VM 330 8X2R/Feed Truck</t>
        </is>
      </c>
      <c r="C57" s="771" t="inlineStr">
        <is>
          <t xml:space="preserve"> 93KP0S1F6ME174489</t>
        </is>
      </c>
      <c r="D57" s="771" t="n">
        <v>1272019966</v>
      </c>
      <c r="E57" s="772" t="inlineStr">
        <is>
          <t>RDJ0I77</t>
        </is>
      </c>
      <c r="F57" s="763" t="n"/>
      <c r="G57" s="769" t="n">
        <v>3181.69</v>
      </c>
      <c r="H57" s="765" t="n"/>
      <c r="I57" s="120" t="inlineStr">
        <is>
          <t>ok</t>
        </is>
      </c>
      <c r="J57" s="120" t="inlineStr">
        <is>
          <t xml:space="preserve">AGROSERVICE </t>
        </is>
      </c>
    </row>
    <row r="58" ht="15.75" customHeight="1" s="1173">
      <c r="B58" s="770" t="inlineStr">
        <is>
          <t>IVECO/TECTOR 310E30CE Semi</t>
        </is>
      </c>
      <c r="C58" s="771" t="inlineStr">
        <is>
          <t>93ZJ13BM0N8943307</t>
        </is>
      </c>
      <c r="D58" s="771" t="n">
        <v>1272575389</v>
      </c>
      <c r="E58" s="772" t="inlineStr">
        <is>
          <t>RDJ2H81</t>
        </is>
      </c>
      <c r="F58" s="763" t="n"/>
      <c r="G58" s="769" t="n">
        <v>4962.11</v>
      </c>
      <c r="H58" s="765" t="n"/>
      <c r="I58" s="120" t="inlineStr">
        <is>
          <t>ok</t>
        </is>
      </c>
      <c r="J58" s="120" t="inlineStr">
        <is>
          <t xml:space="preserve">AGROSERVICE </t>
        </is>
      </c>
    </row>
    <row r="59" ht="15.75" customHeight="1" s="1173">
      <c r="B59" s="773" t="n"/>
      <c r="C59" s="774" t="n"/>
      <c r="D59" s="775" t="n"/>
      <c r="E59" s="776" t="n"/>
      <c r="F59" s="1499" t="n"/>
      <c r="G59" s="1499" t="n"/>
      <c r="H59" s="778" t="n"/>
      <c r="I59" s="120" t="n"/>
      <c r="J59" s="120" t="n"/>
    </row>
    <row r="60">
      <c r="E60" s="120" t="inlineStr">
        <is>
          <t>Valor Total</t>
        </is>
      </c>
      <c r="F60" s="779" t="n"/>
      <c r="G60" s="780">
        <f>SUM(G21:G58)</f>
        <v/>
      </c>
    </row>
    <row r="61">
      <c r="F61" s="120" t="inlineStr">
        <is>
          <t>Sem Desconto</t>
        </is>
      </c>
      <c r="G61" s="120" t="inlineStr">
        <is>
          <t>Desconto 10%</t>
        </is>
      </c>
    </row>
    <row r="63">
      <c r="G63" s="139" t="inlineStr">
        <is>
          <t xml:space="preserve">Agroinvest </t>
        </is>
      </c>
      <c r="H63" s="1502">
        <f>SUM(G39,G29,G22,G43,G46,G20)</f>
        <v/>
      </c>
    </row>
  </sheetData>
  <autoFilter ref="A19:P58"/>
  <pageMargins left="0.511811024" right="0.511811024" top="0.787401575" bottom="0.787401575" header="0.31496062" footer="0.31496062"/>
  <pageSetup orientation="portrait" paperSize="9"/>
</worksheet>
</file>

<file path=xl/worksheets/sheet7.xml><?xml version="1.0" encoding="utf-8"?>
<worksheet xmlns="http://schemas.openxmlformats.org/spreadsheetml/2006/main">
  <sheetPr>
    <tabColor rgb="FFFFFF00"/>
    <outlinePr summaryBelow="1" summaryRight="1"/>
    <pageSetUpPr/>
  </sheetPr>
  <dimension ref="A1:X179"/>
  <sheetViews>
    <sheetView topLeftCell="B1" zoomScaleNormal="100" workbookViewId="0">
      <selection activeCell="H3" sqref="H3"/>
    </sheetView>
  </sheetViews>
  <sheetFormatPr baseColWidth="8" defaultRowHeight="15"/>
  <cols>
    <col width="67.28515625" customWidth="1" style="1173" min="1" max="1"/>
    <col width="18.5703125" customWidth="1" style="1132" min="2" max="2"/>
    <col width="16.28515625" customWidth="1" style="105" min="3" max="3"/>
    <col width="17.7109375" bestFit="1" customWidth="1" style="1173" min="4" max="4"/>
    <col width="11.5703125" customWidth="1" style="1173" min="5" max="5"/>
    <col width="45.28515625" customWidth="1" style="1173" min="6" max="6"/>
    <col width="26.42578125" customWidth="1" style="1132" min="7" max="7"/>
    <col width="15.85546875" bestFit="1" customWidth="1" style="1173" min="8" max="8"/>
    <col width="21.28515625" customWidth="1" style="1173" min="9" max="9"/>
    <col width="35.140625" bestFit="1" customWidth="1" style="1173" min="10" max="10"/>
    <col width="32.42578125" customWidth="1" style="1173" min="11" max="11"/>
    <col width="14.7109375" bestFit="1" customWidth="1" style="1173" min="12" max="12"/>
    <col width="12.7109375" customWidth="1" style="1173" min="13" max="13"/>
    <col width="11.7109375" bestFit="1" customWidth="1" style="1173" min="14" max="14"/>
    <col width="24.7109375" bestFit="1" customWidth="1" style="1173" min="15" max="15"/>
    <col width="14.7109375" bestFit="1" customWidth="1" style="1173" min="16" max="16"/>
    <col width="9.5703125" bestFit="1" customWidth="1" style="1173" min="17" max="17"/>
    <col width="8.7109375" bestFit="1" customWidth="1" style="1173" min="18" max="18"/>
    <col width="41" bestFit="1" customWidth="1" style="1173" min="19" max="19"/>
    <col width="12.7109375" bestFit="1" customWidth="1" style="1173" min="20" max="21"/>
    <col width="11.7109375" bestFit="1" customWidth="1" style="1173" min="22" max="22"/>
    <col width="12.7109375" bestFit="1" customWidth="1" style="1173" min="23" max="24"/>
    <col width="5" customWidth="1" style="1173" min="25" max="25"/>
    <col width="12.7109375" bestFit="1" customWidth="1" style="1173" min="26" max="26"/>
    <col width="13.85546875" bestFit="1" customWidth="1" style="1173" min="27" max="27"/>
    <col width="10" customWidth="1" style="1173" min="30" max="30"/>
  </cols>
  <sheetData>
    <row r="1" ht="18.75" customHeight="1" s="1173">
      <c r="A1" s="1133" t="inlineStr">
        <is>
          <t>Suprimentos</t>
        </is>
      </c>
      <c r="B1" s="1133" t="inlineStr">
        <is>
          <t>Suprimentos</t>
        </is>
      </c>
      <c r="C1" s="1133" t="inlineStr">
        <is>
          <t>Suprimentos</t>
        </is>
      </c>
      <c r="F1" s="1134" t="inlineStr">
        <is>
          <t xml:space="preserve">Serviços Profissionais </t>
        </is>
      </c>
      <c r="G1" s="1134" t="inlineStr">
        <is>
          <t xml:space="preserve">Serviços Profissionais </t>
        </is>
      </c>
      <c r="H1" s="1134" t="inlineStr">
        <is>
          <t xml:space="preserve">Serviços Profissionais </t>
        </is>
      </c>
      <c r="I1" s="1134" t="inlineStr">
        <is>
          <t xml:space="preserve">Serviços Profissionais </t>
        </is>
      </c>
    </row>
    <row r="2" ht="37.5" customHeight="1" s="1173">
      <c r="A2" s="20" t="inlineStr">
        <is>
          <t xml:space="preserve">Produto </t>
        </is>
      </c>
      <c r="B2" s="20" t="inlineStr">
        <is>
          <t xml:space="preserve">Quantidade </t>
        </is>
      </c>
      <c r="C2" s="20" t="inlineStr">
        <is>
          <t>R$ Total</t>
        </is>
      </c>
      <c r="F2" s="1134" t="inlineStr">
        <is>
          <t xml:space="preserve">Serviço </t>
        </is>
      </c>
      <c r="G2" s="1134" t="inlineStr">
        <is>
          <t>Referncia (mensal, anual, p/serviço)</t>
        </is>
      </c>
      <c r="H2" s="1134" t="inlineStr">
        <is>
          <t>R$ Total</t>
        </is>
      </c>
      <c r="I2" s="1134" t="n"/>
    </row>
    <row r="3">
      <c r="A3" s="22" t="inlineStr">
        <is>
          <t xml:space="preserve">Confraternização Final de ano </t>
        </is>
      </c>
      <c r="B3" s="23" t="n">
        <v>1</v>
      </c>
      <c r="C3" s="1503">
        <f>RH!C22</f>
        <v/>
      </c>
      <c r="F3" s="24" t="inlineStr">
        <is>
          <t>Focu  Consultoria                     5X 9000</t>
        </is>
      </c>
      <c r="G3" s="924" t="n">
        <v>75000</v>
      </c>
      <c r="H3" s="500" t="n">
        <v>75000</v>
      </c>
      <c r="I3" s="412" t="n"/>
      <c r="K3" s="412" t="n"/>
      <c r="L3" s="412" t="n"/>
      <c r="M3" s="412" t="n"/>
      <c r="N3" s="412" t="n"/>
    </row>
    <row r="4">
      <c r="A4" s="1504" t="inlineStr">
        <is>
          <t>Agroinvest</t>
        </is>
      </c>
      <c r="B4" s="1504" t="inlineStr">
        <is>
          <t>Agroinvest</t>
        </is>
      </c>
      <c r="C4" s="1504" t="inlineStr">
        <is>
          <t>Agroinvest</t>
        </is>
      </c>
      <c r="D4" s="412" t="n"/>
      <c r="F4" s="24" t="inlineStr">
        <is>
          <t xml:space="preserve">Davi, mapas de fertilidade e prescrição </t>
        </is>
      </c>
      <c r="G4" s="1136" t="inlineStr">
        <is>
          <t>R$0,28/há de mapas</t>
        </is>
      </c>
      <c r="H4" s="500" t="n"/>
      <c r="I4" s="412" t="n"/>
      <c r="L4" s="1222" t="n"/>
      <c r="M4" s="412" t="n"/>
      <c r="N4" s="412" t="n"/>
    </row>
    <row r="5">
      <c r="A5" s="26" t="inlineStr">
        <is>
          <t xml:space="preserve">Confraternização Trimestral </t>
        </is>
      </c>
      <c r="B5" s="27" t="n"/>
      <c r="C5" s="1505">
        <f>RH!C38</f>
        <v/>
      </c>
      <c r="F5" s="24" t="inlineStr">
        <is>
          <t xml:space="preserve">Oeste Acessoria                        R$750,20x12meses </t>
        </is>
      </c>
      <c r="G5" s="1136" t="n">
        <v>12</v>
      </c>
      <c r="H5" s="418">
        <f>((1212*0.682)*15000)/5750</f>
        <v/>
      </c>
      <c r="I5" t="inlineStr">
        <is>
          <t>Rateado com Agroservice</t>
        </is>
      </c>
      <c r="J5" s="1506" t="n"/>
      <c r="K5" s="1507" t="n"/>
      <c r="L5" s="1507" t="n"/>
      <c r="M5" s="1507" t="n"/>
    </row>
    <row r="6">
      <c r="A6" s="29" t="inlineStr">
        <is>
          <t>Baners Prioridades</t>
        </is>
      </c>
      <c r="B6" s="1506" t="n"/>
      <c r="C6" s="1508">
        <f>'Supriment-Ser Profiss'!H1</f>
        <v/>
      </c>
      <c r="F6" s="24" t="inlineStr">
        <is>
          <t xml:space="preserve">Cooperfarms comissão de compra de quimicos </t>
        </is>
      </c>
      <c r="G6" s="1136" t="inlineStr">
        <is>
          <t>U$$ * 1%</t>
        </is>
      </c>
      <c r="H6" s="418">
        <f>(211666*1%)*'Orçam-Realiza'!D29</f>
        <v/>
      </c>
      <c r="I6" s="1471" t="n"/>
      <c r="L6" s="1132" t="n"/>
      <c r="M6" t="n">
        <v>606.98</v>
      </c>
    </row>
    <row r="7">
      <c r="A7" s="29" t="inlineStr">
        <is>
          <t xml:space="preserve">Datas comemorativas </t>
        </is>
      </c>
      <c r="B7" s="1506" t="n"/>
      <c r="C7" s="1508">
        <f>RH!C34</f>
        <v/>
      </c>
      <c r="D7" s="1471" t="n"/>
      <c r="F7" s="33" t="inlineStr">
        <is>
          <t>Armazenagem de Quimicos ( n° pallet)</t>
        </is>
      </c>
      <c r="G7" s="34" t="inlineStr">
        <is>
          <t>527 Pallet</t>
        </is>
      </c>
      <c r="H7" s="426">
        <f>SUM(G11:O11)</f>
        <v/>
      </c>
      <c r="I7" s="1509" t="n"/>
      <c r="J7" s="36" t="n"/>
      <c r="K7" s="36" t="n"/>
      <c r="L7" s="37" t="n"/>
      <c r="M7" s="36" t="n"/>
      <c r="N7" s="36" t="n"/>
      <c r="O7" s="36" t="n"/>
    </row>
    <row r="8">
      <c r="B8" s="1139" t="n"/>
      <c r="C8" s="1510">
        <f>SUM(C5:C7)</f>
        <v/>
      </c>
      <c r="F8" s="37" t="n"/>
      <c r="G8" s="37" t="inlineStr">
        <is>
          <t>Out</t>
        </is>
      </c>
      <c r="H8" s="38" t="n">
        <v>248.24</v>
      </c>
      <c r="I8" s="37" t="inlineStr">
        <is>
          <t>Dez</t>
        </is>
      </c>
      <c r="J8" s="37" t="inlineStr">
        <is>
          <t>Jan</t>
        </is>
      </c>
      <c r="K8" s="37" t="inlineStr">
        <is>
          <t xml:space="preserve">Fev </t>
        </is>
      </c>
      <c r="L8" s="37" t="inlineStr">
        <is>
          <t>Mar</t>
        </is>
      </c>
      <c r="M8" s="37" t="inlineStr">
        <is>
          <t>Abr</t>
        </is>
      </c>
      <c r="N8" s="37" t="inlineStr">
        <is>
          <t>Mai</t>
        </is>
      </c>
      <c r="O8" s="37" t="inlineStr">
        <is>
          <t>Jun</t>
        </is>
      </c>
    </row>
    <row r="9" ht="15.75" customHeight="1" s="1173" thickBot="1">
      <c r="A9" s="43" t="inlineStr">
        <is>
          <t>Materiasis Eletricos</t>
        </is>
      </c>
      <c r="B9" s="1150" t="n">
        <v>1</v>
      </c>
      <c r="C9" s="1511" t="n">
        <v>5000</v>
      </c>
      <c r="F9" s="39" t="inlineStr">
        <is>
          <t>Lts Quimic</t>
        </is>
      </c>
      <c r="G9" s="40">
        <f>40500/2</f>
        <v/>
      </c>
      <c r="H9" s="40">
        <f>50580/2</f>
        <v/>
      </c>
      <c r="I9" s="40">
        <f>48600/2</f>
        <v/>
      </c>
      <c r="J9" s="40">
        <f>49500/2</f>
        <v/>
      </c>
      <c r="K9" s="40">
        <f>43200/2</f>
        <v/>
      </c>
      <c r="L9" s="40">
        <f>34650/2</f>
        <v/>
      </c>
      <c r="M9" s="40">
        <f>27000/2</f>
        <v/>
      </c>
      <c r="N9" s="40">
        <f>24700/2</f>
        <v/>
      </c>
      <c r="O9" s="40">
        <f>25000/2</f>
        <v/>
      </c>
    </row>
    <row r="10">
      <c r="A10" s="47" t="inlineStr">
        <is>
          <t xml:space="preserve">Grafica, Papelaria, Higiene e Limpeza. </t>
        </is>
      </c>
      <c r="B10" s="48" t="n"/>
      <c r="C10" s="1512" t="n"/>
      <c r="F10" s="39" t="inlineStr">
        <is>
          <t>N° Pallet</t>
        </is>
      </c>
      <c r="G10" s="42" t="n">
        <v>20</v>
      </c>
      <c r="H10" s="42" t="n">
        <v>20</v>
      </c>
      <c r="I10" s="42" t="n">
        <v>20</v>
      </c>
      <c r="J10" s="42" t="n">
        <v>2</v>
      </c>
      <c r="K10" s="42" t="n">
        <v>2</v>
      </c>
      <c r="L10" s="42" t="n">
        <v>2</v>
      </c>
      <c r="M10" s="42" t="n">
        <v>2</v>
      </c>
      <c r="N10" s="42" t="n">
        <v>2</v>
      </c>
      <c r="O10" s="42" t="n">
        <v>2</v>
      </c>
    </row>
    <row r="11">
      <c r="A11" s="52" t="inlineStr">
        <is>
          <t>Calculadora</t>
        </is>
      </c>
      <c r="B11" s="1139" t="n">
        <v>1</v>
      </c>
      <c r="C11" s="1513">
        <f>Angelo!D4</f>
        <v/>
      </c>
      <c r="F11" s="45" t="inlineStr">
        <is>
          <t>R$/Pallet</t>
        </is>
      </c>
      <c r="G11" s="46">
        <f>G10*80+810</f>
        <v/>
      </c>
      <c r="H11" s="46">
        <f>H10*80+810</f>
        <v/>
      </c>
      <c r="I11" s="46">
        <f>I10*80+810</f>
        <v/>
      </c>
      <c r="J11" s="46">
        <f>J10*80+720</f>
        <v/>
      </c>
      <c r="K11" s="46">
        <f>K10*80+720</f>
        <v/>
      </c>
      <c r="L11" s="46">
        <f>L10*80+720</f>
        <v/>
      </c>
      <c r="M11" s="46">
        <f>M10*80+720</f>
        <v/>
      </c>
      <c r="N11" s="46">
        <f>N10*80+720</f>
        <v/>
      </c>
      <c r="O11" s="46">
        <f>O10*80+720</f>
        <v/>
      </c>
    </row>
    <row r="12" ht="15.75" customHeight="1" s="1173" thickBot="1">
      <c r="A12" s="56" t="inlineStr">
        <is>
          <t>Comodato impressora  12xR$ 240</t>
        </is>
      </c>
      <c r="B12" s="57" t="n">
        <v>12</v>
      </c>
      <c r="C12" s="1513">
        <f>Angelo!D5</f>
        <v/>
      </c>
      <c r="F12" s="50" t="inlineStr">
        <is>
          <t xml:space="preserve">Lavanderia (reaproveitamento de Uniformes) </t>
        </is>
      </c>
      <c r="G12" s="27" t="n"/>
      <c r="H12" s="51" t="n"/>
    </row>
    <row r="13" ht="15.75" customHeight="1" s="1173" thickBot="1">
      <c r="A13" s="56" t="inlineStr">
        <is>
          <t>Concerto noobrak</t>
        </is>
      </c>
      <c r="B13" s="57" t="n">
        <v>1</v>
      </c>
      <c r="C13" s="1513">
        <f>Angelo!D6</f>
        <v/>
      </c>
      <c r="F13" s="54" t="inlineStr">
        <is>
          <t xml:space="preserve">Manutençao dos AC </t>
        </is>
      </c>
      <c r="G13" s="55" t="n">
        <v>4</v>
      </c>
      <c r="H13" s="459" t="n">
        <v>3000</v>
      </c>
      <c r="I13" s="1471" t="n"/>
    </row>
    <row r="14" ht="15.75" customHeight="1" s="1173" thickBot="1">
      <c r="A14" s="56" t="inlineStr">
        <is>
          <t>Concerto ar condicionado</t>
        </is>
      </c>
      <c r="B14" s="57" t="n">
        <v>1</v>
      </c>
      <c r="C14" s="1513">
        <f>Angelo!D7</f>
        <v/>
      </c>
      <c r="F14" s="59" t="inlineStr">
        <is>
          <t xml:space="preserve">Manutenção dos Radios de comunicação </t>
        </is>
      </c>
      <c r="G14" s="60" t="n">
        <v>1</v>
      </c>
      <c r="H14" s="459" t="n">
        <v>1000</v>
      </c>
      <c r="I14" s="61" t="n"/>
    </row>
    <row r="15">
      <c r="A15" s="56" t="inlineStr">
        <is>
          <t>Caneta cx</t>
        </is>
      </c>
      <c r="B15" s="57" t="n">
        <v>1</v>
      </c>
      <c r="C15" s="1513">
        <f>Angelo!D8</f>
        <v/>
      </c>
      <c r="F15" s="47" t="inlineStr">
        <is>
          <t>FFGU (Coleta, transporte, tratamento e disposição final)</t>
        </is>
      </c>
      <c r="G15" s="63" t="inlineStr">
        <is>
          <t>Quant</t>
        </is>
      </c>
      <c r="H15" s="64" t="inlineStr">
        <is>
          <t>Total</t>
        </is>
      </c>
      <c r="I15" s="65" t="n"/>
      <c r="J15" s="29" t="n"/>
      <c r="K15" s="1139" t="n"/>
      <c r="L15" s="1514" t="n"/>
      <c r="M15" s="1514" t="n"/>
    </row>
    <row r="16">
      <c r="A16" s="56" t="inlineStr">
        <is>
          <t>Cx com 5 mil Granpos 26/6 para grampeador</t>
        </is>
      </c>
      <c r="B16" s="57" t="n">
        <v>1</v>
      </c>
      <c r="C16" s="1513">
        <f>Angelo!D9</f>
        <v/>
      </c>
      <c r="F16" s="1172" t="inlineStr">
        <is>
          <t>Lampada</t>
        </is>
      </c>
      <c r="G16" s="1132" t="n">
        <v>3</v>
      </c>
      <c r="H16" s="1453">
        <f>Angelo!D97</f>
        <v/>
      </c>
      <c r="J16" s="29" t="n"/>
      <c r="K16" s="29" t="n"/>
      <c r="L16" s="29" t="n"/>
      <c r="M16" s="29" t="n"/>
    </row>
    <row r="17">
      <c r="A17" s="56" t="inlineStr">
        <is>
          <t xml:space="preserve">Cx com 48 unidades de prendedor de papel 25mm </t>
        </is>
      </c>
      <c r="B17" s="57" t="n">
        <v>1</v>
      </c>
      <c r="C17" s="1513">
        <f>Angelo!D10</f>
        <v/>
      </c>
      <c r="F17" s="1172" t="inlineStr">
        <is>
          <t>Baterias</t>
        </is>
      </c>
      <c r="G17" s="1132" t="n">
        <v>6</v>
      </c>
      <c r="H17" s="1453">
        <f>Angelo!D98</f>
        <v/>
      </c>
      <c r="J17" s="29" t="n"/>
      <c r="K17" s="29" t="n"/>
      <c r="L17" s="68" t="n"/>
      <c r="M17" s="29" t="n"/>
    </row>
    <row r="18">
      <c r="A18" s="52" t="inlineStr">
        <is>
          <t xml:space="preserve">Cx com 12 unidades de prendedor de papel 51mm </t>
        </is>
      </c>
      <c r="B18" s="1139" t="n">
        <v>2</v>
      </c>
      <c r="C18" s="1513">
        <f>Angelo!D11</f>
        <v/>
      </c>
      <c r="F18" s="1172" t="inlineStr">
        <is>
          <t>Residuos oleosos</t>
        </is>
      </c>
      <c r="G18" s="1132" t="n">
        <v>20</v>
      </c>
      <c r="H18" s="1453">
        <f>Angelo!D99</f>
        <v/>
      </c>
      <c r="J18" s="29" t="n"/>
      <c r="K18" s="29" t="n"/>
      <c r="L18" s="68" t="n"/>
      <c r="M18" s="29" t="n"/>
    </row>
    <row r="19">
      <c r="A19" s="52" t="inlineStr">
        <is>
          <t>Grampeador</t>
        </is>
      </c>
      <c r="B19" s="1139" t="n">
        <v>1</v>
      </c>
      <c r="C19" s="1513">
        <f>Angelo!D12</f>
        <v/>
      </c>
      <c r="F19" s="1172" t="inlineStr">
        <is>
          <t>Residuos misto</t>
        </is>
      </c>
      <c r="G19" s="1132" t="n">
        <v>60</v>
      </c>
      <c r="H19" s="1453">
        <f>Angelo!D100</f>
        <v/>
      </c>
      <c r="I19" s="1515" t="n"/>
      <c r="J19" s="29" t="n"/>
      <c r="K19" s="29" t="n"/>
      <c r="L19" s="68" t="n"/>
      <c r="M19" s="29" t="n"/>
    </row>
    <row r="20">
      <c r="A20" s="52" t="inlineStr">
        <is>
          <t>Lampadas para  escritorio</t>
        </is>
      </c>
      <c r="B20" s="1139" t="n">
        <v>2</v>
      </c>
      <c r="C20" s="1513">
        <f>Angelo!D13</f>
        <v/>
      </c>
      <c r="F20" s="1172" t="inlineStr">
        <is>
          <t>Rejeitos</t>
        </is>
      </c>
      <c r="G20" s="1132" t="n">
        <v>50</v>
      </c>
      <c r="H20" s="1453">
        <f>Angelo!D101</f>
        <v/>
      </c>
      <c r="J20" s="29" t="n"/>
      <c r="K20" s="29" t="n"/>
      <c r="L20" s="68" t="n"/>
      <c r="M20" s="29" t="n"/>
    </row>
    <row r="21">
      <c r="A21" s="52" t="inlineStr">
        <is>
          <t>Lixeira 15 lt com pedal</t>
        </is>
      </c>
      <c r="B21" s="1139" t="n">
        <v>0</v>
      </c>
      <c r="C21" s="1513">
        <f>Angelo!D14</f>
        <v/>
      </c>
      <c r="F21" s="1172" t="inlineStr">
        <is>
          <t>Plastico</t>
        </is>
      </c>
      <c r="G21" s="1132" t="n">
        <v>50</v>
      </c>
      <c r="H21" s="1453">
        <f>Angelo!D102</f>
        <v/>
      </c>
      <c r="J21" s="29">
        <f>I20*5.2</f>
        <v/>
      </c>
      <c r="K21" s="29" t="n"/>
      <c r="L21" s="68" t="n"/>
      <c r="M21" s="29" t="n"/>
    </row>
    <row r="22">
      <c r="A22" s="52" t="inlineStr">
        <is>
          <t>Marcador permanente</t>
        </is>
      </c>
      <c r="B22" s="1139" t="n">
        <v>6</v>
      </c>
      <c r="C22" s="1513">
        <f>Angelo!D15</f>
        <v/>
      </c>
      <c r="F22" s="52" t="inlineStr">
        <is>
          <t>Borracha</t>
        </is>
      </c>
      <c r="G22" s="1139" t="n">
        <v>70</v>
      </c>
      <c r="H22" s="1453">
        <f>Angelo!D103</f>
        <v/>
      </c>
      <c r="I22">
        <f>SUM(I20:I21)</f>
        <v/>
      </c>
      <c r="J22" s="29">
        <f>I21*5.2</f>
        <v/>
      </c>
      <c r="K22" s="29" t="n"/>
      <c r="L22" s="68" t="n"/>
      <c r="M22" s="29" t="n"/>
    </row>
    <row r="23" ht="15.75" customHeight="1" s="1173" thickBot="1">
      <c r="A23" s="52" t="inlineStr">
        <is>
          <t>Marca texto verde</t>
        </is>
      </c>
      <c r="B23" s="1139" t="n">
        <v>2</v>
      </c>
      <c r="C23" s="1513">
        <f>Angelo!D16</f>
        <v/>
      </c>
      <c r="F23" s="70" t="n"/>
      <c r="G23" s="71" t="n"/>
      <c r="H23" s="460">
        <f>SUM(H16:H22)</f>
        <v/>
      </c>
      <c r="I23" s="1515" t="n"/>
      <c r="J23" s="29">
        <f>SUM(J21:J22)</f>
        <v/>
      </c>
      <c r="K23" s="29" t="n"/>
      <c r="L23" s="68" t="n"/>
      <c r="M23" s="29" t="n"/>
    </row>
    <row r="24" ht="15.75" customHeight="1" s="1173" thickBot="1">
      <c r="A24" s="56" t="inlineStr">
        <is>
          <t>Ticket lavoura soja e milho</t>
        </is>
      </c>
      <c r="B24" s="57" t="n"/>
      <c r="C24" s="1513">
        <f>Angelo!D19</f>
        <v/>
      </c>
      <c r="F24" s="54" t="inlineStr">
        <is>
          <t>Transporte Estagiarios (passagens onibus)</t>
        </is>
      </c>
      <c r="G24" s="55" t="n">
        <v>1</v>
      </c>
      <c r="H24" s="459" t="n">
        <v>600</v>
      </c>
      <c r="J24" s="29" t="n"/>
      <c r="K24" s="27" t="n"/>
      <c r="L24" s="74" t="n"/>
      <c r="M24" s="29" t="n"/>
    </row>
    <row r="25">
      <c r="A25" s="52" t="inlineStr">
        <is>
          <t>bico microaspersor</t>
        </is>
      </c>
      <c r="B25" s="1139" t="n">
        <v>10</v>
      </c>
      <c r="C25" s="1513" t="n">
        <v>101.25</v>
      </c>
      <c r="F25" s="47" t="inlineStr">
        <is>
          <t>Pesquisa ( Kasuya)</t>
        </is>
      </c>
      <c r="G25" s="72" t="n"/>
      <c r="H25" s="73" t="n"/>
      <c r="I25" s="65" t="n"/>
      <c r="J25" s="29" t="n"/>
      <c r="K25" s="1139" t="n"/>
      <c r="L25" s="68" t="n"/>
      <c r="M25" s="29" t="n"/>
    </row>
    <row r="26" ht="15.75" customHeight="1" s="1173" thickBot="1">
      <c r="A26" s="52" t="inlineStr">
        <is>
          <t xml:space="preserve">caixa de descarga </t>
        </is>
      </c>
      <c r="B26" s="1139" t="n">
        <v>1</v>
      </c>
      <c r="C26" s="1513" t="n">
        <v>146</v>
      </c>
      <c r="F26" s="70" t="inlineStr">
        <is>
          <t>Kasuya  (n° Tratamentos )</t>
        </is>
      </c>
      <c r="G26" s="71" t="n"/>
      <c r="H26" s="460" t="n"/>
      <c r="J26" s="29" t="n"/>
      <c r="K26" s="1139" t="n"/>
      <c r="L26" s="68" t="n"/>
      <c r="M26" s="29" t="n"/>
    </row>
    <row r="27">
      <c r="A27" s="52" t="inlineStr">
        <is>
          <t xml:space="preserve">condor escova </t>
        </is>
      </c>
      <c r="B27" s="1139" t="n">
        <v>4</v>
      </c>
      <c r="C27" s="1513" t="n">
        <v>33</v>
      </c>
      <c r="F27" s="47" t="inlineStr">
        <is>
          <t>ABAPA</t>
        </is>
      </c>
      <c r="G27" s="72" t="n"/>
      <c r="H27" s="73" t="n"/>
      <c r="J27" s="27" t="n"/>
      <c r="K27" s="29" t="n"/>
      <c r="L27" s="29" t="n"/>
      <c r="M27" s="29" t="n"/>
    </row>
    <row r="28" ht="15.75" customHeight="1" s="1173">
      <c r="A28" s="52" t="inlineStr">
        <is>
          <t>desinf 2l</t>
        </is>
      </c>
      <c r="B28" s="1139" t="n">
        <v>5</v>
      </c>
      <c r="C28" s="1513" t="n">
        <v>85</v>
      </c>
      <c r="F28" s="52" t="inlineStr">
        <is>
          <t>HVI  (1,58/amostra fardo de 240 kg)</t>
        </is>
      </c>
      <c r="G28" s="1139" t="n">
        <v>0</v>
      </c>
      <c r="H28" s="76" t="n">
        <v>0</v>
      </c>
      <c r="J28" s="75" t="n"/>
      <c r="K28" s="27" t="n"/>
      <c r="L28" s="74" t="n"/>
      <c r="M28" s="29" t="n"/>
    </row>
    <row r="29" ht="15.75" customHeight="1" s="1173">
      <c r="A29" s="52" t="inlineStr">
        <is>
          <t>Detergente liq 500ml neutro</t>
        </is>
      </c>
      <c r="B29" s="1139" t="n">
        <v>48</v>
      </c>
      <c r="C29" s="1513" t="n"/>
      <c r="F29" s="52" t="inlineStr">
        <is>
          <t>Anuidade  (R$ 6/há)</t>
        </is>
      </c>
      <c r="G29" s="1139" t="n">
        <v>0</v>
      </c>
      <c r="H29" s="76" t="n">
        <v>0</v>
      </c>
      <c r="J29" s="75" t="n"/>
      <c r="K29" s="1139" t="n"/>
      <c r="L29" s="68" t="n"/>
      <c r="M29" s="29" t="n"/>
    </row>
    <row r="30" ht="15.75" customHeight="1" s="1173" thickBot="1">
      <c r="A30" s="52" t="inlineStr">
        <is>
          <t>detergente neutro 5l</t>
        </is>
      </c>
      <c r="B30" s="1139" t="n">
        <v>6</v>
      </c>
      <c r="C30" s="1513" t="n">
        <v>520</v>
      </c>
      <c r="F30" s="77" t="n"/>
      <c r="G30" s="78" t="n"/>
      <c r="H30" s="460">
        <f>SUM(H28:H29)</f>
        <v/>
      </c>
      <c r="J30" s="29" t="n"/>
      <c r="K30" s="84" t="n"/>
      <c r="L30" s="29" t="n"/>
      <c r="M30" s="29" t="n"/>
    </row>
    <row r="31">
      <c r="A31" s="52" t="inlineStr">
        <is>
          <t>Escova</t>
        </is>
      </c>
      <c r="B31" s="1139" t="n">
        <v>4</v>
      </c>
      <c r="C31" s="1513" t="n">
        <v>102</v>
      </c>
      <c r="F31" s="79" t="inlineStr">
        <is>
          <t xml:space="preserve">Treinamentos, Coaching, Reuniões Trimestrais </t>
        </is>
      </c>
      <c r="G31" s="80" t="n"/>
      <c r="H31" s="51">
        <f>RH!C34</f>
        <v/>
      </c>
      <c r="J31" s="27" t="n"/>
      <c r="K31" s="84" t="n"/>
      <c r="L31" s="29" t="n"/>
      <c r="M31" s="29" t="n"/>
    </row>
    <row r="32" ht="15.75" customHeight="1" s="1173">
      <c r="A32" s="52" t="inlineStr">
        <is>
          <t>esponja multiuso</t>
        </is>
      </c>
      <c r="B32" s="1139" t="n">
        <v>10</v>
      </c>
      <c r="C32" s="1513" t="n">
        <v>23</v>
      </c>
      <c r="F32" s="81" t="inlineStr">
        <is>
          <t>SF2 (Sinal GPS tratores)</t>
        </is>
      </c>
      <c r="G32" s="82" t="n">
        <v>2</v>
      </c>
      <c r="H32" s="426" t="n">
        <v>16000</v>
      </c>
      <c r="J32" s="75" t="n"/>
      <c r="K32" s="84" t="n"/>
      <c r="L32" s="29" t="n"/>
      <c r="M32" s="29" t="n"/>
    </row>
    <row r="33">
      <c r="A33" s="52" t="inlineStr">
        <is>
          <t>facão</t>
        </is>
      </c>
      <c r="B33" s="1139" t="n">
        <v>1</v>
      </c>
      <c r="C33" s="1513" t="n">
        <v>140</v>
      </c>
      <c r="F33" s="50" t="inlineStr">
        <is>
          <t xml:space="preserve">CREA  </t>
        </is>
      </c>
      <c r="G33" s="27" t="n"/>
      <c r="H33" s="85" t="n"/>
      <c r="J33" s="83" t="n"/>
      <c r="K33" s="84" t="n"/>
      <c r="L33" s="29" t="n"/>
      <c r="M33" s="29" t="n"/>
    </row>
    <row r="34">
      <c r="A34" s="52" t="inlineStr">
        <is>
          <t xml:space="preserve">familiar sup. Papel </t>
        </is>
      </c>
      <c r="B34" s="1139" t="n">
        <v>9</v>
      </c>
      <c r="C34" s="1513" t="n">
        <v>95</v>
      </c>
      <c r="F34" s="86" t="inlineStr">
        <is>
          <t>ART SAFRA   (n° Matric.)</t>
        </is>
      </c>
      <c r="G34" s="1139" t="n">
        <v>15</v>
      </c>
      <c r="H34" s="85">
        <f>G34*90</f>
        <v/>
      </c>
      <c r="J34" s="83" t="n"/>
    </row>
    <row r="35">
      <c r="A35" s="52" t="inlineStr">
        <is>
          <t>fita veda rosca censi 18x10m</t>
        </is>
      </c>
      <c r="B35" s="1139" t="n">
        <v>2</v>
      </c>
      <c r="C35" s="1513" t="n">
        <v>24</v>
      </c>
      <c r="F35" s="86" t="inlineStr">
        <is>
          <t>ART José Victor</t>
        </is>
      </c>
      <c r="G35" s="1139" t="n">
        <v>1</v>
      </c>
      <c r="H35" s="85" t="n">
        <v>600</v>
      </c>
      <c r="J35" s="83" t="n"/>
    </row>
    <row r="36">
      <c r="A36" s="52" t="inlineStr">
        <is>
          <t>inseticida aerosol multi</t>
        </is>
      </c>
      <c r="B36" s="1139" t="n">
        <v>1</v>
      </c>
      <c r="C36" s="1513" t="n">
        <v>26</v>
      </c>
      <c r="F36" s="86" t="inlineStr">
        <is>
          <t xml:space="preserve">Anuidade Angelo </t>
        </is>
      </c>
      <c r="G36" s="1139" t="n">
        <v>1</v>
      </c>
      <c r="H36" s="85" t="n">
        <v>40</v>
      </c>
      <c r="J36" s="83" t="n"/>
    </row>
    <row r="37">
      <c r="A37" s="52" t="inlineStr">
        <is>
          <t>inseticidada aerosol citronela</t>
        </is>
      </c>
      <c r="B37" s="1139" t="n">
        <v>1</v>
      </c>
      <c r="C37" s="1513" t="n">
        <v>26</v>
      </c>
      <c r="F37" s="86" t="inlineStr">
        <is>
          <t>Anuidade Agroinvest</t>
        </is>
      </c>
      <c r="G37" s="1139" t="n">
        <v>1</v>
      </c>
      <c r="H37" s="85" t="n">
        <v>3275.01</v>
      </c>
    </row>
    <row r="38">
      <c r="A38" s="52" t="inlineStr">
        <is>
          <t>lampada bulbo led 9w 6500k</t>
        </is>
      </c>
      <c r="B38" s="1139" t="n">
        <v>15</v>
      </c>
      <c r="C38" s="1513" t="n">
        <v>400</v>
      </c>
      <c r="F38" s="86" t="n"/>
      <c r="G38" s="1139" t="n"/>
      <c r="H38" s="51">
        <f>SUM(H34:H37)</f>
        <v/>
      </c>
    </row>
    <row r="39">
      <c r="A39" s="52" t="inlineStr">
        <is>
          <t>Pá de bico c/cabo 120cm</t>
        </is>
      </c>
      <c r="B39" s="1139" t="n">
        <v>1</v>
      </c>
      <c r="C39" s="1513" t="n">
        <v>210</v>
      </c>
      <c r="D39" s="88" t="n"/>
      <c r="F39" s="24" t="inlineStr">
        <is>
          <t>Vigilancia Fazenda (mensalidade)</t>
        </is>
      </c>
      <c r="G39" s="1136" t="n">
        <v>12</v>
      </c>
      <c r="H39" s="418">
        <f>11930*G39</f>
        <v/>
      </c>
    </row>
    <row r="40">
      <c r="A40" s="52" t="inlineStr">
        <is>
          <t>Pá plastica</t>
        </is>
      </c>
      <c r="B40" s="1139" t="n"/>
      <c r="C40" s="1513" t="n"/>
      <c r="F40" s="24" t="inlineStr">
        <is>
          <t xml:space="preserve">Laboratorio de analises </t>
        </is>
      </c>
      <c r="G40" s="1136" t="inlineStr">
        <is>
          <t>N° amostras</t>
        </is>
      </c>
      <c r="H40" s="87" t="n"/>
    </row>
    <row r="41">
      <c r="A41" s="52" t="inlineStr">
        <is>
          <t>Pano de chão</t>
        </is>
      </c>
      <c r="B41" s="1139" t="n">
        <v>10</v>
      </c>
      <c r="C41" s="1513" t="n">
        <v>123</v>
      </c>
      <c r="F41" s="86" t="inlineStr">
        <is>
          <t xml:space="preserve">Analise de solo Macro e Micro </t>
        </is>
      </c>
      <c r="G41" s="89" t="n"/>
      <c r="H41" s="85">
        <f>SUM(I42:J42)</f>
        <v/>
      </c>
      <c r="I41" s="1516" t="n">
        <v>345</v>
      </c>
      <c r="J41" s="120" t="n">
        <v>115</v>
      </c>
    </row>
    <row r="42">
      <c r="A42" s="52" t="inlineStr">
        <is>
          <t>papel toalha fl22x21</t>
        </is>
      </c>
      <c r="B42" s="1139" t="n">
        <v>14</v>
      </c>
      <c r="C42" s="1513" t="n">
        <v>2750</v>
      </c>
      <c r="D42" s="1517" t="n"/>
      <c r="F42" s="86" t="inlineStr">
        <is>
          <t xml:space="preserve">Analise de solo Biologica </t>
        </is>
      </c>
      <c r="G42" s="90" t="n">
        <v>4</v>
      </c>
      <c r="H42" s="85">
        <f>Tecnico!D39</f>
        <v/>
      </c>
      <c r="I42" s="1518">
        <f>I41*30</f>
        <v/>
      </c>
      <c r="J42" s="1518">
        <f>J41*60</f>
        <v/>
      </c>
    </row>
    <row r="43">
      <c r="A43" s="52" t="inlineStr">
        <is>
          <t>Rastel</t>
        </is>
      </c>
      <c r="B43" s="1139" t="n">
        <v>4</v>
      </c>
      <c r="C43" s="1513" t="n">
        <v>61</v>
      </c>
      <c r="D43" s="1517" t="n"/>
      <c r="F43" s="86" t="inlineStr">
        <is>
          <t>Analise de solo e folhas</t>
        </is>
      </c>
      <c r="G43" s="90" t="n">
        <v>40</v>
      </c>
      <c r="H43" s="85">
        <f>Tecnico!D34</f>
        <v/>
      </c>
    </row>
    <row r="44">
      <c r="A44" s="52" t="inlineStr">
        <is>
          <t>resistencia para choveiro</t>
        </is>
      </c>
      <c r="B44" s="1139" t="n">
        <v>2</v>
      </c>
      <c r="C44" s="1513" t="n">
        <v>85</v>
      </c>
      <c r="D44" s="1517" t="n"/>
      <c r="F44" s="86" t="n"/>
      <c r="G44" s="1139" t="n"/>
      <c r="H44" s="51">
        <f>SUM(H41:H43)</f>
        <v/>
      </c>
    </row>
    <row r="45">
      <c r="A45" s="52" t="inlineStr">
        <is>
          <t>resistencia para chuveiro 4600w</t>
        </is>
      </c>
      <c r="B45" s="1139" t="n">
        <v>2</v>
      </c>
      <c r="C45" s="1513" t="n">
        <v>96</v>
      </c>
      <c r="D45" s="1517" t="n"/>
      <c r="F45" s="24" t="inlineStr">
        <is>
          <t xml:space="preserve">Exames e consultas periodicas e admissionais </t>
        </is>
      </c>
      <c r="G45" s="1136" t="n"/>
      <c r="H45" s="1519" t="n"/>
    </row>
    <row r="46">
      <c r="A46" s="52" t="inlineStr">
        <is>
          <t xml:space="preserve">sabaao em po 5kg </t>
        </is>
      </c>
      <c r="B46" s="1139" t="n">
        <v>2</v>
      </c>
      <c r="C46" s="1513" t="n">
        <v>210</v>
      </c>
      <c r="D46" s="1517" t="n"/>
      <c r="F46" s="86" t="inlineStr">
        <is>
          <t xml:space="preserve">Conusltas medicas e exames Admissionais </t>
        </is>
      </c>
      <c r="G46" s="1139" t="n"/>
      <c r="H46" s="1520">
        <f>RH!M20</f>
        <v/>
      </c>
    </row>
    <row r="47" ht="18.75" customHeight="1" s="1173">
      <c r="A47" s="52" t="inlineStr">
        <is>
          <t>sabao glicerinado 5x200g</t>
        </is>
      </c>
      <c r="B47" s="1139" t="n">
        <v>3</v>
      </c>
      <c r="C47" s="1513" t="n">
        <v>75</v>
      </c>
      <c r="D47" s="1517" t="n"/>
      <c r="F47" s="86" t="n"/>
      <c r="G47" s="1139" t="n"/>
      <c r="H47" s="1520" t="n"/>
      <c r="K47" s="94" t="n"/>
      <c r="L47" s="94" t="n"/>
    </row>
    <row r="48" ht="15.75" customHeight="1" s="1173">
      <c r="A48" s="52" t="inlineStr">
        <is>
          <t>sabonete 90g</t>
        </is>
      </c>
      <c r="B48" s="1139" t="n">
        <v>12</v>
      </c>
      <c r="C48" s="1513" t="n">
        <v>250</v>
      </c>
      <c r="D48" s="1517" t="n"/>
      <c r="F48" s="86" t="inlineStr">
        <is>
          <t xml:space="preserve">Consultas e Exames Periodicos </t>
        </is>
      </c>
      <c r="G48" s="1139" t="n"/>
      <c r="H48" s="1521">
        <f>RH!P11</f>
        <v/>
      </c>
      <c r="K48" s="96" t="n"/>
      <c r="L48" s="96" t="n"/>
    </row>
    <row r="49" ht="15.75" customHeight="1" s="1173">
      <c r="A49" s="52" t="inlineStr">
        <is>
          <t>sabonete liquido 5l</t>
        </is>
      </c>
      <c r="B49" s="1139" t="n">
        <v>5</v>
      </c>
      <c r="C49" s="1513" t="n">
        <v>610</v>
      </c>
      <c r="D49" s="1517" t="n"/>
      <c r="F49" s="86" t="inlineStr">
        <is>
          <t xml:space="preserve">Consultas medicas e exames Demissionais </t>
        </is>
      </c>
      <c r="G49" s="1139" t="n"/>
      <c r="H49" s="1520">
        <f>RH!O20</f>
        <v/>
      </c>
      <c r="K49" s="97" t="n"/>
      <c r="L49" s="97" t="n"/>
    </row>
    <row r="50" ht="15.75" customHeight="1" s="1173">
      <c r="A50" s="52" t="inlineStr">
        <is>
          <t>sifao ajustavel multiuso 66c</t>
        </is>
      </c>
      <c r="B50" s="1139" t="n">
        <v>4</v>
      </c>
      <c r="C50" s="1513" t="n">
        <v>50</v>
      </c>
      <c r="D50" s="1517" t="n"/>
      <c r="F50" s="95" t="inlineStr">
        <is>
          <t xml:space="preserve">Exame Toxicologio Motoristas </t>
        </is>
      </c>
      <c r="H50" s="1522">
        <f>RH!S18</f>
        <v/>
      </c>
      <c r="K50" s="97" t="n"/>
      <c r="L50" s="97" t="n"/>
    </row>
    <row r="51" ht="15.75" customHeight="1" s="1173">
      <c r="A51" s="52" t="inlineStr">
        <is>
          <t>starhig assepigel</t>
        </is>
      </c>
      <c r="B51" s="1139" t="n">
        <v>2</v>
      </c>
      <c r="C51" s="1513" t="n">
        <v>150</v>
      </c>
      <c r="D51" s="1517" t="n"/>
      <c r="F51" s="86" t="n"/>
      <c r="G51" s="1139" t="n"/>
      <c r="H51" s="1520" t="n"/>
      <c r="K51" s="97" t="n"/>
      <c r="L51" s="97" t="n"/>
    </row>
    <row r="52" ht="15.75" customHeight="1" s="1173">
      <c r="A52" s="52" t="inlineStr">
        <is>
          <t>Vassoura</t>
        </is>
      </c>
      <c r="B52" s="1139" t="n">
        <v>2</v>
      </c>
      <c r="C52" s="1513" t="n">
        <v>61</v>
      </c>
      <c r="D52" s="1517" t="n"/>
      <c r="G52" s="1139" t="n"/>
      <c r="H52" s="1520" t="n"/>
      <c r="K52" s="97" t="n"/>
      <c r="L52" s="97" t="n"/>
    </row>
    <row r="53">
      <c r="A53" s="52" t="inlineStr">
        <is>
          <t>torneira orbe lavar BA branc</t>
        </is>
      </c>
      <c r="B53" s="1139" t="n">
        <v>4</v>
      </c>
      <c r="C53" s="1513" t="n">
        <v>154</v>
      </c>
      <c r="D53" s="1517" t="n"/>
      <c r="F53" s="98" t="n"/>
      <c r="G53" s="99" t="n"/>
      <c r="H53" s="1523">
        <f>SUM(H46:H51)</f>
        <v/>
      </c>
    </row>
    <row r="54">
      <c r="A54" s="52" t="inlineStr">
        <is>
          <t>PLACAS DE SEGURANÇA</t>
        </is>
      </c>
      <c r="B54" s="1139" t="n">
        <v>1</v>
      </c>
      <c r="C54" s="1513">
        <f>Angelo!D78</f>
        <v/>
      </c>
      <c r="D54" s="1517" t="n"/>
      <c r="F54" s="401" t="inlineStr">
        <is>
          <t>AMB</t>
        </is>
      </c>
      <c r="G54" s="1222" t="n"/>
      <c r="H54" s="85" t="n"/>
    </row>
    <row r="55" ht="18.75" customHeight="1" s="1173">
      <c r="A55" s="52" t="inlineStr">
        <is>
          <t>Filtro dos bebedouros C3 IBBL</t>
        </is>
      </c>
      <c r="B55" s="1139" t="n">
        <v>2</v>
      </c>
      <c r="C55" s="1513" t="n">
        <v>123</v>
      </c>
      <c r="D55" s="1517" t="n"/>
      <c r="F55" s="95" t="inlineStr">
        <is>
          <t>ATUALIZAÇÃO PCMSO</t>
        </is>
      </c>
      <c r="H55" s="85" t="n">
        <v>0</v>
      </c>
      <c r="M55" s="94" t="n"/>
    </row>
    <row r="56" ht="15.75" customHeight="1" s="1173">
      <c r="A56" s="52" t="inlineStr">
        <is>
          <t>Filtro dos bebedouros 888 ACQUA GELADA</t>
        </is>
      </c>
      <c r="B56" s="1139" t="n">
        <v>2</v>
      </c>
      <c r="C56" s="1513" t="n">
        <v>197</v>
      </c>
      <c r="D56" s="1517" t="n"/>
      <c r="F56" s="95" t="inlineStr">
        <is>
          <t>ATUALIZAÇÃO PGSSMATR</t>
        </is>
      </c>
      <c r="H56" s="85" t="n">
        <v>0</v>
      </c>
      <c r="M56" s="96" t="n"/>
    </row>
    <row r="57" ht="15.75" customHeight="1" s="1173">
      <c r="A57" s="52" t="n"/>
      <c r="B57" s="1139" t="n"/>
      <c r="C57" s="1513" t="n"/>
      <c r="D57" s="1517" t="n"/>
      <c r="F57" s="95" t="inlineStr">
        <is>
          <t>MENSALIDADE</t>
        </is>
      </c>
      <c r="G57" s="1132" t="n">
        <v>1</v>
      </c>
      <c r="H57" s="85">
        <f>Angelo!D37</f>
        <v/>
      </c>
      <c r="I57">
        <f>Angelo!E35</f>
        <v/>
      </c>
      <c r="M57" s="100" t="n"/>
    </row>
    <row r="58" ht="16.5" customHeight="1" s="1173" thickBot="1">
      <c r="A58" s="70" t="n"/>
      <c r="B58" s="71" t="n"/>
      <c r="C58" s="1524">
        <f>SUM(C11:C56)</f>
        <v/>
      </c>
      <c r="D58" s="1517" t="n"/>
      <c r="F58" s="95" t="n"/>
      <c r="G58" s="1132" t="inlineStr">
        <is>
          <t>-</t>
        </is>
      </c>
      <c r="H58" s="85" t="n"/>
      <c r="M58" s="100" t="n"/>
    </row>
    <row r="59" ht="16.5" customHeight="1" s="1173" thickBot="1">
      <c r="A59" s="50" t="inlineStr">
        <is>
          <t xml:space="preserve">Uniformes </t>
        </is>
      </c>
      <c r="B59" s="1139" t="n"/>
      <c r="C59" s="1525" t="n">
        <v>5000</v>
      </c>
      <c r="D59" s="1517" t="n"/>
      <c r="F59" s="95" t="n"/>
      <c r="H59" s="85" t="n"/>
      <c r="M59" s="100" t="n"/>
    </row>
    <row r="60" ht="15.75" customHeight="1" s="1173">
      <c r="A60" s="47" t="inlineStr">
        <is>
          <t xml:space="preserve">Extintores </t>
        </is>
      </c>
      <c r="B60" s="48" t="n"/>
      <c r="C60" s="1512" t="n"/>
      <c r="D60" s="1517" t="n"/>
      <c r="F60" s="95" t="n"/>
      <c r="H60" s="51">
        <f>SUM(H55:H59)</f>
        <v/>
      </c>
      <c r="M60" s="100" t="n"/>
    </row>
    <row r="61">
      <c r="A61" s="640" t="inlineStr">
        <is>
          <t>Recarga de agua 10 Lt</t>
        </is>
      </c>
      <c r="B61" s="1139" t="n">
        <v>6</v>
      </c>
      <c r="C61" s="1513">
        <f>Angelo!D42</f>
        <v/>
      </c>
      <c r="D61" s="1517" t="n"/>
      <c r="F61" s="24" t="inlineStr">
        <is>
          <t xml:space="preserve">AIBA </t>
        </is>
      </c>
      <c r="G61" s="1136" t="n"/>
      <c r="H61" s="87" t="n"/>
    </row>
    <row r="62">
      <c r="A62" s="640" t="inlineStr">
        <is>
          <t>Recarga de agua 75 Lt</t>
        </is>
      </c>
      <c r="B62" s="1139" t="n">
        <v>1</v>
      </c>
      <c r="C62" s="1513">
        <f>Angelo!D43</f>
        <v/>
      </c>
      <c r="D62" s="1517" t="n"/>
      <c r="F62" s="86" t="inlineStr">
        <is>
          <t xml:space="preserve">Anuidade </t>
        </is>
      </c>
      <c r="G62" s="1139" t="inlineStr">
        <is>
          <t xml:space="preserve">Cancelado </t>
        </is>
      </c>
      <c r="H62" s="85" t="n">
        <v>0</v>
      </c>
      <c r="I62" s="1515" t="n"/>
      <c r="M62" s="65" t="n"/>
    </row>
    <row r="63">
      <c r="A63" s="640" t="inlineStr">
        <is>
          <t>Recarga de pó 4 kg</t>
        </is>
      </c>
      <c r="B63" s="1139" t="n">
        <v>2</v>
      </c>
      <c r="C63" s="1513">
        <f>Angelo!D44</f>
        <v/>
      </c>
      <c r="D63" s="1517" t="n"/>
      <c r="F63" s="86" t="inlineStr">
        <is>
          <t>Operação Safra  (R$ 1,5/há)</t>
        </is>
      </c>
      <c r="G63" s="1139" t="inlineStr">
        <is>
          <t xml:space="preserve">Cancelado </t>
        </is>
      </c>
      <c r="H63" s="85" t="n">
        <v>0</v>
      </c>
    </row>
    <row r="64">
      <c r="A64" s="640" t="inlineStr">
        <is>
          <t>Recarga de pó 6 kg</t>
        </is>
      </c>
      <c r="B64" s="1139" t="n">
        <v>7</v>
      </c>
      <c r="C64" s="1513">
        <f>Angelo!D45</f>
        <v/>
      </c>
      <c r="D64" s="1517" t="n"/>
      <c r="F64" s="86" t="n"/>
      <c r="G64" s="1139" t="n"/>
      <c r="H64" s="51">
        <f>SUM(H62:H63)</f>
        <v/>
      </c>
      <c r="I64" s="65" t="n"/>
    </row>
    <row r="65">
      <c r="A65" s="640" t="inlineStr">
        <is>
          <t>Recarga de pó 8 kg</t>
        </is>
      </c>
      <c r="B65" s="1139" t="n">
        <v>1</v>
      </c>
      <c r="C65" s="1513">
        <f>Angelo!D46</f>
        <v/>
      </c>
      <c r="D65" s="1517" t="n"/>
      <c r="F65" s="22" t="inlineStr">
        <is>
          <t>Taxa Fiscalização Funcionamento (LEM)</t>
        </is>
      </c>
      <c r="G65" s="101" t="n"/>
      <c r="H65" s="426" t="n">
        <v>841.33</v>
      </c>
    </row>
    <row r="66">
      <c r="A66" s="640" t="inlineStr">
        <is>
          <t>Recarga de pó 12 kg</t>
        </is>
      </c>
      <c r="B66" s="57" t="n">
        <v>6</v>
      </c>
      <c r="C66" s="1513">
        <f>Angelo!D47</f>
        <v/>
      </c>
      <c r="D66" s="1517" t="n"/>
      <c r="F66" s="50" t="inlineStr">
        <is>
          <t xml:space="preserve">Solfinftec </t>
        </is>
      </c>
      <c r="G66" s="27" t="n"/>
    </row>
    <row r="67">
      <c r="A67" s="640" t="inlineStr">
        <is>
          <t>Recarga de Co2  6 kg</t>
        </is>
      </c>
      <c r="B67" s="57" t="n">
        <v>1</v>
      </c>
      <c r="C67" s="1513">
        <f>Angelo!D48</f>
        <v/>
      </c>
      <c r="D67" s="1517" t="n"/>
      <c r="F67" s="95" t="inlineStr">
        <is>
          <t xml:space="preserve">Comodato do sistema completo Solinftec </t>
        </is>
      </c>
      <c r="G67" s="1139" t="n">
        <v>0</v>
      </c>
      <c r="H67" s="51" t="n">
        <v>74937</v>
      </c>
      <c r="I67" s="1515" t="n"/>
    </row>
    <row r="68">
      <c r="A68" s="640" t="inlineStr">
        <is>
          <t>Recarga de Co2  4 kg</t>
        </is>
      </c>
      <c r="B68" s="57" t="n">
        <v>1</v>
      </c>
      <c r="C68" s="1513">
        <f>Angelo!D49</f>
        <v/>
      </c>
      <c r="D68" s="1517" t="n"/>
      <c r="F68" s="81" t="inlineStr">
        <is>
          <t>Plataforma Farmbox  (R$/há)</t>
        </is>
      </c>
      <c r="G68" s="681" t="n">
        <v>2.55</v>
      </c>
      <c r="H68" s="418">
        <f>G68*2300</f>
        <v/>
      </c>
    </row>
    <row r="69">
      <c r="A69" s="640" t="inlineStr">
        <is>
          <t>Travas</t>
        </is>
      </c>
      <c r="B69" s="57" t="n">
        <v>4</v>
      </c>
      <c r="C69" s="1513">
        <f>Angelo!D50</f>
        <v/>
      </c>
      <c r="D69" s="1517" t="n"/>
      <c r="F69" s="24" t="inlineStr">
        <is>
          <t xml:space="preserve">Inspeções /Aferições </t>
        </is>
      </c>
      <c r="G69" s="1136" t="n"/>
      <c r="H69" s="464" t="n"/>
    </row>
    <row r="70">
      <c r="A70" s="640" t="inlineStr">
        <is>
          <t>Pintura</t>
        </is>
      </c>
      <c r="B70" s="57" t="n">
        <v>5</v>
      </c>
      <c r="C70" s="1513">
        <f>Angelo!D51</f>
        <v/>
      </c>
      <c r="D70" s="1517" t="n"/>
      <c r="F70" s="86" t="inlineStr">
        <is>
          <t>Inspeção Caldeira</t>
        </is>
      </c>
      <c r="G70" s="1139" t="n">
        <v>1</v>
      </c>
      <c r="H70" s="462">
        <f>Angelo!D85</f>
        <v/>
      </c>
    </row>
    <row r="71">
      <c r="A71" s="640" t="inlineStr">
        <is>
          <t>Difusor</t>
        </is>
      </c>
      <c r="B71" s="57" t="n">
        <v>1</v>
      </c>
      <c r="C71" s="1513">
        <f>Angelo!D52</f>
        <v/>
      </c>
      <c r="D71" s="1517" t="n"/>
      <c r="F71" s="86" t="inlineStr">
        <is>
          <t xml:space="preserve">Tratamanto agua caldeira </t>
        </is>
      </c>
      <c r="G71" s="1139" t="n">
        <v>1</v>
      </c>
      <c r="H71" s="462">
        <f>Angelo!D86</f>
        <v/>
      </c>
    </row>
    <row r="72">
      <c r="A72" s="640" t="inlineStr">
        <is>
          <t>Teste Hidrostatico</t>
        </is>
      </c>
      <c r="B72" s="57" t="n">
        <v>1</v>
      </c>
      <c r="C72" s="1513">
        <f>Angelo!D53</f>
        <v/>
      </c>
      <c r="D72" s="1517" t="n"/>
      <c r="F72" s="86" t="inlineStr">
        <is>
          <t>Inspeção Compressor</t>
        </is>
      </c>
      <c r="G72" s="1139" t="n">
        <v>2</v>
      </c>
      <c r="H72" s="462">
        <f>Angelo!D87</f>
        <v/>
      </c>
    </row>
    <row r="73">
      <c r="A73" s="640" t="inlineStr">
        <is>
          <t>Mangueira</t>
        </is>
      </c>
      <c r="B73" s="57" t="n">
        <v>1</v>
      </c>
      <c r="C73" s="1513">
        <f>Angelo!D54</f>
        <v/>
      </c>
      <c r="D73" s="1517" t="n"/>
      <c r="F73" s="86" t="inlineStr">
        <is>
          <t>Calibração Gasalert</t>
        </is>
      </c>
      <c r="G73" s="1139" t="n">
        <v>2</v>
      </c>
      <c r="H73" s="462">
        <f>Angelo!D88</f>
        <v/>
      </c>
    </row>
    <row r="74">
      <c r="A74" s="569" t="n"/>
      <c r="B74" s="57" t="n">
        <v>4</v>
      </c>
      <c r="C74" s="1513">
        <f>Angelo!D55</f>
        <v/>
      </c>
      <c r="D74" s="1517" t="n"/>
      <c r="F74" s="86" t="inlineStr">
        <is>
          <t>Aferição balança Imetro</t>
        </is>
      </c>
      <c r="G74" s="1139" t="n">
        <v>2</v>
      </c>
      <c r="H74" s="462">
        <f>Angelo!D89</f>
        <v/>
      </c>
    </row>
    <row r="75">
      <c r="A75" s="56" t="n"/>
      <c r="B75" s="57" t="n"/>
      <c r="C75" s="1526" t="n"/>
      <c r="D75" s="1517" t="n"/>
      <c r="F75" s="86" t="inlineStr">
        <is>
          <t>Manutençao balança</t>
        </is>
      </c>
      <c r="G75" s="1139" t="n">
        <v>2</v>
      </c>
      <c r="H75" s="462">
        <f>Angelo!D90</f>
        <v/>
      </c>
    </row>
    <row r="76" ht="15.75" customHeight="1" s="1173" thickBot="1">
      <c r="A76" s="77" t="n"/>
      <c r="B76" s="71" t="n"/>
      <c r="C76" s="1524">
        <f>SUM(C61:C74)</f>
        <v/>
      </c>
      <c r="D76" s="1517" t="n"/>
      <c r="F76" s="86" t="inlineStr">
        <is>
          <t xml:space="preserve">Potabilidade agua </t>
        </is>
      </c>
      <c r="G76" s="1139" t="n">
        <v>4</v>
      </c>
      <c r="H76" s="462">
        <f>Angelo!D91</f>
        <v/>
      </c>
    </row>
    <row r="77" ht="15.75" customHeight="1" s="1173" thickBot="1">
      <c r="A77" s="47" t="inlineStr">
        <is>
          <t>EPIs</t>
        </is>
      </c>
      <c r="B77" s="48" t="n"/>
      <c r="C77" s="469" t="n">
        <v>11013</v>
      </c>
      <c r="D77" s="1517" t="n"/>
      <c r="F77" s="102" t="n"/>
      <c r="G77" s="103" t="n"/>
      <c r="H77" s="463">
        <f>SUM(H70:H76)</f>
        <v/>
      </c>
    </row>
    <row r="78">
      <c r="A78" s="1527" t="inlineStr">
        <is>
          <t>CAIXA DE PRIMEIROS SOCORROS</t>
        </is>
      </c>
      <c r="B78" s="1527" t="inlineStr">
        <is>
          <t>CAIXA DE PRIMEIROS SOCORROS</t>
        </is>
      </c>
      <c r="C78" s="1527" t="inlineStr">
        <is>
          <t>CAIXA DE PRIMEIROS SOCORROS</t>
        </is>
      </c>
      <c r="D78" s="1517" t="n"/>
      <c r="F78" s="81" t="inlineStr">
        <is>
          <t>Eletrecista  (Mão de obra+km)</t>
        </is>
      </c>
      <c r="G78" s="1267" t="n">
        <v>5</v>
      </c>
      <c r="H78" s="465" t="n"/>
      <c r="S78" s="106" t="inlineStr">
        <is>
          <t>VALDIMIR DA SILVA FLORES</t>
        </is>
      </c>
      <c r="T78" s="107" t="inlineStr">
        <is>
          <t>M</t>
        </is>
      </c>
      <c r="U78" s="107" t="n">
        <v>3</v>
      </c>
      <c r="V78" s="107" t="n"/>
      <c r="W78" s="107" t="n"/>
      <c r="X78" s="107" t="n"/>
    </row>
    <row r="79" ht="15.75" customHeight="1" s="1173" thickBot="1">
      <c r="A79" s="52" t="inlineStr">
        <is>
          <t>Algodão 50gr</t>
        </is>
      </c>
      <c r="B79" s="1139" t="n">
        <v>5</v>
      </c>
      <c r="C79" s="1513">
        <f>Angelo!D61</f>
        <v/>
      </c>
      <c r="D79" s="1517" t="n"/>
      <c r="F79" s="43" t="inlineStr">
        <is>
          <t xml:space="preserve">Detetização Cantina e alojamentos </t>
        </is>
      </c>
      <c r="G79" s="1150" t="n"/>
      <c r="H79" s="471" t="n">
        <v>3600</v>
      </c>
      <c r="S79" s="109" t="inlineStr">
        <is>
          <t>VALMIRA FERREIRA DOS ANJOS</t>
        </is>
      </c>
      <c r="T79" s="3" t="inlineStr">
        <is>
          <t>GG</t>
        </is>
      </c>
      <c r="U79" s="3" t="n">
        <v>3</v>
      </c>
      <c r="V79" s="3" t="n"/>
      <c r="W79" s="3" t="n"/>
      <c r="X79" s="3" t="n"/>
    </row>
    <row r="80">
      <c r="A80" s="56" t="inlineStr">
        <is>
          <t xml:space="preserve">Atadura de crepom </t>
        </is>
      </c>
      <c r="B80" s="57" t="n">
        <v>15</v>
      </c>
      <c r="C80" s="1513">
        <f>Angelo!D62</f>
        <v/>
      </c>
      <c r="D80" s="1517" t="n"/>
      <c r="F80" s="920" t="inlineStr">
        <is>
          <t>Manutenção rede de intertne e telefone</t>
        </is>
      </c>
      <c r="G80" s="921" t="n"/>
      <c r="H80" s="987" t="n"/>
      <c r="S80" s="106" t="inlineStr">
        <is>
          <t>VICTOR JUAREZ HOFFMANN</t>
        </is>
      </c>
      <c r="T80" s="3" t="inlineStr">
        <is>
          <t>G</t>
        </is>
      </c>
      <c r="U80" s="3" t="n">
        <v>3</v>
      </c>
      <c r="V80" s="3" t="n"/>
      <c r="W80" s="3" t="n"/>
      <c r="X80" s="3" t="n"/>
    </row>
    <row r="81">
      <c r="A81" s="52" t="inlineStr">
        <is>
          <t>Compressa de gaze 7,5x7,5cm</t>
        </is>
      </c>
      <c r="B81" s="1139" t="n">
        <v>25</v>
      </c>
      <c r="C81" s="1513">
        <f>Angelo!D63</f>
        <v/>
      </c>
      <c r="D81" s="1517" t="n"/>
      <c r="F81" s="765" t="inlineStr">
        <is>
          <t>Carroll Serviços (serviços administrativos)</t>
        </is>
      </c>
      <c r="G81" s="122" t="n"/>
      <c r="H81" s="922">
        <f>'Orçam-Realiza'!D48*1.5%</f>
        <v/>
      </c>
      <c r="I81" s="491" t="n"/>
      <c r="S81" s="106" t="inlineStr">
        <is>
          <t>WAGNER DE OLIVEIRA</t>
        </is>
      </c>
      <c r="T81" s="3" t="inlineStr">
        <is>
          <t>G</t>
        </is>
      </c>
      <c r="U81" s="3" t="n">
        <v>8</v>
      </c>
      <c r="V81" s="3" t="n"/>
      <c r="W81" s="3" t="n"/>
      <c r="X81" s="3" t="n"/>
    </row>
    <row r="82">
      <c r="A82" s="52" t="inlineStr">
        <is>
          <t>Cotonete</t>
        </is>
      </c>
      <c r="B82" s="1139" t="n">
        <v>7</v>
      </c>
      <c r="C82" s="1513">
        <f>Angelo!D64</f>
        <v/>
      </c>
      <c r="D82" s="1517" t="n"/>
      <c r="F82" s="29" t="n"/>
      <c r="G82" s="193" t="inlineStr">
        <is>
          <t xml:space="preserve">TOTAL </t>
        </is>
      </c>
      <c r="H82" s="488">
        <f>SUM(H3,H4,H6,H7,H12:H14,H23,H24,H26,H30,H31,H32,H38,H39,H44,H53,H60,H64,H65,H67,H68,H77,H78,H79,H80:H81)</f>
        <v/>
      </c>
      <c r="S82" s="106" t="inlineStr">
        <is>
          <t xml:space="preserve">CONTRATAÇOES </t>
        </is>
      </c>
      <c r="T82" s="3" t="inlineStr">
        <is>
          <t>M</t>
        </is>
      </c>
      <c r="U82" s="3" t="n">
        <v>8</v>
      </c>
      <c r="V82" s="3" t="n"/>
      <c r="W82" s="3" t="n"/>
      <c r="X82" s="3" t="n"/>
    </row>
    <row r="83">
      <c r="A83" s="52" t="inlineStr">
        <is>
          <t>Band eid</t>
        </is>
      </c>
      <c r="B83" s="1139" t="n">
        <v>7</v>
      </c>
      <c r="C83" s="1513">
        <f>Angelo!D65</f>
        <v/>
      </c>
      <c r="D83" s="1517" t="n"/>
      <c r="F83" s="29" t="n"/>
      <c r="G83" s="193" t="n"/>
      <c r="H83" s="490" t="n"/>
      <c r="S83" s="106" t="inlineStr">
        <is>
          <t xml:space="preserve">CONTRATAÇOES </t>
        </is>
      </c>
      <c r="T83" s="3" t="inlineStr">
        <is>
          <t>GG</t>
        </is>
      </c>
      <c r="U83" s="3" t="n">
        <v>8</v>
      </c>
      <c r="V83" s="3" t="n"/>
      <c r="W83" s="3" t="n"/>
      <c r="X83" s="3" t="n"/>
    </row>
    <row r="84">
      <c r="A84" s="52" t="inlineStr">
        <is>
          <t>Esparadrapo  10x4,5 cm</t>
        </is>
      </c>
      <c r="B84" s="1139" t="n">
        <v>7</v>
      </c>
      <c r="C84" s="1513">
        <f>Angelo!D66</f>
        <v/>
      </c>
      <c r="F84" s="29" t="n"/>
      <c r="G84" s="29" t="n"/>
      <c r="H84" s="29" t="n"/>
      <c r="S84" s="106" t="inlineStr">
        <is>
          <t xml:space="preserve">CONTRATAÇOES </t>
        </is>
      </c>
      <c r="T84" s="3" t="inlineStr">
        <is>
          <t>P</t>
        </is>
      </c>
      <c r="U84" s="3" t="n">
        <v>6</v>
      </c>
      <c r="V84" s="3" t="n"/>
      <c r="W84" s="3" t="n"/>
      <c r="X84" s="3" t="n"/>
    </row>
    <row r="85">
      <c r="A85" s="52" t="inlineStr">
        <is>
          <t xml:space="preserve">Lanterna pequena  </t>
        </is>
      </c>
      <c r="B85" s="1139" t="n">
        <v>5</v>
      </c>
      <c r="C85" s="1513">
        <f>Angelo!D67</f>
        <v/>
      </c>
      <c r="D85" s="61" t="n"/>
      <c r="S85" s="106" t="inlineStr">
        <is>
          <t xml:space="preserve">CONTRATAÇOES </t>
        </is>
      </c>
      <c r="T85" s="3" t="inlineStr">
        <is>
          <t>G</t>
        </is>
      </c>
      <c r="U85" s="3" t="n">
        <v>3</v>
      </c>
      <c r="V85" s="3" t="n"/>
      <c r="W85" s="3" t="n"/>
      <c r="X85" s="3" t="n"/>
    </row>
    <row r="86">
      <c r="A86" s="52" t="inlineStr">
        <is>
          <t>Luvas de procedimentos cirurgico cx</t>
        </is>
      </c>
      <c r="B86" s="1139" t="n">
        <v>1</v>
      </c>
      <c r="C86" s="1513">
        <f>Angelo!D68</f>
        <v/>
      </c>
      <c r="G86" s="193" t="n"/>
      <c r="H86" s="1471" t="n"/>
      <c r="S86" s="106" t="inlineStr">
        <is>
          <t>ESTAGIARIO 1</t>
        </is>
      </c>
      <c r="T86" s="3" t="inlineStr">
        <is>
          <t>G</t>
        </is>
      </c>
      <c r="U86" s="3" t="n">
        <v>3</v>
      </c>
      <c r="V86" s="3" t="n"/>
      <c r="W86" s="3" t="n"/>
      <c r="X86" s="3" t="n"/>
    </row>
    <row r="87">
      <c r="A87" s="52" t="inlineStr">
        <is>
          <t xml:space="preserve">Sabão liquido bactericida </t>
        </is>
      </c>
      <c r="B87" s="1139" t="n">
        <v>7</v>
      </c>
      <c r="C87" s="1513">
        <f>Angelo!D69</f>
        <v/>
      </c>
      <c r="G87" s="193" t="n"/>
      <c r="H87" s="134" t="n"/>
      <c r="S87" s="106" t="inlineStr">
        <is>
          <t>ESTAGIARIO 2</t>
        </is>
      </c>
      <c r="T87" s="3" t="inlineStr">
        <is>
          <t>G</t>
        </is>
      </c>
      <c r="U87" s="3" t="n">
        <v>3</v>
      </c>
      <c r="V87" s="3" t="n"/>
      <c r="W87" s="3" t="n"/>
      <c r="X87" s="3" t="n"/>
    </row>
    <row r="88" ht="14.45" customHeight="1" s="1173">
      <c r="A88" s="52" t="inlineStr">
        <is>
          <t>Polvidine 100 ml</t>
        </is>
      </c>
      <c r="B88" s="1139" t="n">
        <v>7</v>
      </c>
      <c r="C88" s="1513">
        <f>Angelo!D70</f>
        <v/>
      </c>
      <c r="H88" s="1471" t="n"/>
      <c r="S88" s="106" t="n"/>
      <c r="T88" s="3" t="n"/>
      <c r="U88" s="3" t="n"/>
      <c r="V88" s="3" t="n"/>
      <c r="W88" s="3" t="n"/>
      <c r="X88" s="3" t="n"/>
    </row>
    <row r="89">
      <c r="A89" s="52" t="inlineStr">
        <is>
          <t>Soro fisiologico    0,9%</t>
        </is>
      </c>
      <c r="B89" s="1139" t="n">
        <v>8</v>
      </c>
      <c r="C89" s="1513">
        <f>Angelo!D71</f>
        <v/>
      </c>
      <c r="D89" s="1471" t="n"/>
      <c r="G89" s="193" t="n"/>
      <c r="I89" s="978" t="n"/>
      <c r="S89" s="106" t="inlineStr">
        <is>
          <t>ESTAGIARIO 3</t>
        </is>
      </c>
      <c r="T89" s="3" t="inlineStr">
        <is>
          <t>G</t>
        </is>
      </c>
      <c r="U89" s="3" t="n">
        <v>3</v>
      </c>
      <c r="V89" s="3" t="n"/>
      <c r="W89" s="3" t="n"/>
      <c r="X89" s="3" t="n"/>
    </row>
    <row r="90">
      <c r="A90" s="52" t="inlineStr">
        <is>
          <t>Tesoura sem ponto</t>
        </is>
      </c>
      <c r="B90" s="1139" t="n">
        <v>4</v>
      </c>
      <c r="C90" s="1513">
        <f>Angelo!D72</f>
        <v/>
      </c>
      <c r="D90" s="105" t="n"/>
      <c r="I90" s="61" t="n"/>
      <c r="J90" s="61" t="n"/>
      <c r="S90" s="106" t="inlineStr">
        <is>
          <t>ESTAGIARIO 4</t>
        </is>
      </c>
      <c r="T90" s="3" t="inlineStr">
        <is>
          <t>G</t>
        </is>
      </c>
      <c r="U90" s="3" t="n">
        <v>3</v>
      </c>
      <c r="V90" s="3" t="n"/>
      <c r="W90" s="3" t="n"/>
      <c r="X90" s="3" t="n"/>
    </row>
    <row r="91">
      <c r="A91" s="52" t="inlineStr">
        <is>
          <t>Caixa para colocar o material</t>
        </is>
      </c>
      <c r="B91" s="1139" t="n">
        <v>1</v>
      </c>
      <c r="C91" s="1513">
        <f>Angelo!D73</f>
        <v/>
      </c>
      <c r="I91" s="61" t="n"/>
      <c r="S91" s="106" t="inlineStr">
        <is>
          <t>ESTAGIARIO 5</t>
        </is>
      </c>
      <c r="T91" s="3" t="inlineStr">
        <is>
          <t>G</t>
        </is>
      </c>
      <c r="U91" s="3" t="n">
        <v>3</v>
      </c>
      <c r="V91" s="3" t="n"/>
      <c r="W91" s="3" t="n"/>
      <c r="X91" s="3" t="n"/>
    </row>
    <row r="92" ht="15.75" customHeight="1" s="1173" thickBot="1">
      <c r="A92" s="13" t="n"/>
      <c r="B92" s="118" t="n"/>
      <c r="C92" s="645">
        <f>SUM(C79:C91)</f>
        <v/>
      </c>
      <c r="I92" s="61" t="n"/>
      <c r="J92" s="61" t="n"/>
      <c r="S92" s="106" t="inlineStr">
        <is>
          <t>ESTAGIARIO 6</t>
        </is>
      </c>
      <c r="T92" s="112" t="n"/>
      <c r="U92" s="113">
        <f>SUM(U78:U91)</f>
        <v/>
      </c>
      <c r="V92" s="1528" t="n">
        <v>64.5</v>
      </c>
      <c r="W92" s="1528" t="n"/>
      <c r="X92" s="1528">
        <f>(U92*V92)</f>
        <v/>
      </c>
    </row>
    <row r="93" ht="15.75" customHeight="1" s="1173" thickBot="1">
      <c r="A93" s="47" t="inlineStr">
        <is>
          <t xml:space="preserve">Secador de Grãos </t>
        </is>
      </c>
      <c r="B93" s="48" t="n"/>
      <c r="C93" s="647" t="n"/>
      <c r="S93" s="115" t="inlineStr">
        <is>
          <t>TOTAL</t>
        </is>
      </c>
    </row>
    <row r="94" ht="15.75" customHeight="1" s="1173" thickBot="1">
      <c r="A94" s="70" t="inlineStr">
        <is>
          <t xml:space="preserve">Lenha para secador 3 cargas </t>
        </is>
      </c>
      <c r="B94" s="71" t="n"/>
      <c r="C94" s="692" t="n">
        <v>75000</v>
      </c>
      <c r="T94" s="116" t="inlineStr">
        <is>
          <t>Jaleco</t>
        </is>
      </c>
      <c r="U94" s="116" t="inlineStr">
        <is>
          <t>Quant</t>
        </is>
      </c>
      <c r="V94" s="116" t="inlineStr">
        <is>
          <t>Tamanho</t>
        </is>
      </c>
      <c r="W94" s="116" t="inlineStr">
        <is>
          <t>Valor  und</t>
        </is>
      </c>
      <c r="X94" s="116" t="inlineStr">
        <is>
          <t>Total</t>
        </is>
      </c>
    </row>
    <row r="95" ht="15.75" customHeight="1" s="1173" thickBot="1">
      <c r="A95" s="472" t="inlineStr">
        <is>
          <t>Ti</t>
        </is>
      </c>
      <c r="B95" s="62" t="n"/>
      <c r="C95" s="1529">
        <f>Pedro!E30</f>
        <v/>
      </c>
      <c r="D95" s="65" t="n"/>
      <c r="S95" s="116" t="inlineStr">
        <is>
          <t>Nome</t>
        </is>
      </c>
      <c r="T95" s="6" t="inlineStr">
        <is>
          <t>Eq tecnica</t>
        </is>
      </c>
      <c r="U95" s="6" t="n">
        <v>8</v>
      </c>
      <c r="V95" s="6" t="inlineStr">
        <is>
          <t>GG</t>
        </is>
      </c>
      <c r="W95" s="6" t="n">
        <v>92</v>
      </c>
      <c r="X95" s="6">
        <f>(U95*W95)</f>
        <v/>
      </c>
    </row>
    <row r="96">
      <c r="B96" s="80" t="inlineStr">
        <is>
          <t>Total</t>
        </is>
      </c>
      <c r="C96" s="489">
        <f>SUM(C95,C94,C92,C77,C76,C59,C58,C9,C8,C3)</f>
        <v/>
      </c>
      <c r="S96" s="6" t="inlineStr">
        <is>
          <t>Marcio A</t>
        </is>
      </c>
      <c r="T96" s="6" t="inlineStr">
        <is>
          <t xml:space="preserve">Oficina </t>
        </is>
      </c>
      <c r="U96" s="6" t="n">
        <v>6</v>
      </c>
      <c r="V96" s="6" t="inlineStr">
        <is>
          <t xml:space="preserve"> 4 G, 2 GG e 6 EX</t>
        </is>
      </c>
      <c r="W96" s="6" t="n">
        <v>92</v>
      </c>
      <c r="X96" s="6">
        <f>(U96*W96)</f>
        <v/>
      </c>
    </row>
    <row r="97">
      <c r="C97" s="1471" t="n"/>
      <c r="E97" s="110" t="n"/>
      <c r="S97" s="6" t="inlineStr">
        <is>
          <t xml:space="preserve">Dalvan </t>
        </is>
      </c>
      <c r="T97" s="6" t="n"/>
      <c r="U97" s="6" t="n"/>
      <c r="V97" s="6" t="n"/>
      <c r="W97" s="116" t="inlineStr">
        <is>
          <t>Total</t>
        </is>
      </c>
      <c r="X97" s="116">
        <f>SUM(X95,X96)</f>
        <v/>
      </c>
    </row>
    <row r="98">
      <c r="C98" s="1471" t="n"/>
      <c r="S98" s="6" t="n"/>
    </row>
    <row r="99">
      <c r="C99" s="1471" t="n"/>
      <c r="E99" s="1132" t="n"/>
      <c r="F99" s="11" t="n"/>
    </row>
    <row r="100">
      <c r="C100" s="1471" t="n"/>
      <c r="G100" s="1471" t="n"/>
    </row>
    <row r="101">
      <c r="C101" s="1471" t="n"/>
      <c r="D101" s="1515" t="n"/>
      <c r="G101" s="1471" t="n"/>
    </row>
    <row r="102">
      <c r="C102" s="1471" t="n"/>
      <c r="D102" s="1515" t="n"/>
      <c r="G102" s="1471" t="n"/>
    </row>
    <row r="103">
      <c r="C103" s="1471" t="n"/>
      <c r="D103" s="1515" t="n"/>
      <c r="G103" s="1471" t="n"/>
    </row>
    <row r="104">
      <c r="C104" s="1471" t="n"/>
      <c r="D104" s="1515" t="n"/>
      <c r="E104" s="110" t="n"/>
      <c r="G104" s="1471" t="n"/>
    </row>
    <row r="105">
      <c r="C105" s="1471" t="n"/>
      <c r="D105" s="1515" t="n"/>
      <c r="G105" s="1471" t="n"/>
    </row>
    <row r="106">
      <c r="C106" s="1471" t="n"/>
      <c r="D106" s="1515" t="n"/>
      <c r="G106" s="1471" t="n"/>
    </row>
    <row r="107">
      <c r="C107" s="1471" t="n"/>
      <c r="D107" s="1515" t="n"/>
      <c r="F107" s="111" t="n"/>
      <c r="G107" s="1471" t="n"/>
    </row>
    <row r="108">
      <c r="C108" s="1471" t="n"/>
      <c r="D108" s="1515" t="n"/>
    </row>
    <row r="109">
      <c r="C109" s="1471" t="n"/>
      <c r="D109" s="1515" t="n"/>
      <c r="F109" s="1132" t="n"/>
    </row>
    <row r="110">
      <c r="C110" s="1471" t="n"/>
      <c r="D110" s="1515" t="n"/>
      <c r="G110" s="1471" t="n"/>
    </row>
    <row r="111">
      <c r="C111" s="1471" t="n"/>
      <c r="G111" s="1471" t="n"/>
    </row>
    <row r="112">
      <c r="C112" s="1471" t="n"/>
      <c r="G112" s="1471" t="n"/>
    </row>
    <row r="113">
      <c r="C113" s="1471" t="n"/>
      <c r="F113" s="111" t="n"/>
      <c r="G113" s="1471" t="n"/>
    </row>
    <row r="114">
      <c r="C114" s="1471" t="n"/>
    </row>
    <row r="115">
      <c r="C115" s="1515" t="n"/>
    </row>
    <row r="116">
      <c r="C116" s="1515" t="n"/>
      <c r="D116" s="1471" t="n"/>
    </row>
    <row r="117">
      <c r="A117" s="1132" t="n"/>
      <c r="B117" s="1530" t="n"/>
      <c r="C117" s="1530" t="n"/>
      <c r="D117" s="1471" t="n"/>
    </row>
    <row r="118">
      <c r="C118" s="1471" t="n"/>
    </row>
    <row r="119">
      <c r="C119" s="1471" t="n"/>
    </row>
    <row r="120">
      <c r="C120" s="1471" t="n"/>
    </row>
    <row r="121">
      <c r="C121" s="1471" t="n"/>
      <c r="D121" s="1471" t="n"/>
    </row>
    <row r="122">
      <c r="C122" s="1471" t="n"/>
      <c r="D122" s="1471" t="n"/>
    </row>
    <row r="123">
      <c r="C123" s="1471" t="n"/>
      <c r="D123" s="1471" t="n"/>
    </row>
    <row r="124">
      <c r="C124" s="1471" t="n"/>
      <c r="D124" s="1471" t="n"/>
    </row>
    <row r="125">
      <c r="C125" s="1471" t="n"/>
      <c r="D125" s="1471" t="n"/>
    </row>
    <row r="126">
      <c r="C126" s="1471" t="n"/>
      <c r="D126" s="1471" t="n"/>
    </row>
    <row r="127">
      <c r="A127" s="1132" t="n"/>
      <c r="B127" s="1530" t="n"/>
      <c r="C127" s="1530" t="n"/>
    </row>
    <row r="128">
      <c r="C128" s="1471" t="n"/>
    </row>
    <row r="129">
      <c r="C129" s="1471" t="n"/>
    </row>
    <row r="130">
      <c r="C130" s="1471" t="n"/>
    </row>
    <row r="131">
      <c r="C131" s="1471" t="n"/>
    </row>
    <row r="132">
      <c r="C132" s="1471" t="n"/>
    </row>
    <row r="133">
      <c r="C133" s="1471" t="n"/>
    </row>
    <row r="134">
      <c r="C134" s="1471" t="n"/>
    </row>
    <row r="135">
      <c r="G135" s="16" t="n"/>
    </row>
    <row r="136">
      <c r="G136" s="61" t="n"/>
    </row>
    <row r="137">
      <c r="G137" s="61" t="n"/>
    </row>
    <row r="138">
      <c r="G138" s="61" t="n"/>
    </row>
    <row r="142">
      <c r="D142" s="105" t="n"/>
    </row>
    <row r="153">
      <c r="D153" s="105" t="n"/>
    </row>
    <row r="170">
      <c r="D170" s="105" t="n"/>
    </row>
    <row r="178">
      <c r="D178" s="105" t="n"/>
    </row>
    <row r="179">
      <c r="D179" s="105" t="n"/>
    </row>
  </sheetData>
  <pageMargins left="0.511811024" right="0.511811024" top="0.787401575" bottom="0.787401575" header="0.31496062" footer="0.31496062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FFFFFF00"/>
    <outlinePr summaryBelow="1" summaryRight="1"/>
    <pageSetUpPr/>
  </sheetPr>
  <dimension ref="A1:AE83"/>
  <sheetViews>
    <sheetView topLeftCell="B5" zoomScale="80" zoomScaleNormal="80" workbookViewId="0">
      <selection activeCell="J15" sqref="J15"/>
    </sheetView>
  </sheetViews>
  <sheetFormatPr baseColWidth="8" defaultRowHeight="15"/>
  <cols>
    <col width="42.7109375" customWidth="1" style="1173" min="1" max="1"/>
    <col width="18.7109375" bestFit="1" customWidth="1" style="1173" min="2" max="2"/>
    <col width="18.7109375" customWidth="1" style="1173" min="3" max="3"/>
    <col width="13.28515625" bestFit="1" customWidth="1" style="1173" min="4" max="4"/>
    <col width="12.42578125" customWidth="1" style="1173" min="5" max="5"/>
    <col width="13" bestFit="1" customWidth="1" style="1173" min="6" max="7"/>
    <col width="12.28515625" bestFit="1" customWidth="1" style="1173" min="8" max="8"/>
    <col width="13" bestFit="1" customWidth="1" style="1173" min="9" max="10"/>
    <col width="12.7109375" customWidth="1" style="1173" min="11" max="11"/>
    <col width="14.28515625" bestFit="1" customWidth="1" style="1173" min="12" max="12"/>
    <col width="14.5703125" customWidth="1" style="1173" min="13" max="13"/>
    <col width="16.7109375" bestFit="1" customWidth="1" style="1173" min="14" max="14"/>
    <col width="6.7109375" customWidth="1" style="1173" min="15" max="15"/>
    <col width="6.140625" customWidth="1" style="1173" min="16" max="16"/>
    <col width="15.5703125" bestFit="1" customWidth="1" style="1173" min="19" max="19"/>
    <col width="13.7109375" bestFit="1" customWidth="1" style="1173" min="29" max="29"/>
    <col width="13.28515625" bestFit="1" customWidth="1" style="1173" min="30" max="30"/>
    <col width="13.7109375" bestFit="1" customWidth="1" style="1173" min="31" max="31"/>
  </cols>
  <sheetData>
    <row r="1">
      <c r="A1" s="429" t="n"/>
      <c r="B1" s="429" t="inlineStr">
        <is>
          <t>Salário</t>
        </is>
      </c>
      <c r="C1" s="429" t="inlineStr">
        <is>
          <t xml:space="preserve">Quiquenio </t>
        </is>
      </c>
      <c r="D1" s="430" t="inlineStr">
        <is>
          <t xml:space="preserve">Insalubridade </t>
        </is>
      </c>
      <c r="E1" s="430" t="inlineStr">
        <is>
          <t>Periculosidade</t>
        </is>
      </c>
      <c r="F1" s="429" t="inlineStr">
        <is>
          <t>HE 50%</t>
        </is>
      </c>
      <c r="G1" s="429" t="inlineStr">
        <is>
          <t>HE 100%</t>
        </is>
      </c>
      <c r="H1" s="1531" t="inlineStr">
        <is>
          <t>DSR</t>
        </is>
      </c>
      <c r="I1" s="1532" t="inlineStr">
        <is>
          <t>Adic. Férias</t>
        </is>
      </c>
      <c r="J1" s="1531" t="inlineStr">
        <is>
          <t xml:space="preserve">13º </t>
        </is>
      </c>
      <c r="K1" s="429" t="inlineStr">
        <is>
          <t>INSS Empre</t>
        </is>
      </c>
      <c r="L1" s="429" t="inlineStr">
        <is>
          <t>FGTS</t>
        </is>
      </c>
      <c r="M1" s="429" t="inlineStr">
        <is>
          <t>Total Mensal</t>
        </is>
      </c>
      <c r="N1" s="433" t="inlineStr">
        <is>
          <t xml:space="preserve">Total anual </t>
        </is>
      </c>
      <c r="T1" t="inlineStr">
        <is>
          <t>Out</t>
        </is>
      </c>
      <c r="U1" t="inlineStr">
        <is>
          <t>Nov</t>
        </is>
      </c>
      <c r="V1" t="inlineStr">
        <is>
          <t>Dez</t>
        </is>
      </c>
      <c r="W1" t="inlineStr">
        <is>
          <t>Jan</t>
        </is>
      </c>
      <c r="X1" t="inlineStr">
        <is>
          <t>Fev</t>
        </is>
      </c>
      <c r="Y1" t="inlineStr">
        <is>
          <t>Mar</t>
        </is>
      </c>
      <c r="Z1" t="inlineStr">
        <is>
          <t>Abr</t>
        </is>
      </c>
      <c r="AA1" t="inlineStr">
        <is>
          <t>Mai</t>
        </is>
      </c>
      <c r="AB1" t="inlineStr">
        <is>
          <t>Jun</t>
        </is>
      </c>
      <c r="AC1" t="inlineStr">
        <is>
          <t>Jul</t>
        </is>
      </c>
      <c r="AD1" t="inlineStr">
        <is>
          <t>Ago</t>
        </is>
      </c>
      <c r="AE1" t="inlineStr">
        <is>
          <t>Set</t>
        </is>
      </c>
    </row>
    <row r="2">
      <c r="A2" s="429" t="inlineStr">
        <is>
          <t>Plantio e TS</t>
        </is>
      </c>
      <c r="B2" s="429" t="n"/>
      <c r="C2" s="429" t="n"/>
      <c r="D2" s="430" t="n"/>
      <c r="E2" s="430" t="n"/>
      <c r="F2" s="429" t="n"/>
      <c r="G2" s="429" t="n"/>
      <c r="H2" s="1531" t="n"/>
      <c r="I2" s="1532" t="n"/>
      <c r="J2" s="429" t="n"/>
      <c r="K2" s="429" t="n"/>
      <c r="L2" s="1531" t="n"/>
      <c r="M2" s="429" t="n"/>
      <c r="N2" s="433" t="n"/>
      <c r="S2" s="620" t="inlineStr">
        <is>
          <t xml:space="preserve">Romerio </t>
        </is>
      </c>
      <c r="T2" s="808" t="n"/>
      <c r="U2" s="808" t="n"/>
      <c r="V2" s="808" t="n"/>
      <c r="W2" s="808" t="n"/>
      <c r="X2" s="808" t="n"/>
      <c r="Y2" s="808" t="n"/>
      <c r="Z2" s="808" t="n"/>
      <c r="AA2" s="808" t="n"/>
      <c r="AB2" s="179" t="inlineStr">
        <is>
          <t>férias</t>
        </is>
      </c>
      <c r="AC2" s="808" t="n"/>
      <c r="AD2" s="808" t="n"/>
      <c r="AE2" s="808" t="n"/>
    </row>
    <row r="3">
      <c r="A3" s="620" t="inlineStr">
        <is>
          <t xml:space="preserve">Romerio </t>
        </is>
      </c>
      <c r="B3" s="1533" t="n">
        <v>15000</v>
      </c>
      <c r="C3" s="1533">
        <f>B3*10%</f>
        <v/>
      </c>
      <c r="D3" s="1533" t="n">
        <v>293</v>
      </c>
      <c r="E3" s="1533" t="n">
        <v>0</v>
      </c>
      <c r="F3" s="1534" t="n"/>
      <c r="G3" s="1534" t="n"/>
      <c r="H3" s="1533" t="n"/>
      <c r="I3" s="1534">
        <f>(B3+C3+D3)*33%/12</f>
        <v/>
      </c>
      <c r="J3" s="1534">
        <f>SUM(A3:G3)/12</f>
        <v/>
      </c>
      <c r="K3" s="1534">
        <f>SUM(B3:J3)*2.7%</f>
        <v/>
      </c>
      <c r="L3" s="1533">
        <f>SUM(B3:J3)*8%</f>
        <v/>
      </c>
      <c r="M3" s="1535">
        <f>SUM(B3:L3)</f>
        <v/>
      </c>
      <c r="N3" s="624">
        <f>M3*12</f>
        <v/>
      </c>
      <c r="S3" s="620" t="inlineStr">
        <is>
          <t>Paulo Vitor</t>
        </is>
      </c>
      <c r="T3" s="808" t="n"/>
      <c r="U3" s="808" t="n"/>
      <c r="V3" s="808" t="n"/>
      <c r="W3" s="808" t="n"/>
      <c r="X3" s="808" t="n"/>
      <c r="Y3" s="808" t="n"/>
      <c r="Z3" s="808" t="n"/>
      <c r="AA3" s="808" t="n"/>
      <c r="AB3" s="179" t="inlineStr">
        <is>
          <t xml:space="preserve">férias </t>
        </is>
      </c>
      <c r="AC3" s="808" t="n"/>
      <c r="AD3" s="808" t="n"/>
      <c r="AE3" s="808" t="n"/>
    </row>
    <row r="4">
      <c r="A4" s="620" t="inlineStr">
        <is>
          <t>Paulo Vitor</t>
        </is>
      </c>
      <c r="B4" s="1533" t="n">
        <v>3700</v>
      </c>
      <c r="C4" s="1533" t="n"/>
      <c r="D4" s="1533" t="n">
        <v>293</v>
      </c>
      <c r="E4" s="1533" t="n">
        <v>0</v>
      </c>
      <c r="F4" s="1534">
        <f>(B4+D4)/220*1.5*24</f>
        <v/>
      </c>
      <c r="G4" s="1534">
        <f>(B4+D4)/220*2*10</f>
        <v/>
      </c>
      <c r="H4" s="1533">
        <f>(F4+G4)/26*4</f>
        <v/>
      </c>
      <c r="I4" s="1534">
        <f>SUM(B4:H4)*33%/12</f>
        <v/>
      </c>
      <c r="J4" s="1534">
        <f>SUM(A4:H4)*8%</f>
        <v/>
      </c>
      <c r="K4" s="1534">
        <f>SUM(B4:J4)*2.7%</f>
        <v/>
      </c>
      <c r="L4" s="1533">
        <f>SUM(F4:K4)*8%</f>
        <v/>
      </c>
      <c r="M4" s="1535">
        <f>SUM(B4:L4)</f>
        <v/>
      </c>
      <c r="N4" s="624">
        <f>M4*12</f>
        <v/>
      </c>
      <c r="S4" s="620" t="inlineStr">
        <is>
          <t xml:space="preserve">Raimundo </t>
        </is>
      </c>
      <c r="T4" s="808" t="n"/>
      <c r="U4" s="808" t="n"/>
      <c r="V4" s="808" t="n"/>
      <c r="W4" s="808" t="n"/>
      <c r="X4" s="808" t="n"/>
      <c r="Y4" s="808" t="n"/>
      <c r="Z4" s="808" t="n"/>
      <c r="AA4" s="808" t="n"/>
      <c r="AB4" s="808" t="n"/>
      <c r="AC4" s="179" t="inlineStr">
        <is>
          <t>férias</t>
        </is>
      </c>
      <c r="AD4" s="808" t="n"/>
      <c r="AE4" s="808" t="n"/>
    </row>
    <row r="5">
      <c r="A5" s="620" t="inlineStr">
        <is>
          <t xml:space="preserve">Raimundo </t>
        </is>
      </c>
      <c r="B5" s="1533" t="n">
        <v>2200</v>
      </c>
      <c r="C5" s="1533" t="n"/>
      <c r="D5" s="1533" t="n"/>
      <c r="E5" s="1533">
        <f>B5*30%</f>
        <v/>
      </c>
      <c r="F5" s="1534">
        <f>(B5+E5)/220*1.5*20</f>
        <v/>
      </c>
      <c r="G5" s="1534">
        <f>(B5+E5)/220*2*10</f>
        <v/>
      </c>
      <c r="H5" s="1533">
        <f>(F5+G5)/26*4</f>
        <v/>
      </c>
      <c r="I5" s="1534">
        <f>SUM(B5:H5)*33%/12</f>
        <v/>
      </c>
      <c r="J5" s="1534">
        <f>SUM(A5:H5)*8%</f>
        <v/>
      </c>
      <c r="K5" s="1534">
        <f>SUM(B5:J5)*2.7%</f>
        <v/>
      </c>
      <c r="L5" s="1533">
        <f>SUM(F5:K5)*8%</f>
        <v/>
      </c>
      <c r="M5" s="1535">
        <f>SUM(B5:L5)</f>
        <v/>
      </c>
      <c r="N5" s="624">
        <f>M5*12</f>
        <v/>
      </c>
      <c r="S5" s="620" t="inlineStr">
        <is>
          <t xml:space="preserve">Marcos Santana </t>
        </is>
      </c>
      <c r="T5" s="808" t="n"/>
      <c r="U5" s="808" t="n"/>
      <c r="V5" s="808" t="n"/>
      <c r="W5" s="808" t="n"/>
      <c r="X5" s="808" t="n"/>
      <c r="Y5" s="808" t="n"/>
      <c r="Z5" s="808" t="n"/>
      <c r="AA5" s="808" t="n"/>
      <c r="AB5" s="808" t="n"/>
      <c r="AC5" s="808" t="n"/>
      <c r="AD5" s="179" t="inlineStr">
        <is>
          <t>férias</t>
        </is>
      </c>
      <c r="AE5" s="808" t="n"/>
    </row>
    <row r="6">
      <c r="A6" s="620" t="n"/>
      <c r="B6" s="1533" t="n"/>
      <c r="C6" s="1533" t="n"/>
      <c r="D6" s="1533" t="n"/>
      <c r="E6" s="1533">
        <f>B6*30%</f>
        <v/>
      </c>
      <c r="F6" s="1534">
        <f>(B6+D6)/220*1.5*20</f>
        <v/>
      </c>
      <c r="G6" s="1534">
        <f>(B6+D6)/220*2*15</f>
        <v/>
      </c>
      <c r="H6" s="1533">
        <f>(F6+G6)/26*4</f>
        <v/>
      </c>
      <c r="I6" s="1534">
        <f>SUM(B6:H6)*33%/12</f>
        <v/>
      </c>
      <c r="J6" s="1534">
        <f>SUM(A6:H6)*8%</f>
        <v/>
      </c>
      <c r="K6" s="1534">
        <f>SUM(B6:J6)*2.7%</f>
        <v/>
      </c>
      <c r="L6" s="1533">
        <f>SUM(F6:K6)*8%</f>
        <v/>
      </c>
      <c r="M6" s="1535">
        <f>SUM(B6:L6)</f>
        <v/>
      </c>
      <c r="N6" s="624">
        <f>M6*12</f>
        <v/>
      </c>
      <c r="S6" s="620" t="inlineStr">
        <is>
          <t>Wanderson</t>
        </is>
      </c>
      <c r="T6" s="808" t="n"/>
      <c r="U6" s="808" t="n"/>
      <c r="V6" s="808" t="n"/>
      <c r="W6" s="808" t="n"/>
      <c r="X6" s="808" t="n"/>
      <c r="Y6" s="808" t="n"/>
      <c r="Z6" s="808" t="n"/>
      <c r="AA6" s="808" t="n"/>
      <c r="AB6" s="808" t="n"/>
      <c r="AC6" s="179" t="inlineStr">
        <is>
          <t>Férias</t>
        </is>
      </c>
      <c r="AD6" s="808" t="n"/>
      <c r="AE6" s="808" t="n"/>
    </row>
    <row r="7">
      <c r="A7" s="620" t="inlineStr">
        <is>
          <t xml:space="preserve">Marcos Santana </t>
        </is>
      </c>
      <c r="B7" s="1533" t="n">
        <v>4000</v>
      </c>
      <c r="C7" s="1533" t="n"/>
      <c r="D7" s="1533" t="n">
        <v>293</v>
      </c>
      <c r="E7" s="1533" t="n"/>
      <c r="F7" s="1534">
        <f>(B7+D7)/220*1.5*20</f>
        <v/>
      </c>
      <c r="G7" s="1534">
        <f>(B7+D7)/220*2*10</f>
        <v/>
      </c>
      <c r="H7" s="1533">
        <f>(F7+G7)/26*4</f>
        <v/>
      </c>
      <c r="I7" s="1534">
        <f>SUM(B7:H7)*33%/12</f>
        <v/>
      </c>
      <c r="J7" s="1534">
        <f>SUM(A7:H7)*8%</f>
        <v/>
      </c>
      <c r="K7" s="1534">
        <f>SUM(B7:J7)*2.7%</f>
        <v/>
      </c>
      <c r="L7" s="1533">
        <f>SUM(F7:K7)*8%</f>
        <v/>
      </c>
      <c r="M7" s="1535">
        <f>SUM(B7:L7)</f>
        <v/>
      </c>
      <c r="N7" s="624">
        <f>M7*12</f>
        <v/>
      </c>
      <c r="S7" s="620" t="inlineStr">
        <is>
          <t>Wanderson</t>
        </is>
      </c>
      <c r="T7" s="808" t="n"/>
      <c r="U7" s="808" t="n"/>
      <c r="V7" s="808" t="n"/>
      <c r="W7" s="808" t="n"/>
      <c r="X7" s="808" t="n"/>
      <c r="Y7" s="808" t="n"/>
      <c r="Z7" s="808" t="n"/>
      <c r="AA7" s="808" t="n"/>
      <c r="AB7" s="808" t="n"/>
      <c r="AC7" s="179" t="inlineStr">
        <is>
          <t>Férias</t>
        </is>
      </c>
      <c r="AD7" s="808" t="n"/>
      <c r="AE7" s="808" t="n"/>
    </row>
    <row r="8">
      <c r="A8" s="620" t="inlineStr">
        <is>
          <t>Wanderson</t>
        </is>
      </c>
      <c r="B8" s="1533" t="n">
        <v>6500</v>
      </c>
      <c r="C8" s="1533" t="n"/>
      <c r="D8" s="1533" t="n">
        <v>293</v>
      </c>
      <c r="E8" s="1533" t="n">
        <v>0</v>
      </c>
      <c r="F8" s="1534" t="n"/>
      <c r="G8" s="1534" t="n"/>
      <c r="H8" s="1533" t="n"/>
      <c r="I8" s="1534">
        <f>(B8+C8+D8)*33%/12</f>
        <v/>
      </c>
      <c r="J8" s="1534">
        <f>SUM(A8:G8)/12</f>
        <v/>
      </c>
      <c r="K8" s="1534">
        <f>SUM(B8:J8)*2.7%</f>
        <v/>
      </c>
      <c r="L8" s="1533">
        <f>SUM(B8:J8)*8%</f>
        <v/>
      </c>
      <c r="M8" s="1535">
        <f>SUM(B8:L8)</f>
        <v/>
      </c>
      <c r="N8" s="624">
        <f>M8*12</f>
        <v/>
      </c>
      <c r="S8" s="620" t="inlineStr">
        <is>
          <t xml:space="preserve">Bruno </t>
        </is>
      </c>
      <c r="T8" s="808" t="n"/>
      <c r="U8" s="808" t="n"/>
      <c r="V8" s="808" t="n"/>
      <c r="W8" s="808" t="n"/>
      <c r="X8" s="808" t="n"/>
      <c r="Y8" s="808" t="n"/>
      <c r="Z8" s="808" t="n"/>
      <c r="AA8" s="808" t="n"/>
      <c r="AB8" s="179" t="inlineStr">
        <is>
          <t>Férias</t>
        </is>
      </c>
      <c r="AC8" s="808" t="n"/>
      <c r="AD8" s="808" t="n"/>
      <c r="AE8" s="808" t="n"/>
    </row>
    <row r="9">
      <c r="A9" s="620" t="inlineStr">
        <is>
          <t xml:space="preserve">Bruno </t>
        </is>
      </c>
      <c r="B9" s="1533" t="n">
        <v>3700</v>
      </c>
      <c r="C9" s="1533" t="n"/>
      <c r="D9" s="1533" t="n">
        <v>293</v>
      </c>
      <c r="E9" s="1533" t="n">
        <v>0</v>
      </c>
      <c r="F9" s="1534">
        <f>(B9+D9)/220*1.5*20</f>
        <v/>
      </c>
      <c r="G9" s="1534">
        <f>(B9+D9)/220*2*10</f>
        <v/>
      </c>
      <c r="H9" s="1533">
        <f>(F9+G9)/26*4</f>
        <v/>
      </c>
      <c r="I9" s="1534">
        <f>SUM(B9:H9)*33%/12</f>
        <v/>
      </c>
      <c r="J9" s="1534">
        <f>SUM(A9:H9)*8%</f>
        <v/>
      </c>
      <c r="K9" s="1534">
        <f>SUM(B9:J9)*2.7%</f>
        <v/>
      </c>
      <c r="L9" s="1533">
        <f>SUM(F9:K9)*8%</f>
        <v/>
      </c>
      <c r="M9" s="1535">
        <f>SUM(B9:L9)</f>
        <v/>
      </c>
      <c r="N9" s="624">
        <f>M9*12</f>
        <v/>
      </c>
      <c r="S9" s="620" t="inlineStr">
        <is>
          <t xml:space="preserve">Francidalva </t>
        </is>
      </c>
      <c r="T9" s="808" t="n"/>
      <c r="U9" s="808" t="n"/>
      <c r="V9" s="808" t="n"/>
      <c r="W9" s="808" t="n"/>
      <c r="X9" s="808" t="n"/>
      <c r="Y9" s="808" t="n"/>
      <c r="Z9" s="808" t="n"/>
      <c r="AA9" s="808" t="n"/>
      <c r="AB9" s="179" t="inlineStr">
        <is>
          <t>Férias</t>
        </is>
      </c>
      <c r="AC9" s="808" t="n"/>
      <c r="AD9" s="808" t="n"/>
      <c r="AE9" s="808" t="n"/>
    </row>
    <row r="10">
      <c r="A10" s="620" t="inlineStr">
        <is>
          <t>Motorista</t>
        </is>
      </c>
      <c r="B10" s="1533" t="n">
        <v>3100</v>
      </c>
      <c r="C10" s="1533" t="n"/>
      <c r="D10" s="1533" t="n">
        <v>293</v>
      </c>
      <c r="E10" s="1533" t="n">
        <v>0</v>
      </c>
      <c r="F10" s="1534">
        <f>(B10+D10)/220*1.5*20</f>
        <v/>
      </c>
      <c r="G10" s="1534">
        <f>(B10+D10)/220*2*15</f>
        <v/>
      </c>
      <c r="H10" s="1533">
        <f>(F10+G10)/26*4</f>
        <v/>
      </c>
      <c r="I10" s="1534">
        <f>SUM(B10:H10)*33%/12</f>
        <v/>
      </c>
      <c r="J10" s="1534">
        <f>SUM(A10:H10)*8%</f>
        <v/>
      </c>
      <c r="K10" s="1534">
        <f>SUM(B10:J10)*2.7%</f>
        <v/>
      </c>
      <c r="L10" s="1533">
        <f>SUM(F10:K10)*8%</f>
        <v/>
      </c>
      <c r="M10" s="1535">
        <f>SUM(B10:L10)</f>
        <v/>
      </c>
      <c r="N10" s="624">
        <f>M10*6</f>
        <v/>
      </c>
      <c r="S10" s="620" t="n"/>
      <c r="T10" s="808" t="n"/>
      <c r="U10" s="808" t="n"/>
      <c r="V10" s="808" t="n"/>
      <c r="W10" s="808" t="n"/>
      <c r="X10" s="808" t="n"/>
      <c r="Y10" s="808" t="n"/>
      <c r="Z10" s="808" t="n"/>
      <c r="AA10" s="808" t="n"/>
      <c r="AB10" s="179" t="n"/>
      <c r="AC10" s="808" t="n"/>
      <c r="AD10" s="808" t="n"/>
      <c r="AE10" s="808" t="n"/>
    </row>
    <row r="11">
      <c r="A11" s="620" t="inlineStr">
        <is>
          <t>Nanci</t>
        </is>
      </c>
      <c r="B11" s="1533" t="n">
        <v>2200</v>
      </c>
      <c r="C11" s="1533" t="n"/>
      <c r="D11" s="1533" t="n"/>
      <c r="E11" s="1533" t="n"/>
      <c r="F11" s="1534">
        <f>(B11+D11)/220*1.5*5</f>
        <v/>
      </c>
      <c r="G11" s="1534">
        <f>(B11+D11)/220*2*10</f>
        <v/>
      </c>
      <c r="H11" s="1533">
        <f>(F11+G11)/26*4</f>
        <v/>
      </c>
      <c r="I11" s="1534">
        <f>SUM(B11:H11)*33%/12</f>
        <v/>
      </c>
      <c r="J11" s="1534">
        <f>SUM(A11:H11)*8%</f>
        <v/>
      </c>
      <c r="K11" s="1534">
        <f>SUM(B11:J11)*2.7%</f>
        <v/>
      </c>
      <c r="L11" s="1533">
        <f>SUM(F11:K11)*8%</f>
        <v/>
      </c>
      <c r="M11" s="1535">
        <f>SUM(B11:L11)</f>
        <v/>
      </c>
      <c r="N11" s="624">
        <f>M11*12</f>
        <v/>
      </c>
      <c r="S11" s="620" t="n"/>
      <c r="T11" s="808" t="n"/>
      <c r="U11" s="808" t="n"/>
      <c r="V11" s="808" t="n"/>
      <c r="W11" s="808" t="n"/>
      <c r="X11" s="808" t="n"/>
      <c r="Y11" s="808" t="n"/>
      <c r="Z11" s="808" t="n"/>
      <c r="AA11" s="808" t="n"/>
      <c r="AB11" s="179" t="n"/>
      <c r="AC11" s="808" t="n"/>
      <c r="AD11" s="808" t="n"/>
      <c r="AE11" s="808" t="n"/>
    </row>
    <row r="12">
      <c r="A12" s="620" t="inlineStr">
        <is>
          <t xml:space="preserve">Francidalva </t>
        </is>
      </c>
      <c r="B12" s="1533" t="n">
        <v>2500</v>
      </c>
      <c r="C12" s="1533" t="n"/>
      <c r="D12" s="1533" t="n"/>
      <c r="E12" s="1533" t="n"/>
      <c r="F12" s="1534">
        <f>(B12+D12)/220*1.5*10</f>
        <v/>
      </c>
      <c r="G12" s="1534">
        <f>(B12+D12)/220*2*7</f>
        <v/>
      </c>
      <c r="H12" s="1533">
        <f>(F12+G12)/26*4</f>
        <v/>
      </c>
      <c r="I12" s="1534">
        <f>SUM(B12:H12)*33%/12</f>
        <v/>
      </c>
      <c r="J12" s="1534">
        <f>SUM(A12:H12)*8%</f>
        <v/>
      </c>
      <c r="K12" s="1534">
        <f>SUM(B12:J12)*2.7%</f>
        <v/>
      </c>
      <c r="L12" s="1533">
        <f>SUM(F12:K12)*8%</f>
        <v/>
      </c>
      <c r="M12" s="1535">
        <f>SUM(B12:L12)</f>
        <v/>
      </c>
      <c r="N12" s="624">
        <f>M12*12</f>
        <v/>
      </c>
      <c r="S12" s="620" t="inlineStr">
        <is>
          <t xml:space="preserve">Fabio </t>
        </is>
      </c>
      <c r="T12" s="808" t="n"/>
      <c r="U12" s="808" t="n"/>
      <c r="V12" s="808" t="n"/>
      <c r="W12" s="808" t="n"/>
      <c r="X12" s="808" t="n"/>
      <c r="Y12" s="808" t="n"/>
      <c r="Z12" s="808" t="n"/>
      <c r="AA12" s="808" t="n"/>
      <c r="AB12" s="808" t="n"/>
      <c r="AC12" s="808" t="n"/>
      <c r="AD12" s="808" t="n"/>
      <c r="AE12" s="808" t="n"/>
    </row>
    <row r="13">
      <c r="A13" s="620" t="n"/>
      <c r="B13" s="1533" t="n"/>
      <c r="C13" s="1533" t="n"/>
      <c r="D13" s="1533" t="n"/>
      <c r="E13" s="1533" t="n"/>
      <c r="F13" s="1534" t="n"/>
      <c r="G13" s="1534" t="n"/>
      <c r="H13" s="1533" t="n"/>
      <c r="I13" s="1534" t="n"/>
      <c r="J13" s="1534" t="n"/>
      <c r="K13" s="1534" t="n"/>
      <c r="L13" s="1533" t="n"/>
      <c r="M13" s="1535" t="n"/>
      <c r="N13" s="624" t="n"/>
    </row>
    <row r="14">
      <c r="A14" s="620" t="inlineStr">
        <is>
          <t>Wilton</t>
        </is>
      </c>
      <c r="B14" s="1533" t="n">
        <v>2300</v>
      </c>
      <c r="C14" s="1533" t="n"/>
      <c r="D14" s="1533" t="n">
        <v>293</v>
      </c>
      <c r="E14" s="1533" t="n"/>
      <c r="F14" s="1534">
        <f>(B14+E14)/220*1.5*20</f>
        <v/>
      </c>
      <c r="G14" s="1534">
        <f>(B14+E14)/220*2*10</f>
        <v/>
      </c>
      <c r="H14" s="1533">
        <f>(F14+G14)/26*4</f>
        <v/>
      </c>
      <c r="I14" s="1534">
        <f>SUM(B14:H14)*33%/12</f>
        <v/>
      </c>
      <c r="J14" s="1534">
        <f>SUM(A14:H14)*8%</f>
        <v/>
      </c>
      <c r="K14" s="1534">
        <f>SUM(B14:J14)*2.7%</f>
        <v/>
      </c>
      <c r="L14" s="1533">
        <f>SUM(F14:K14)*8%</f>
        <v/>
      </c>
      <c r="M14" s="1535">
        <f>SUM(B14:L14)</f>
        <v/>
      </c>
      <c r="N14" s="624">
        <f>M14*12</f>
        <v/>
      </c>
    </row>
    <row r="15">
      <c r="A15" s="620" t="inlineStr">
        <is>
          <t xml:space="preserve">Marcos magalhães </t>
        </is>
      </c>
      <c r="B15" s="1533" t="n">
        <v>3300</v>
      </c>
      <c r="C15" s="1533" t="n"/>
      <c r="D15" s="1533" t="n">
        <v>293</v>
      </c>
      <c r="E15" s="1533" t="n">
        <v>0</v>
      </c>
      <c r="F15" s="1534">
        <f>(B15+D15)/220*1.5*20</f>
        <v/>
      </c>
      <c r="G15" s="1534">
        <f>(B15+D15)/220*2*8</f>
        <v/>
      </c>
      <c r="H15" s="1533">
        <f>(F15+G15)/26*4</f>
        <v/>
      </c>
      <c r="I15" s="1534">
        <f>SUM(B15:H15)*33%/12</f>
        <v/>
      </c>
      <c r="J15" s="1534">
        <f>SUM(A15:H15)*8%</f>
        <v/>
      </c>
      <c r="K15" s="1534">
        <f>SUM(B15:J15)*2.7%</f>
        <v/>
      </c>
      <c r="L15" s="1533">
        <f>SUM(F15:K15)*8%</f>
        <v/>
      </c>
      <c r="M15" s="1535">
        <f>SUM(B15:L15)</f>
        <v/>
      </c>
      <c r="N15" s="624">
        <f>M15*12</f>
        <v/>
      </c>
    </row>
    <row r="16">
      <c r="A16" s="620" t="inlineStr">
        <is>
          <t>Joelson</t>
        </is>
      </c>
      <c r="B16" s="1533" t="n">
        <v>3500</v>
      </c>
      <c r="C16" s="1533" t="n"/>
      <c r="D16" s="1533" t="n">
        <v>293</v>
      </c>
      <c r="E16" s="1533" t="n">
        <v>0</v>
      </c>
      <c r="F16" s="1534">
        <f>(B16+D16)/220*1.5*40</f>
        <v/>
      </c>
      <c r="G16" s="1534">
        <f>(B16+D16)/220*2*15</f>
        <v/>
      </c>
      <c r="H16" s="1533">
        <f>(F16+G16)/26*4</f>
        <v/>
      </c>
      <c r="I16" s="1534">
        <f>SUM(B16:H16)*33%/12</f>
        <v/>
      </c>
      <c r="J16" s="1534">
        <f>SUM(A16:H16)*8%</f>
        <v/>
      </c>
      <c r="K16" s="1534">
        <f>SUM(B16:J16)*2.7%</f>
        <v/>
      </c>
      <c r="L16" s="1533">
        <f>SUM(F16:K16)*8%</f>
        <v/>
      </c>
      <c r="M16" s="1535">
        <f>SUM(B16:L16)</f>
        <v/>
      </c>
      <c r="N16" s="624">
        <f>M16*12</f>
        <v/>
      </c>
    </row>
    <row r="17">
      <c r="A17" s="620" t="inlineStr">
        <is>
          <t xml:space="preserve">Angelo </t>
        </is>
      </c>
      <c r="B17" s="1533" t="n">
        <v>4254.95</v>
      </c>
      <c r="C17" s="1533" t="n"/>
      <c r="D17" s="1533" t="n"/>
      <c r="E17" s="1533" t="n"/>
      <c r="F17" s="1534" t="n"/>
      <c r="G17" s="1534" t="n"/>
      <c r="H17" s="1533" t="n"/>
      <c r="I17" s="1534" t="n"/>
      <c r="J17" s="1533" t="n"/>
      <c r="K17" s="1534" t="n"/>
      <c r="L17" s="1533" t="n"/>
      <c r="M17" s="1535" t="n"/>
      <c r="N17" s="624">
        <f>B17*12</f>
        <v/>
      </c>
    </row>
    <row r="18">
      <c r="A18" s="620" t="inlineStr">
        <is>
          <t xml:space="preserve">Rosivaldo </t>
        </is>
      </c>
      <c r="B18" s="1533">
        <f>6300*0.3</f>
        <v/>
      </c>
      <c r="C18" s="1533" t="n"/>
      <c r="D18" s="1533" t="n"/>
      <c r="E18" s="1533" t="n">
        <v>0</v>
      </c>
      <c r="F18" s="1534" t="n"/>
      <c r="G18" s="1534" t="n"/>
      <c r="H18" s="1533" t="n"/>
      <c r="I18" s="1534">
        <f>(B18+C18+F17)*33%/12</f>
        <v/>
      </c>
      <c r="J18" s="1534">
        <f>SUM(A18:G18)/12</f>
        <v/>
      </c>
      <c r="K18" s="1534">
        <f>SUM(B18:J18)*2.7%</f>
        <v/>
      </c>
      <c r="L18" s="1533">
        <f>SUM(B18:J18)*8%</f>
        <v/>
      </c>
      <c r="M18" s="1535">
        <f>SUM(B18:L18)</f>
        <v/>
      </c>
      <c r="N18" s="624">
        <f>M18*12</f>
        <v/>
      </c>
    </row>
    <row r="19">
      <c r="A19" s="620" t="inlineStr">
        <is>
          <t>Pedro</t>
        </is>
      </c>
      <c r="B19" s="1533" t="n">
        <v>1321</v>
      </c>
      <c r="C19" s="1533" t="n"/>
      <c r="D19" s="1533" t="n"/>
      <c r="E19" s="1533" t="n"/>
      <c r="F19" s="1534" t="n"/>
      <c r="G19" s="1534" t="n"/>
      <c r="H19" s="1533" t="n"/>
      <c r="I19" s="1534">
        <f>(B19+C19+G19)*33%/12</f>
        <v/>
      </c>
      <c r="J19" s="1534">
        <f>SUM(A19:G19)/12</f>
        <v/>
      </c>
      <c r="K19" s="1534">
        <f>SUM(B19:J19)*2.7%</f>
        <v/>
      </c>
      <c r="L19" s="1533">
        <f>SUM(B19:J19)*8%</f>
        <v/>
      </c>
      <c r="M19" s="1535">
        <f>SUM(B19:L19)</f>
        <v/>
      </c>
      <c r="N19" s="624">
        <f>M19*12</f>
        <v/>
      </c>
    </row>
    <row r="20">
      <c r="A20" s="620" t="inlineStr">
        <is>
          <t xml:space="preserve">valdimir </t>
        </is>
      </c>
      <c r="B20" s="985" t="n">
        <v>2778.804</v>
      </c>
      <c r="C20" s="1533" t="n"/>
      <c r="D20" s="1533" t="n"/>
      <c r="E20" s="1533" t="n">
        <v>0</v>
      </c>
      <c r="F20" s="1534" t="n"/>
      <c r="G20" s="1534" t="n"/>
      <c r="H20" s="1533" t="n"/>
      <c r="I20" s="1534" t="n"/>
      <c r="J20" s="1534" t="n"/>
      <c r="K20" s="1534" t="n"/>
      <c r="L20" s="1533" t="n"/>
      <c r="M20" s="1535">
        <f>SUM(B20:L20)</f>
        <v/>
      </c>
      <c r="N20" s="624">
        <f>M20*12</f>
        <v/>
      </c>
    </row>
    <row r="21">
      <c r="A21" s="620" t="inlineStr">
        <is>
          <t xml:space="preserve">Marcos schu </t>
        </is>
      </c>
      <c r="B21" s="1533" t="n">
        <v>3000</v>
      </c>
      <c r="C21" s="1533">
        <f>B21*5%</f>
        <v/>
      </c>
      <c r="D21" s="1533" t="n">
        <v>293</v>
      </c>
      <c r="E21" s="1533" t="n">
        <v>0</v>
      </c>
      <c r="F21" s="1534" t="n"/>
      <c r="G21" s="1534" t="n"/>
      <c r="H21" s="1533" t="n"/>
      <c r="I21" s="1534">
        <f>(B21+C21+F18)*33%/12</f>
        <v/>
      </c>
      <c r="J21" s="1534">
        <f>SUM(A21:G21)/12</f>
        <v/>
      </c>
      <c r="K21" s="1534">
        <f>SUM(B21:J21)*2.7%</f>
        <v/>
      </c>
      <c r="L21" s="1533">
        <f>SUM(B21:J21)*8%</f>
        <v/>
      </c>
      <c r="M21" s="1535">
        <f>SUM(B21:L21)</f>
        <v/>
      </c>
      <c r="N21" s="624">
        <f>M21*3.6</f>
        <v/>
      </c>
    </row>
    <row r="22">
      <c r="A22" s="620" t="inlineStr">
        <is>
          <t xml:space="preserve">Estagiario </t>
        </is>
      </c>
      <c r="B22" s="1533" t="n">
        <v>1500</v>
      </c>
      <c r="C22" s="1533" t="n"/>
      <c r="D22" s="1533" t="n"/>
      <c r="E22" s="1533" t="n"/>
      <c r="F22" s="1534" t="n"/>
      <c r="G22" s="1534" t="n"/>
      <c r="H22" s="1533" t="n"/>
      <c r="I22" s="1534" t="n"/>
      <c r="J22" s="1534" t="n"/>
      <c r="K22" s="1534" t="n"/>
      <c r="L22" s="1533" t="n"/>
      <c r="M22" s="1535">
        <f>SUM(B22:L22)*2</f>
        <v/>
      </c>
      <c r="N22" s="624">
        <f>M22*12</f>
        <v/>
      </c>
    </row>
    <row r="23">
      <c r="A23" s="620" t="inlineStr">
        <is>
          <t xml:space="preserve">Cartâo vale transporte </t>
        </is>
      </c>
      <c r="B23" s="1533">
        <f>RH!F1</f>
        <v/>
      </c>
      <c r="C23" s="1533" t="n"/>
      <c r="D23" s="1533" t="n"/>
      <c r="E23" s="1533" t="n"/>
      <c r="F23" s="1534" t="n"/>
      <c r="G23" s="1534" t="n"/>
      <c r="H23" s="1533" t="n"/>
      <c r="I23" s="1534" t="n"/>
      <c r="J23" s="1534" t="n"/>
      <c r="K23" s="1534" t="n"/>
      <c r="L23" s="1533" t="n"/>
      <c r="M23" s="1535" t="n"/>
      <c r="N23" s="624">
        <f>RH!I4</f>
        <v/>
      </c>
    </row>
    <row r="24">
      <c r="A24" s="438" t="inlineStr">
        <is>
          <t>Total</t>
        </is>
      </c>
      <c r="B24" s="1536">
        <f>SUM(B3:B22)</f>
        <v/>
      </c>
      <c r="C24" s="1536" t="n"/>
      <c r="D24" s="1536">
        <f>SUM(D3:D22)</f>
        <v/>
      </c>
      <c r="E24" s="1536">
        <f>SUM(E3:E22)</f>
        <v/>
      </c>
      <c r="F24" s="1536">
        <f>SUM(F3:F22)</f>
        <v/>
      </c>
      <c r="G24" s="1536">
        <f>SUM(G3:G22)</f>
        <v/>
      </c>
      <c r="H24" s="1536">
        <f>SUM(H3:H22)</f>
        <v/>
      </c>
      <c r="I24" s="1536">
        <f>SUM(I3:I22)</f>
        <v/>
      </c>
      <c r="J24" s="1536">
        <f>SUM(J3:J22)</f>
        <v/>
      </c>
      <c r="K24" s="1536">
        <f>SUM(K3:K22)</f>
        <v/>
      </c>
      <c r="L24" s="1536">
        <f>SUM(L3:L22)</f>
        <v/>
      </c>
      <c r="M24" s="1536">
        <f>SUM(M3:M22)</f>
        <v/>
      </c>
      <c r="N24" s="1536">
        <f>SUM(N3:N23)</f>
        <v/>
      </c>
    </row>
    <row r="25">
      <c r="A25" s="437" t="n"/>
      <c r="B25" s="1537" t="n"/>
      <c r="C25" s="1537" t="n"/>
      <c r="D25" s="1537" t="n"/>
      <c r="E25" s="1537" t="n"/>
      <c r="F25" s="1538" t="n"/>
      <c r="G25" s="1538" t="n"/>
      <c r="H25" s="1537" t="n"/>
      <c r="I25" s="1538" t="n"/>
      <c r="J25" s="1538" t="n"/>
      <c r="K25" s="1538" t="n"/>
      <c r="L25" s="1537" t="n"/>
      <c r="M25" s="1539" t="n"/>
      <c r="N25" s="1540">
        <f>N24-'Orçamento Resumo'!K8</f>
        <v/>
      </c>
      <c r="Q25" s="687" t="n"/>
    </row>
    <row r="26" ht="15" customHeight="1" s="1173">
      <c r="N26" s="687" t="n"/>
      <c r="Q26" s="687" t="n"/>
    </row>
    <row r="27">
      <c r="N27" s="1541">
        <f>N24/14</f>
        <v/>
      </c>
      <c r="Q27" s="687" t="n"/>
    </row>
    <row r="28">
      <c r="L28" s="1515" t="n"/>
      <c r="N28" s="1541">
        <f>N27*2</f>
        <v/>
      </c>
      <c r="Q28" s="687" t="n"/>
    </row>
    <row r="29">
      <c r="N29" s="1541">
        <f>N28/4</f>
        <v/>
      </c>
      <c r="Q29" s="687" t="n"/>
    </row>
    <row r="30">
      <c r="N30" s="1541" t="n"/>
      <c r="Q30" s="687" t="n"/>
    </row>
    <row r="31">
      <c r="N31" s="1541" t="n"/>
      <c r="Q31" s="687" t="n"/>
    </row>
    <row r="32">
      <c r="N32" s="1541" t="n"/>
      <c r="Q32" s="687" t="n"/>
    </row>
    <row r="33">
      <c r="N33" s="1541" t="n"/>
    </row>
    <row r="34">
      <c r="N34" s="1541" t="n"/>
    </row>
    <row r="35">
      <c r="N35" s="1541" t="n"/>
    </row>
    <row r="36">
      <c r="N36" s="1541" t="n"/>
    </row>
    <row r="37">
      <c r="N37" s="1541" t="n"/>
    </row>
    <row r="38">
      <c r="N38" s="1541" t="n"/>
    </row>
    <row r="39">
      <c r="N39" s="1541" t="n"/>
    </row>
    <row r="40">
      <c r="N40" s="1515">
        <f>SUM(N27:N39)</f>
        <v/>
      </c>
    </row>
    <row r="82">
      <c r="O82" s="1132" t="n"/>
      <c r="P82" s="125" t="n"/>
      <c r="Q82" s="125" t="n"/>
    </row>
    <row r="83">
      <c r="O83" s="125" t="n"/>
      <c r="P83" s="125" t="n"/>
      <c r="Q83" s="126" t="n"/>
    </row>
    <row r="93" ht="15" customHeight="1" s="1173"/>
    <row r="96" ht="14.45" customHeight="1" s="1173"/>
  </sheetData>
  <pageMargins left="0.511811024" right="0.511811024" top="0.787401575" bottom="0.787401575" header="0.31496062" footer="0.31496062"/>
  <pageSetup orientation="portrait" paperSize="9" verticalDpi="300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FFFFFF00"/>
    <outlinePr summaryBelow="1" summaryRight="1"/>
    <pageSetUpPr/>
  </sheetPr>
  <dimension ref="A1:Z49"/>
  <sheetViews>
    <sheetView topLeftCell="C7" workbookViewId="0">
      <selection activeCell="K17" sqref="K17"/>
    </sheetView>
  </sheetViews>
  <sheetFormatPr baseColWidth="8" defaultRowHeight="15"/>
  <cols>
    <col width="19.7109375" customWidth="1" style="1173" min="1" max="1"/>
    <col width="10.42578125" bestFit="1" customWidth="1" style="1173" min="2" max="2"/>
    <col width="17.5703125" customWidth="1" style="1173" min="3" max="3"/>
    <col width="16" bestFit="1" customWidth="1" style="1173" min="4" max="4"/>
    <col width="3.28515625" customWidth="1" style="1173" min="5" max="5"/>
    <col width="17.85546875" bestFit="1" customWidth="1" style="1173" min="6" max="6"/>
    <col width="18.28515625" bestFit="1" customWidth="1" style="1173" min="7" max="7"/>
    <col width="15" customWidth="1" style="1173" min="8" max="8"/>
    <col width="18" customWidth="1" style="1173" min="9" max="9"/>
    <col width="16.5703125" bestFit="1" customWidth="1" style="1173" min="10" max="10"/>
    <col width="10.5703125" bestFit="1" customWidth="1" style="1173" min="11" max="11"/>
    <col width="18.28515625" bestFit="1" customWidth="1" style="1173" min="12" max="12"/>
    <col width="15.28515625" customWidth="1" style="1173" min="13" max="13"/>
    <col width="19.85546875" bestFit="1" customWidth="1" style="1173" min="14" max="14"/>
    <col width="17" bestFit="1" customWidth="1" style="1173" min="15" max="15"/>
    <col width="14.140625" bestFit="1" customWidth="1" style="1173" min="16" max="16"/>
    <col width="15.42578125" bestFit="1" customWidth="1" style="1173" min="17" max="17"/>
    <col width="15" customWidth="1" style="1173" min="18" max="18"/>
    <col width="10.5703125" bestFit="1" customWidth="1" style="1173" min="19" max="19"/>
    <col width="12" customWidth="1" style="1173" min="20" max="20"/>
    <col width="15.140625" customWidth="1" style="1173" min="23" max="23"/>
    <col width="10.140625" bestFit="1" customWidth="1" style="134" min="24" max="24"/>
    <col width="13.140625" customWidth="1" style="1173" min="25" max="25"/>
    <col width="11" bestFit="1" customWidth="1" style="134" min="26" max="26"/>
    <col hidden="1" style="1173" min="32" max="36"/>
    <col width="24.28515625" bestFit="1" customWidth="1" style="1173" min="37" max="37"/>
    <col width="21.85546875" bestFit="1" customWidth="1" style="1173" min="42" max="42"/>
    <col width="18.28515625" bestFit="1" customWidth="1" style="1173" min="47" max="47"/>
  </cols>
  <sheetData>
    <row r="1">
      <c r="K1" s="129" t="n"/>
    </row>
    <row r="2">
      <c r="B2" s="130" t="n"/>
      <c r="D2" s="1542" t="n"/>
      <c r="G2" s="132" t="n"/>
      <c r="K2" s="130" t="n"/>
      <c r="L2" s="130" t="n"/>
    </row>
    <row r="3">
      <c r="A3" s="1143" t="inlineStr">
        <is>
          <t>Semente</t>
        </is>
      </c>
      <c r="B3" s="1543" t="inlineStr">
        <is>
          <t>Semente</t>
        </is>
      </c>
      <c r="C3" s="1543" t="inlineStr">
        <is>
          <t>Semente</t>
        </is>
      </c>
      <c r="D3" s="1543" t="inlineStr">
        <is>
          <t>Semente</t>
        </is>
      </c>
      <c r="E3" s="134" t="n"/>
      <c r="F3" s="1144" t="inlineStr">
        <is>
          <t xml:space="preserve">Quimicos </t>
        </is>
      </c>
      <c r="G3" s="1144" t="inlineStr">
        <is>
          <t xml:space="preserve">Quimicos </t>
        </is>
      </c>
      <c r="H3" s="1144" t="inlineStr">
        <is>
          <t xml:space="preserve">Quimicos </t>
        </is>
      </c>
      <c r="I3" s="1144" t="inlineStr">
        <is>
          <t xml:space="preserve">Quimicos </t>
        </is>
      </c>
      <c r="J3" s="134" t="n"/>
      <c r="K3" s="1145" t="inlineStr">
        <is>
          <t xml:space="preserve">Adubo </t>
        </is>
      </c>
      <c r="L3" s="1145" t="inlineStr">
        <is>
          <t xml:space="preserve">Adubo </t>
        </is>
      </c>
      <c r="M3" s="1145" t="inlineStr">
        <is>
          <t xml:space="preserve">Adubo </t>
        </is>
      </c>
      <c r="N3" s="1145" t="inlineStr">
        <is>
          <t xml:space="preserve">Adubo </t>
        </is>
      </c>
    </row>
    <row r="4">
      <c r="A4" s="135" t="inlineStr">
        <is>
          <t>Agroinvest</t>
        </is>
      </c>
      <c r="B4" s="502" t="inlineStr">
        <is>
          <t>Hectar</t>
        </is>
      </c>
      <c r="C4" s="135" t="inlineStr">
        <is>
          <t>U$/há</t>
        </is>
      </c>
      <c r="D4" s="135" t="inlineStr">
        <is>
          <t xml:space="preserve">Total </t>
        </is>
      </c>
      <c r="E4" s="134" t="n"/>
      <c r="F4" s="173" t="inlineStr">
        <is>
          <t>Agroinvest</t>
        </is>
      </c>
      <c r="G4" s="1144" t="inlineStr">
        <is>
          <t>Hectar</t>
        </is>
      </c>
      <c r="H4" s="173" t="inlineStr">
        <is>
          <t>U$/há</t>
        </is>
      </c>
      <c r="I4" s="173" t="inlineStr">
        <is>
          <t>Total</t>
        </is>
      </c>
      <c r="J4" s="134" t="n"/>
      <c r="K4" s="137" t="inlineStr">
        <is>
          <t xml:space="preserve">Agroinvest </t>
        </is>
      </c>
      <c r="L4" s="1145" t="inlineStr">
        <is>
          <t>Hectar</t>
        </is>
      </c>
      <c r="M4" s="137" t="inlineStr">
        <is>
          <t>U$/há</t>
        </is>
      </c>
      <c r="N4" s="137" t="inlineStr">
        <is>
          <t xml:space="preserve">Total </t>
        </is>
      </c>
    </row>
    <row r="5">
      <c r="A5" s="136" t="inlineStr">
        <is>
          <t>Soja Intacta</t>
        </is>
      </c>
      <c r="B5" s="495" t="n">
        <v>900</v>
      </c>
      <c r="C5" s="403" t="n">
        <v>83.56999999999999</v>
      </c>
      <c r="D5" s="403">
        <f>B5*C5</f>
        <v/>
      </c>
      <c r="E5" s="134" t="n"/>
      <c r="F5" s="174" t="inlineStr">
        <is>
          <t>Soja Intacta</t>
        </is>
      </c>
      <c r="G5" s="1289">
        <f>B5</f>
        <v/>
      </c>
      <c r="H5" s="175" t="n">
        <v>154.15</v>
      </c>
      <c r="I5" s="176">
        <f>G5*H5</f>
        <v/>
      </c>
      <c r="J5" s="134" t="n"/>
      <c r="K5" s="138" t="inlineStr">
        <is>
          <t xml:space="preserve">Soja </t>
        </is>
      </c>
      <c r="L5" s="505">
        <f>SUM(G5:G6)</f>
        <v/>
      </c>
      <c r="M5" s="923" t="n">
        <v>105</v>
      </c>
      <c r="N5" s="138">
        <f>L5*M5</f>
        <v/>
      </c>
    </row>
    <row r="6">
      <c r="A6" s="136" t="inlineStr">
        <is>
          <t xml:space="preserve">Soja Convencional </t>
        </is>
      </c>
      <c r="B6" s="495" t="n">
        <v>0</v>
      </c>
      <c r="C6" s="136" t="n">
        <v>0</v>
      </c>
      <c r="D6" s="403">
        <f>B6*C6</f>
        <v/>
      </c>
      <c r="E6" s="134" t="n"/>
      <c r="F6" s="174" t="inlineStr">
        <is>
          <t xml:space="preserve">Soja Convencional </t>
        </is>
      </c>
      <c r="G6" s="1289">
        <f>B6</f>
        <v/>
      </c>
      <c r="H6" s="174" t="n">
        <v>0</v>
      </c>
      <c r="I6" s="176">
        <f>G6*H6</f>
        <v/>
      </c>
      <c r="J6" s="134" t="n"/>
      <c r="K6" s="138" t="inlineStr">
        <is>
          <t xml:space="preserve">Milho </t>
        </is>
      </c>
      <c r="L6" s="505">
        <f>SUM(G7:G9)</f>
        <v/>
      </c>
      <c r="M6" s="138" t="n">
        <v>406</v>
      </c>
      <c r="N6" s="138">
        <f>L6*M6</f>
        <v/>
      </c>
      <c r="O6" s="134" t="n"/>
    </row>
    <row r="7">
      <c r="A7" s="136" t="inlineStr">
        <is>
          <t xml:space="preserve">Milho Refugio </t>
        </is>
      </c>
      <c r="B7" s="495" t="n">
        <v>0</v>
      </c>
      <c r="C7" s="136" t="n">
        <v>0</v>
      </c>
      <c r="D7" s="403">
        <f>B7*C7</f>
        <v/>
      </c>
      <c r="E7" s="134" t="n"/>
      <c r="F7" s="174" t="inlineStr">
        <is>
          <t xml:space="preserve">Milho Refugio </t>
        </is>
      </c>
      <c r="G7" s="1289">
        <f>B7</f>
        <v/>
      </c>
      <c r="H7" s="174" t="n">
        <v>0</v>
      </c>
      <c r="I7" s="176">
        <f>G7*H7</f>
        <v/>
      </c>
      <c r="J7" s="134" t="n"/>
      <c r="K7" s="138" t="inlineStr">
        <is>
          <t xml:space="preserve">Algodão </t>
        </is>
      </c>
      <c r="L7" s="505">
        <f>SUM(G10:G13)</f>
        <v/>
      </c>
      <c r="M7" s="138" t="n">
        <v>0</v>
      </c>
      <c r="N7" s="138">
        <f>L7*M7</f>
        <v/>
      </c>
    </row>
    <row r="8">
      <c r="A8" s="140" t="inlineStr">
        <is>
          <t>Milho Leptra</t>
        </is>
      </c>
      <c r="B8" s="495" t="n">
        <v>1380</v>
      </c>
      <c r="C8" s="136" t="n">
        <v>187</v>
      </c>
      <c r="D8" s="403">
        <f>B8*C8</f>
        <v/>
      </c>
      <c r="E8" s="134" t="n"/>
      <c r="F8" s="177" t="inlineStr">
        <is>
          <t>Milho Leptra</t>
        </is>
      </c>
      <c r="G8" s="1289">
        <f>B8</f>
        <v/>
      </c>
      <c r="H8" s="174" t="n">
        <v>138.61</v>
      </c>
      <c r="I8" s="176">
        <f>G8*H8</f>
        <v/>
      </c>
      <c r="J8" s="134" t="n"/>
      <c r="K8" s="138" t="n"/>
      <c r="L8" s="505" t="n"/>
      <c r="M8" s="138" t="n"/>
      <c r="N8" s="141" t="n"/>
    </row>
    <row r="9">
      <c r="A9" s="140" t="inlineStr">
        <is>
          <t>Milho PRO/PW</t>
        </is>
      </c>
      <c r="B9" s="495" t="n">
        <v>0</v>
      </c>
      <c r="C9" s="136" t="n">
        <v>0</v>
      </c>
      <c r="D9" s="403">
        <f>B9*C9</f>
        <v/>
      </c>
      <c r="E9" s="134" t="n"/>
      <c r="F9" s="174" t="inlineStr">
        <is>
          <t>Milho PRO/PW</t>
        </is>
      </c>
      <c r="G9" s="1289">
        <f>B9</f>
        <v/>
      </c>
      <c r="H9" s="174" t="n">
        <v>0</v>
      </c>
      <c r="I9" s="176">
        <f>G9*H9</f>
        <v/>
      </c>
      <c r="J9" s="134" t="n"/>
      <c r="N9" s="134">
        <f>SUM(N5:N7)</f>
        <v/>
      </c>
      <c r="Q9" s="134" t="n"/>
    </row>
    <row r="10">
      <c r="A10" s="136" t="inlineStr">
        <is>
          <t xml:space="preserve">Algodão WS </t>
        </is>
      </c>
      <c r="B10" s="495" t="n">
        <v>0</v>
      </c>
      <c r="C10" s="136" t="n">
        <v>0</v>
      </c>
      <c r="D10" s="403">
        <f>B10*C10</f>
        <v/>
      </c>
      <c r="E10" s="134" t="n"/>
      <c r="F10" s="174" t="inlineStr">
        <is>
          <t xml:space="preserve">Algodão WS </t>
        </is>
      </c>
      <c r="G10" s="497">
        <f>B10</f>
        <v/>
      </c>
      <c r="H10" s="174" t="n">
        <v>0</v>
      </c>
      <c r="I10" s="176">
        <f>G10*H10</f>
        <v/>
      </c>
      <c r="J10" s="134" t="n"/>
      <c r="N10" s="172">
        <f>N9*'Orçam-Realiza'!D29</f>
        <v/>
      </c>
      <c r="Q10" s="134" t="n"/>
    </row>
    <row r="11">
      <c r="A11" s="136" t="inlineStr">
        <is>
          <t>Algodão GLT</t>
        </is>
      </c>
      <c r="B11" s="495" t="n">
        <v>0</v>
      </c>
      <c r="C11" s="136" t="n">
        <v>0</v>
      </c>
      <c r="D11" s="403">
        <f>B11*C11</f>
        <v/>
      </c>
      <c r="E11" s="134" t="n"/>
      <c r="F11" s="174" t="inlineStr">
        <is>
          <t>Algodão GLT</t>
        </is>
      </c>
      <c r="G11" s="497">
        <f>B11</f>
        <v/>
      </c>
      <c r="H11" s="174" t="n">
        <v>0</v>
      </c>
      <c r="I11" s="176">
        <f>G11*H11</f>
        <v/>
      </c>
      <c r="J11" s="134" t="n"/>
      <c r="S11" s="134" t="n"/>
      <c r="U11" s="134" t="n"/>
    </row>
    <row r="12">
      <c r="A12" s="136" t="inlineStr">
        <is>
          <t>Algodão B2RRF</t>
        </is>
      </c>
      <c r="B12" s="495" t="n">
        <v>0</v>
      </c>
      <c r="C12" s="136" t="n">
        <v>0</v>
      </c>
      <c r="D12" s="403">
        <f>B12*C12</f>
        <v/>
      </c>
      <c r="E12" s="134" t="n"/>
      <c r="F12" s="174" t="inlineStr">
        <is>
          <t>Algodão B2RRF</t>
        </is>
      </c>
      <c r="G12" s="497">
        <f>B12</f>
        <v/>
      </c>
      <c r="H12" s="174" t="n">
        <v>0</v>
      </c>
      <c r="I12" s="176">
        <f>G12*H12</f>
        <v/>
      </c>
      <c r="J12" s="134" t="n"/>
      <c r="S12" s="134" t="n"/>
      <c r="U12" s="134" t="n"/>
    </row>
    <row r="13">
      <c r="A13" s="136" t="inlineStr">
        <is>
          <t>Algodão RR</t>
        </is>
      </c>
      <c r="B13" s="495" t="n">
        <v>0</v>
      </c>
      <c r="C13" s="136" t="n">
        <v>0</v>
      </c>
      <c r="D13" s="403">
        <f>B13*C13</f>
        <v/>
      </c>
      <c r="E13" s="134" t="n"/>
      <c r="F13" s="174" t="inlineStr">
        <is>
          <t>Algodão RR</t>
        </is>
      </c>
      <c r="G13" s="497">
        <f>B13</f>
        <v/>
      </c>
      <c r="H13" s="174" t="n">
        <v>0</v>
      </c>
      <c r="I13" s="176">
        <f>G13*H13</f>
        <v/>
      </c>
      <c r="J13" s="134" t="n"/>
      <c r="S13" s="134" t="n"/>
      <c r="U13" s="134" t="n"/>
    </row>
    <row r="14">
      <c r="A14" s="143" t="n"/>
      <c r="B14" s="134" t="n"/>
      <c r="C14" s="134" t="n"/>
      <c r="D14" s="134">
        <f>SUM(D5:D13)</f>
        <v/>
      </c>
      <c r="E14" s="134" t="n"/>
      <c r="G14" s="144" t="n"/>
      <c r="I14" s="134">
        <f>SUM(I5:I13)</f>
        <v/>
      </c>
      <c r="S14" s="134" t="n"/>
      <c r="U14" s="134" t="n"/>
    </row>
    <row r="15">
      <c r="A15" s="143" t="n"/>
      <c r="D15" s="172">
        <f>D14*'Orçam-Realiza'!D29</f>
        <v/>
      </c>
      <c r="E15" s="134" t="n"/>
      <c r="I15" s="172">
        <f>I14*'Orçam-Realiza'!D29</f>
        <v/>
      </c>
      <c r="L15" s="142" t="n"/>
      <c r="S15" s="134" t="n"/>
      <c r="U15" s="134" t="n"/>
    </row>
    <row r="16">
      <c r="A16" s="143" t="n"/>
      <c r="D16" s="172" t="n"/>
      <c r="E16" s="134" t="n"/>
      <c r="L16" s="134" t="n"/>
      <c r="S16" s="134" t="n"/>
      <c r="U16" s="134" t="n"/>
    </row>
    <row r="17">
      <c r="A17" s="134" t="n"/>
      <c r="D17" s="61" t="n"/>
      <c r="E17" s="134" t="n"/>
      <c r="L17" s="134" t="n"/>
      <c r="S17" s="134" t="n"/>
      <c r="U17" s="134" t="n"/>
    </row>
    <row r="18">
      <c r="A18" s="134" t="n"/>
      <c r="D18" s="61" t="n"/>
      <c r="E18" s="134" t="n"/>
      <c r="L18" s="134" t="n"/>
      <c r="S18" s="134" t="n"/>
      <c r="U18" s="134" t="n"/>
    </row>
    <row r="19">
      <c r="A19" s="134" t="n"/>
      <c r="D19" s="61" t="n"/>
      <c r="E19" s="134" t="n"/>
      <c r="L19" s="134" t="n"/>
      <c r="S19" s="134" t="n"/>
      <c r="U19" s="134" t="n"/>
    </row>
    <row r="20" ht="15.75" customHeight="1" s="1173" thickBot="1">
      <c r="A20" s="134" t="n"/>
      <c r="D20" s="61" t="n"/>
      <c r="E20" s="134" t="n"/>
      <c r="L20" s="134" t="n"/>
      <c r="S20" s="134" t="n"/>
      <c r="U20" s="134" t="n"/>
    </row>
    <row r="21">
      <c r="A21" s="134" t="n"/>
      <c r="D21" s="61" t="n"/>
      <c r="E21" s="134" t="n"/>
      <c r="F21" s="1544" t="inlineStr">
        <is>
          <t>SAFRA 25-26</t>
        </is>
      </c>
      <c r="G21" s="1544" t="inlineStr">
        <is>
          <t>SAFRA 25-26</t>
        </is>
      </c>
      <c r="H21" s="1544" t="inlineStr">
        <is>
          <t>SAFRA 25-26</t>
        </is>
      </c>
      <c r="I21" s="1544" t="inlineStr">
        <is>
          <t>SAFRA 25-26</t>
        </is>
      </c>
      <c r="J21" s="1544" t="inlineStr">
        <is>
          <t>SAFRA 25-26</t>
        </is>
      </c>
      <c r="L21" s="134" t="n"/>
      <c r="S21" s="134" t="n"/>
      <c r="U21" s="134" t="n"/>
    </row>
    <row r="22">
      <c r="A22" s="134" t="n"/>
      <c r="D22" s="61" t="n"/>
      <c r="E22" s="134" t="n"/>
      <c r="F22" s="1172" t="inlineStr">
        <is>
          <t>Soja</t>
        </is>
      </c>
      <c r="G22" s="405">
        <f>C5+H5+M5</f>
        <v/>
      </c>
      <c r="H22" t="n">
        <v>900</v>
      </c>
      <c r="I22" s="406">
        <f>H22*G22</f>
        <v/>
      </c>
      <c r="J22" s="145">
        <f>I22*'Orçam-Realiza'!$D$29</f>
        <v/>
      </c>
      <c r="L22" s="134" t="n"/>
      <c r="S22" s="134" t="n"/>
      <c r="U22" s="134" t="n"/>
    </row>
    <row r="23">
      <c r="A23" s="134" t="n"/>
      <c r="D23" s="61" t="n"/>
      <c r="E23" s="134" t="n"/>
      <c r="F23" s="1172" t="inlineStr">
        <is>
          <t>Milho</t>
        </is>
      </c>
      <c r="G23" s="404">
        <f>C8+H8+M6</f>
        <v/>
      </c>
      <c r="H23" s="144" t="n">
        <v>1380</v>
      </c>
      <c r="I23" s="406">
        <f>H23*G23</f>
        <v/>
      </c>
      <c r="J23" s="145">
        <f>I23*'Orçam-Realiza'!$D$29</f>
        <v/>
      </c>
      <c r="L23" s="134" t="n"/>
      <c r="S23" s="134" t="n"/>
      <c r="U23" s="134" t="n"/>
    </row>
    <row r="24" ht="15.75" customHeight="1" s="1173" thickBot="1">
      <c r="A24" s="134" t="n"/>
      <c r="F24" s="13" t="n"/>
      <c r="G24" s="118" t="n"/>
      <c r="H24" s="133" t="n"/>
      <c r="I24" s="407">
        <f>SUM(I22:I23)</f>
        <v/>
      </c>
      <c r="J24" s="145">
        <f>I24*'Orçam-Realiza'!$D$29</f>
        <v/>
      </c>
      <c r="S24" s="134" t="n"/>
      <c r="U24" s="134" t="n"/>
    </row>
    <row r="25" ht="15.75" customHeight="1" s="1173" thickBot="1">
      <c r="D25" s="1132" t="n"/>
      <c r="S25" s="134" t="n"/>
      <c r="U25" s="134" t="n"/>
    </row>
    <row r="26">
      <c r="A26" s="1132" t="n"/>
      <c r="B26" s="1132" t="n"/>
      <c r="D26" s="1132" t="n"/>
      <c r="F26" s="1544" t="inlineStr">
        <is>
          <t>SAFRA 24-25</t>
        </is>
      </c>
      <c r="G26" s="1544" t="inlineStr">
        <is>
          <t>SAFRA 24-25</t>
        </is>
      </c>
      <c r="H26" s="1544" t="inlineStr">
        <is>
          <t>SAFRA 24-25</t>
        </is>
      </c>
      <c r="I26" s="1544" t="inlineStr">
        <is>
          <t>SAFRA 24-25</t>
        </is>
      </c>
      <c r="J26" s="1544" t="inlineStr">
        <is>
          <t>SAFRA 24-25</t>
        </is>
      </c>
      <c r="S26" s="134" t="n"/>
      <c r="U26" s="134" t="n"/>
    </row>
    <row r="27">
      <c r="A27" s="1132" t="n"/>
      <c r="B27" s="1132" t="n"/>
      <c r="D27" s="1132" t="n"/>
      <c r="F27" s="1172" t="inlineStr">
        <is>
          <t>Soja</t>
        </is>
      </c>
      <c r="G27" s="405" t="n">
        <v>358.6897699782767</v>
      </c>
      <c r="H27" t="n">
        <v>1380</v>
      </c>
      <c r="I27" s="406" t="n">
        <v>494991.8825700218</v>
      </c>
      <c r="J27" s="145" t="n">
        <v>2771954.542392122</v>
      </c>
      <c r="S27" s="134" t="n"/>
      <c r="U27" s="134" t="n"/>
    </row>
    <row r="28">
      <c r="A28" s="1132" t="n"/>
      <c r="B28" s="1132" t="n"/>
      <c r="D28" s="1132" t="n"/>
      <c r="F28" s="1172" t="inlineStr">
        <is>
          <t>Milho</t>
        </is>
      </c>
      <c r="G28" s="404" t="n">
        <v>694.2504560175055</v>
      </c>
      <c r="H28" s="144" t="n">
        <v>900</v>
      </c>
      <c r="I28" s="406" t="n">
        <v>624825.4104157549</v>
      </c>
      <c r="J28" s="145" t="n">
        <v>3499022.298328227</v>
      </c>
      <c r="K28" s="134" t="n"/>
      <c r="S28" s="134" t="n"/>
      <c r="U28" s="134" t="n"/>
    </row>
    <row r="29" ht="15.75" customHeight="1" s="1173" thickBot="1">
      <c r="A29" s="1132" t="n"/>
      <c r="B29" s="1132" t="n"/>
      <c r="D29" s="146" t="n"/>
      <c r="F29" s="13" t="n"/>
      <c r="G29" s="118" t="n"/>
      <c r="H29" s="133" t="n"/>
      <c r="I29" s="407" t="n">
        <v>1119817.292985777</v>
      </c>
      <c r="J29" s="145" t="n">
        <v>6270976.840720349</v>
      </c>
      <c r="S29" s="134" t="n"/>
      <c r="U29" s="134" t="n"/>
    </row>
    <row r="30" ht="15.75" customHeight="1" s="1173" thickBot="1">
      <c r="A30" s="146" t="n"/>
      <c r="B30" s="146" t="n"/>
      <c r="D30" s="1132" t="n"/>
      <c r="E30" s="105" t="n"/>
      <c r="I30" s="61" t="n"/>
      <c r="S30" s="134" t="n"/>
      <c r="U30" s="134" t="n"/>
    </row>
    <row r="31">
      <c r="A31" s="1132" t="n"/>
      <c r="B31" s="1132" t="n"/>
      <c r="D31" s="1132" t="n"/>
      <c r="F31" s="1544" t="inlineStr">
        <is>
          <t>SAFRA 23-24</t>
        </is>
      </c>
      <c r="G31" s="1544" t="inlineStr">
        <is>
          <t>SAFRA 23-24</t>
        </is>
      </c>
      <c r="H31" s="1544" t="inlineStr">
        <is>
          <t>SAFRA 23-24</t>
        </is>
      </c>
      <c r="I31" s="1544" t="inlineStr">
        <is>
          <t>SAFRA 23-24</t>
        </is>
      </c>
      <c r="J31" s="1544" t="inlineStr">
        <is>
          <t>SAFRA 23-24</t>
        </is>
      </c>
      <c r="K31" s="134" t="n"/>
      <c r="M31" s="134" t="n"/>
    </row>
    <row r="32">
      <c r="A32" s="1132" t="n"/>
      <c r="B32" s="1132" t="n"/>
      <c r="D32" s="1132" t="n"/>
      <c r="F32" s="1172" t="inlineStr">
        <is>
          <t>Soja</t>
        </is>
      </c>
      <c r="G32" s="405" t="n">
        <v>360.39</v>
      </c>
      <c r="H32" t="n">
        <v>1600</v>
      </c>
      <c r="I32" s="406">
        <f>H32*G32</f>
        <v/>
      </c>
      <c r="J32" s="145">
        <f>I32*'Orçam-Realiza'!$D$29</f>
        <v/>
      </c>
      <c r="O32" s="134" t="n"/>
    </row>
    <row r="33">
      <c r="A33" s="1132" t="n"/>
      <c r="B33" s="1132" t="n"/>
      <c r="C33" s="134" t="n"/>
      <c r="F33" s="1172" t="inlineStr">
        <is>
          <t>Milho</t>
        </is>
      </c>
      <c r="G33" s="404" t="n">
        <v>823.4300000000001</v>
      </c>
      <c r="H33" s="144" t="n">
        <v>700</v>
      </c>
      <c r="I33" s="406">
        <f>H33*G33</f>
        <v/>
      </c>
      <c r="J33" s="145">
        <f>I33*'Orçam-Realiza'!$D$29</f>
        <v/>
      </c>
      <c r="O33" s="134" t="n"/>
    </row>
    <row r="34" ht="15.75" customHeight="1" s="1173" thickBot="1">
      <c r="F34" s="13" t="n"/>
      <c r="G34" s="118" t="n"/>
      <c r="H34" s="133" t="n"/>
      <c r="I34" s="407">
        <f>SUM(I32:I33)</f>
        <v/>
      </c>
      <c r="J34" s="145">
        <f>I34*'Orçam-Realiza'!$D$29</f>
        <v/>
      </c>
    </row>
    <row r="35" ht="15.75" customHeight="1" s="1173" thickBot="1">
      <c r="B35" s="146" t="n"/>
    </row>
    <row r="36">
      <c r="B36" s="11" t="n"/>
      <c r="C36" s="193" t="n"/>
      <c r="D36" s="134" t="n"/>
      <c r="E36" s="1132" t="n"/>
      <c r="F36" s="1544" t="inlineStr">
        <is>
          <t>SAFRA 22-23</t>
        </is>
      </c>
      <c r="G36" s="1544" t="inlineStr">
        <is>
          <t>SAFRA 22-23</t>
        </is>
      </c>
      <c r="H36" s="1544" t="inlineStr">
        <is>
          <t>SAFRA 22-23</t>
        </is>
      </c>
      <c r="I36" s="1544" t="inlineStr">
        <is>
          <t>SAFRA 22-23</t>
        </is>
      </c>
      <c r="J36" s="1544" t="inlineStr">
        <is>
          <t>SAFRA 22-23</t>
        </is>
      </c>
    </row>
    <row r="37">
      <c r="B37" s="11" t="n"/>
      <c r="C37" s="193" t="n"/>
      <c r="D37" s="134" t="n"/>
      <c r="E37" s="1132" t="n"/>
      <c r="F37" s="1172" t="inlineStr">
        <is>
          <t>Soja</t>
        </is>
      </c>
      <c r="G37" s="405" t="n">
        <v>360.69</v>
      </c>
      <c r="H37" t="n">
        <v>1600</v>
      </c>
      <c r="I37" s="406">
        <f>H37*G37</f>
        <v/>
      </c>
      <c r="J37" s="145">
        <f>I37*'Orçam-Realiza'!$D$29</f>
        <v/>
      </c>
    </row>
    <row r="38">
      <c r="B38" s="11" t="n"/>
      <c r="C38" s="193" t="n"/>
      <c r="D38" s="134" t="n"/>
      <c r="E38" s="1132" t="n"/>
      <c r="F38" s="1172" t="inlineStr">
        <is>
          <t>Milho</t>
        </is>
      </c>
      <c r="G38" s="404">
        <f>SUM(C8,H8,M6)</f>
        <v/>
      </c>
      <c r="H38" s="144" t="n">
        <v>700</v>
      </c>
      <c r="I38" s="406">
        <f>H38*G38</f>
        <v/>
      </c>
      <c r="J38" s="145">
        <f>I38*'Orçam-Realiza'!$D$29</f>
        <v/>
      </c>
    </row>
    <row r="39" ht="15.75" customHeight="1" s="1173" thickBot="1">
      <c r="A39" s="1132" t="n"/>
      <c r="B39" s="1132" t="n"/>
      <c r="F39" s="13" t="n"/>
      <c r="G39" s="118" t="n"/>
      <c r="H39" s="133" t="n"/>
      <c r="I39" s="407">
        <f>SUM(I37:I38)</f>
        <v/>
      </c>
      <c r="J39" s="145">
        <f>I39*'Orçam-Realiza'!$D$29</f>
        <v/>
      </c>
    </row>
    <row r="40">
      <c r="A40" s="1132" t="n"/>
      <c r="B40" s="1132" t="n"/>
      <c r="C40" s="1132" t="n"/>
      <c r="D40" s="1132" t="n"/>
      <c r="E40" s="1132" t="n"/>
      <c r="F40" s="1544" t="inlineStr">
        <is>
          <t>SAFRA 21-22</t>
        </is>
      </c>
      <c r="G40" s="1544" t="inlineStr">
        <is>
          <t>SAFRA 21-22</t>
        </is>
      </c>
      <c r="H40" s="1544" t="inlineStr">
        <is>
          <t>SAFRA 21-22</t>
        </is>
      </c>
      <c r="I40" s="1544" t="inlineStr">
        <is>
          <t>SAFRA 21-22</t>
        </is>
      </c>
      <c r="J40" s="1544" t="inlineStr">
        <is>
          <t>SAFRA 21-22</t>
        </is>
      </c>
    </row>
    <row r="41">
      <c r="A41" s="1132" t="n"/>
      <c r="B41" s="1132" t="n"/>
      <c r="C41" s="1132" t="n"/>
      <c r="D41" s="1132" t="n"/>
      <c r="E41" s="1132" t="n"/>
      <c r="F41" s="1172" t="inlineStr">
        <is>
          <t>Soja</t>
        </is>
      </c>
      <c r="G41" s="405" t="n">
        <v>347.5700000000001</v>
      </c>
      <c r="H41" t="n">
        <v>4127</v>
      </c>
      <c r="I41" s="406">
        <f>H41*G41</f>
        <v/>
      </c>
      <c r="J41" s="145">
        <f>I41*5.15</f>
        <v/>
      </c>
    </row>
    <row r="42">
      <c r="A42" s="1132" t="n"/>
      <c r="B42" s="1132" t="n"/>
      <c r="C42" s="1132" t="n"/>
      <c r="D42" s="1132" t="n"/>
      <c r="E42" s="1132" t="n"/>
      <c r="F42" s="1172" t="inlineStr">
        <is>
          <t>Milho</t>
        </is>
      </c>
      <c r="G42" s="404" t="n">
        <v>667.1900000000001</v>
      </c>
      <c r="H42" s="144" t="n">
        <v>1642</v>
      </c>
      <c r="I42" s="406">
        <f>H42*G42</f>
        <v/>
      </c>
      <c r="J42" s="145">
        <f>I42*5.15</f>
        <v/>
      </c>
    </row>
    <row r="43" ht="15.75" customHeight="1" s="1173" thickBot="1">
      <c r="A43" s="1132" t="n"/>
      <c r="B43" s="1132" t="n"/>
      <c r="C43" s="1132" t="n"/>
      <c r="D43" s="1132" t="n"/>
      <c r="E43" s="1132" t="n"/>
      <c r="F43" s="13" t="n"/>
      <c r="G43" s="118" t="n"/>
      <c r="H43" s="133" t="n"/>
      <c r="I43" s="407">
        <f>SUM(I41:I42)</f>
        <v/>
      </c>
      <c r="J43" s="408">
        <f>SUM(J41:J42)</f>
        <v/>
      </c>
    </row>
    <row r="44">
      <c r="A44" s="1132" t="n"/>
      <c r="B44" s="1132" t="n"/>
      <c r="C44" s="1132" t="n"/>
      <c r="D44" s="1132" t="n"/>
      <c r="E44" s="1132" t="n"/>
      <c r="F44" s="1544" t="inlineStr">
        <is>
          <t>SAFRA 20-21</t>
        </is>
      </c>
      <c r="G44" s="1544" t="inlineStr">
        <is>
          <t>SAFRA 20-21</t>
        </is>
      </c>
      <c r="H44" s="1544" t="inlineStr">
        <is>
          <t>SAFRA 20-21</t>
        </is>
      </c>
      <c r="I44" s="1544" t="inlineStr">
        <is>
          <t>SAFRA 20-21</t>
        </is>
      </c>
      <c r="J44" s="1544" t="inlineStr">
        <is>
          <t>SAFRA 20-21</t>
        </is>
      </c>
    </row>
    <row r="45">
      <c r="A45" s="1132" t="n"/>
      <c r="B45" s="1132" t="n"/>
      <c r="C45" s="1132" t="n"/>
      <c r="D45" s="1132" t="n"/>
      <c r="E45" s="1132" t="n"/>
      <c r="F45" s="1172" t="inlineStr">
        <is>
          <t>Soja</t>
        </is>
      </c>
      <c r="G45" s="405">
        <f>1221.02/5.4</f>
        <v/>
      </c>
      <c r="H45" t="n">
        <v>5750</v>
      </c>
      <c r="I45" s="406">
        <f>H45*G45</f>
        <v/>
      </c>
      <c r="J45" s="145">
        <f>I45*5.15</f>
        <v/>
      </c>
    </row>
    <row r="46">
      <c r="A46" s="1132" t="n"/>
      <c r="B46" s="1132" t="n"/>
      <c r="C46" s="1132" t="n"/>
      <c r="D46" s="1132" t="n"/>
      <c r="E46" s="1132" t="n"/>
      <c r="F46" s="1172" t="inlineStr">
        <is>
          <t>Milho</t>
        </is>
      </c>
      <c r="G46" s="404" t="n">
        <v>0</v>
      </c>
      <c r="H46" s="144">
        <f>H9</f>
        <v/>
      </c>
      <c r="I46" s="406">
        <f>H46*G46</f>
        <v/>
      </c>
      <c r="J46" s="145">
        <f>I46*5.15</f>
        <v/>
      </c>
    </row>
    <row r="47" ht="15.75" customHeight="1" s="1173" thickBot="1">
      <c r="F47" s="13" t="n"/>
      <c r="G47" s="118" t="n"/>
      <c r="H47" s="133" t="n"/>
      <c r="I47" s="407">
        <f>SUM(I45:I46)</f>
        <v/>
      </c>
      <c r="J47" s="408">
        <f>SUM(J45:J46)</f>
        <v/>
      </c>
    </row>
    <row r="48">
      <c r="F48" s="134" t="n"/>
      <c r="G48" s="61" t="n"/>
    </row>
    <row r="49">
      <c r="F49" s="134" t="n"/>
      <c r="G49" s="61" t="n"/>
    </row>
  </sheetData>
  <pageMargins left="0.511811024" right="0.511811024" top="0.787401575" bottom="0.787401575" header="0.31496062" footer="0.31496062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tabColor rgb="FFFFFF00"/>
    <outlinePr summaryBelow="1" summaryRight="1"/>
    <pageSetUpPr/>
  </sheetPr>
  <dimension ref="A2:I35"/>
  <sheetViews>
    <sheetView topLeftCell="A2" workbookViewId="0">
      <selection activeCell="B5" sqref="B5"/>
    </sheetView>
  </sheetViews>
  <sheetFormatPr baseColWidth="8" defaultRowHeight="15"/>
  <cols>
    <col width="24" customWidth="1" style="1173" min="1" max="1"/>
    <col width="21.28515625" bestFit="1" customWidth="1" style="1173" min="2" max="2"/>
    <col width="19.7109375" bestFit="1" customWidth="1" style="1173" min="3" max="3"/>
    <col width="15.7109375" bestFit="1" customWidth="1" style="1173" min="4" max="4"/>
    <col width="13.28515625" bestFit="1" customWidth="1" style="1173" min="7" max="7"/>
    <col width="13.28515625" bestFit="1" customWidth="1" style="1173" min="9" max="9"/>
  </cols>
  <sheetData>
    <row r="2">
      <c r="A2" s="147" t="inlineStr">
        <is>
          <t xml:space="preserve">Operação </t>
        </is>
      </c>
      <c r="B2" s="148" t="inlineStr">
        <is>
          <t xml:space="preserve">Hectares </t>
        </is>
      </c>
      <c r="C2" s="1545" t="inlineStr">
        <is>
          <t>SC/HÁ e R$/ha</t>
        </is>
      </c>
      <c r="D2" s="150" t="n"/>
    </row>
    <row r="3" ht="15" customHeight="1" s="1173">
      <c r="A3" s="151" t="inlineStr">
        <is>
          <t xml:space="preserve">Colheita Soja e Milho </t>
        </is>
      </c>
      <c r="B3" s="152" t="n">
        <v>2300</v>
      </c>
      <c r="C3" s="152" t="n">
        <v>2.2</v>
      </c>
      <c r="D3" s="1546">
        <f>(C3*2300)*120</f>
        <v/>
      </c>
    </row>
    <row r="4" ht="15.75" customHeight="1" s="1173" thickBot="1">
      <c r="A4" s="151" t="inlineStr">
        <is>
          <t xml:space="preserve">Safrinha </t>
        </is>
      </c>
      <c r="B4" s="152" t="n">
        <v>300</v>
      </c>
      <c r="C4" s="508" t="n">
        <v>1.8</v>
      </c>
      <c r="D4" s="1547">
        <f>(C4*B4)*55</f>
        <v/>
      </c>
    </row>
    <row r="5" ht="15.75" customHeight="1" s="1173" thickBot="1">
      <c r="A5" s="151" t="n"/>
      <c r="B5" s="152" t="n"/>
      <c r="C5" s="154" t="n"/>
      <c r="D5" s="1548">
        <f>SUM(D3:D4)</f>
        <v/>
      </c>
    </row>
    <row r="6">
      <c r="A6" s="1544" t="inlineStr">
        <is>
          <t xml:space="preserve">FRETE SOJA p TRADE </t>
        </is>
      </c>
      <c r="B6" s="1544" t="inlineStr">
        <is>
          <t xml:space="preserve">FRETE SOJA p TRADE </t>
        </is>
      </c>
      <c r="C6" s="1544" t="inlineStr">
        <is>
          <t xml:space="preserve">FRETE SOJA p TRADE </t>
        </is>
      </c>
      <c r="D6" s="1544" t="inlineStr">
        <is>
          <t xml:space="preserve">FRETE SOJA p TRADE </t>
        </is>
      </c>
    </row>
    <row r="7">
      <c r="A7" s="1172" t="n"/>
      <c r="B7" s="1132" t="inlineStr">
        <is>
          <t>T produção</t>
        </is>
      </c>
      <c r="C7" s="1132" t="inlineStr">
        <is>
          <t>T FOB</t>
        </is>
      </c>
      <c r="D7" s="156" t="inlineStr">
        <is>
          <t>Frete</t>
        </is>
      </c>
    </row>
    <row r="8">
      <c r="A8" s="1172" t="inlineStr">
        <is>
          <t>Agroinvest X BV</t>
        </is>
      </c>
      <c r="B8" s="157" t="n">
        <v>1290</v>
      </c>
      <c r="C8" s="1132" t="n"/>
      <c r="D8" s="1453">
        <f>B8*15</f>
        <v/>
      </c>
    </row>
    <row r="9">
      <c r="A9" s="158" t="inlineStr">
        <is>
          <t>Agroinvest x Cargil</t>
        </is>
      </c>
      <c r="B9" s="1132" t="n">
        <v>1020</v>
      </c>
      <c r="C9" s="1132" t="n"/>
      <c r="D9" s="1453">
        <f>B9*50</f>
        <v/>
      </c>
    </row>
    <row r="10" ht="15.75" customHeight="1" s="1173" thickBot="1">
      <c r="A10" s="13" t="inlineStr">
        <is>
          <t xml:space="preserve">Agroinvest x Placas </t>
        </is>
      </c>
      <c r="B10" s="159" t="n">
        <v>1212</v>
      </c>
      <c r="C10" s="509" t="n"/>
      <c r="D10" s="1549">
        <f>B10*38</f>
        <v/>
      </c>
    </row>
    <row r="11">
      <c r="A11" s="1544" t="inlineStr">
        <is>
          <t>FRETE  p Secador e Silos</t>
        </is>
      </c>
      <c r="B11" s="1544" t="inlineStr">
        <is>
          <t>FRETE  p Secador e Silos</t>
        </is>
      </c>
      <c r="C11" s="1544" t="inlineStr">
        <is>
          <t>FRETE  p Secador e Silos</t>
        </is>
      </c>
      <c r="D11" s="1544" t="inlineStr">
        <is>
          <t>FRETE  p Secador e Silos</t>
        </is>
      </c>
    </row>
    <row r="12">
      <c r="A12" s="161" t="inlineStr">
        <is>
          <t xml:space="preserve">Produto </t>
        </is>
      </c>
      <c r="B12" s="1132" t="inlineStr">
        <is>
          <t>T</t>
        </is>
      </c>
      <c r="C12" s="1132" t="inlineStr">
        <is>
          <t>R$/T</t>
        </is>
      </c>
      <c r="D12" s="1550" t="inlineStr">
        <is>
          <t>Total Frete</t>
        </is>
      </c>
    </row>
    <row r="13">
      <c r="A13" s="161" t="n"/>
      <c r="B13" s="1132" t="n"/>
      <c r="C13" s="1487" t="n"/>
      <c r="D13" s="1550">
        <f>C13*B13</f>
        <v/>
      </c>
    </row>
    <row r="14">
      <c r="A14" s="161" t="inlineStr">
        <is>
          <t>Soja</t>
        </is>
      </c>
      <c r="B14" s="1132" t="n">
        <v>1200</v>
      </c>
      <c r="C14" s="1487" t="n">
        <v>16</v>
      </c>
      <c r="D14" s="1550">
        <f>C14*B14</f>
        <v/>
      </c>
    </row>
    <row r="15">
      <c r="A15" s="161" t="inlineStr">
        <is>
          <t>Milho</t>
        </is>
      </c>
      <c r="B15" s="1132" t="n">
        <v>7000</v>
      </c>
      <c r="C15" s="1487" t="n">
        <v>14</v>
      </c>
      <c r="D15" s="1550">
        <f>C15*B15</f>
        <v/>
      </c>
    </row>
    <row r="16">
      <c r="A16" s="161" t="n"/>
      <c r="B16" s="1132" t="n"/>
      <c r="C16" s="1487" t="n"/>
      <c r="D16" s="1550">
        <f>C16*B16</f>
        <v/>
      </c>
      <c r="H16" s="982" t="inlineStr">
        <is>
          <t>Silo beg</t>
        </is>
      </c>
      <c r="I16" s="983" t="n">
        <v>4</v>
      </c>
    </row>
    <row r="17" ht="15.75" customHeight="1" s="1173" thickBot="1">
      <c r="A17" s="164" t="n"/>
      <c r="B17" s="118" t="n"/>
      <c r="C17" s="1487" t="inlineStr">
        <is>
          <t>Cambio 5,20</t>
        </is>
      </c>
      <c r="D17" s="165" t="n"/>
      <c r="H17" s="982" t="inlineStr">
        <is>
          <t>Custo</t>
        </is>
      </c>
      <c r="I17" s="1551">
        <f>(I16*2600)*1.1</f>
        <v/>
      </c>
    </row>
    <row r="18">
      <c r="C18" s="166" t="inlineStr">
        <is>
          <t xml:space="preserve">Total FRETE </t>
        </is>
      </c>
      <c r="D18" s="167">
        <f>SUM(D13:D17,D10)</f>
        <v/>
      </c>
      <c r="F18" s="980" t="inlineStr">
        <is>
          <t>Silo bolsa</t>
        </is>
      </c>
      <c r="G18" s="1552">
        <f>I17+I8</f>
        <v/>
      </c>
    </row>
    <row r="19">
      <c r="A19" s="168" t="inlineStr">
        <is>
          <t xml:space="preserve">TOTAL Seviçõs </t>
        </is>
      </c>
      <c r="B19" s="1553">
        <f>D5+D8+D9+D10+D18</f>
        <v/>
      </c>
    </row>
    <row r="21">
      <c r="B21" s="1471" t="n"/>
    </row>
    <row r="23">
      <c r="A23" s="537" t="inlineStr">
        <is>
          <t xml:space="preserve">Prancha para logistica de maquinas e equipamentos </t>
        </is>
      </c>
      <c r="B23" s="1554" t="inlineStr">
        <is>
          <t xml:space="preserve">Prancha para logistica de maquinas e equipamentos </t>
        </is>
      </c>
      <c r="C23" s="1554" t="inlineStr">
        <is>
          <t xml:space="preserve">Prancha para logistica de maquinas e equipamentos </t>
        </is>
      </c>
    </row>
    <row r="24">
      <c r="A24" s="95" t="inlineStr">
        <is>
          <t xml:space="preserve">Equipamento </t>
        </is>
      </c>
      <c r="B24" s="1132" t="inlineStr">
        <is>
          <t xml:space="preserve">KM </t>
        </is>
      </c>
      <c r="C24" s="474" t="n"/>
      <c r="D24" s="1471" t="n"/>
    </row>
    <row r="25">
      <c r="A25" s="95" t="inlineStr">
        <is>
          <t xml:space="preserve">Rolo faca </t>
        </is>
      </c>
      <c r="B25" t="n">
        <v>800</v>
      </c>
      <c r="C25" s="1555">
        <f>B25*8.5</f>
        <v/>
      </c>
    </row>
    <row r="26">
      <c r="A26" s="95" t="inlineStr">
        <is>
          <t>Niveladora</t>
        </is>
      </c>
      <c r="B26" t="n">
        <v>800</v>
      </c>
      <c r="C26" s="1555">
        <f>B26*8.5</f>
        <v/>
      </c>
    </row>
    <row r="27">
      <c r="A27" s="95" t="inlineStr">
        <is>
          <t xml:space="preserve">Fiat strada ou s10 </t>
        </is>
      </c>
      <c r="C27" s="1556">
        <f>B27*15</f>
        <v/>
      </c>
    </row>
    <row r="28">
      <c r="A28" s="476" t="inlineStr">
        <is>
          <t xml:space="preserve">Trator alugado </t>
        </is>
      </c>
      <c r="B28" s="477" t="n"/>
      <c r="C28" s="1556">
        <f>B28*15</f>
        <v/>
      </c>
    </row>
    <row r="29">
      <c r="C29" s="1557">
        <f>SUM(C25:C28)</f>
        <v/>
      </c>
    </row>
    <row r="31">
      <c r="A31" s="120" t="inlineStr">
        <is>
          <t xml:space="preserve">Fretes </t>
        </is>
      </c>
      <c r="B31" s="178" t="inlineStr">
        <is>
          <t>KM</t>
        </is>
      </c>
      <c r="C31" s="120" t="n"/>
    </row>
    <row r="32">
      <c r="A32" s="120" t="inlineStr">
        <is>
          <t>Quimicos</t>
        </is>
      </c>
      <c r="B32" s="122" t="n">
        <v>1260</v>
      </c>
      <c r="C32" s="1518">
        <f>B32*4</f>
        <v/>
      </c>
    </row>
    <row r="33">
      <c r="A33" s="120" t="inlineStr">
        <is>
          <t xml:space="preserve">Embalagens </t>
        </is>
      </c>
      <c r="B33" s="120" t="inlineStr">
        <is>
          <t xml:space="preserve">2 viagens </t>
        </is>
      </c>
      <c r="C33" s="1518" t="n">
        <v>3000</v>
      </c>
    </row>
    <row r="34">
      <c r="A34" s="120" t="inlineStr">
        <is>
          <t xml:space="preserve">Cascalhos </t>
        </is>
      </c>
      <c r="B34" s="120" t="inlineStr">
        <is>
          <t xml:space="preserve">4 viagens </t>
        </is>
      </c>
      <c r="C34" s="1518" t="n">
        <v>5000</v>
      </c>
    </row>
    <row r="35">
      <c r="C35" s="1558">
        <f>SUM(C32:C34)</f>
        <v/>
      </c>
    </row>
  </sheetData>
  <pageMargins left="0.511811024" right="0.511811024" top="0.787401575" bottom="0.787401575" header="0.31496062" footer="0.31496062"/>
  <pageSetup orientation="portrait" paperSize="9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tabColor rgb="FFFFFF00"/>
    <outlinePr summaryBelow="1" summaryRight="1"/>
    <pageSetUpPr/>
  </sheetPr>
  <dimension ref="A1:AN99"/>
  <sheetViews>
    <sheetView topLeftCell="A74" zoomScale="70" zoomScaleNormal="70" workbookViewId="0">
      <selection activeCell="S95" sqref="S95"/>
    </sheetView>
  </sheetViews>
  <sheetFormatPr baseColWidth="8" defaultColWidth="9.140625" defaultRowHeight="15"/>
  <cols>
    <col width="20.7109375" customWidth="1" style="1132" min="1" max="1"/>
    <col width="22.28515625" customWidth="1" style="1132" min="2" max="2"/>
    <col width="13.7109375" bestFit="1" customWidth="1" style="1132" min="3" max="3"/>
    <col width="17.7109375" bestFit="1" customWidth="1" style="1132" min="4" max="4"/>
    <col width="11" bestFit="1" customWidth="1" style="1132" min="5" max="5"/>
    <col width="9.140625" customWidth="1" style="1132" min="6" max="6"/>
    <col width="18.7109375" customWidth="1" style="1132" min="7" max="7"/>
    <col width="9.140625" customWidth="1" style="1132" min="8" max="15"/>
    <col width="18.5703125" customWidth="1" style="1132" min="16" max="16"/>
    <col width="24.28515625" customWidth="1" style="1132" min="17" max="17"/>
    <col width="12.7109375" customWidth="1" style="1132" min="18" max="18"/>
    <col width="9.140625" customWidth="1" style="1132" min="19" max="20"/>
    <col width="21.28515625" customWidth="1" style="1132" min="21" max="21"/>
    <col width="9.140625" customWidth="1" style="1132" min="22" max="23"/>
    <col width="50.5703125" customWidth="1" style="1132" min="24" max="24"/>
    <col width="9.140625" customWidth="1" style="1132" min="25" max="25"/>
    <col width="16.140625" customWidth="1" style="1132" min="26" max="26"/>
    <col width="16.7109375" customWidth="1" style="1132" min="27" max="27"/>
    <col width="9.140625" customWidth="1" style="1132" min="28" max="29"/>
    <col width="28.28515625" customWidth="1" style="1132" min="30" max="30"/>
    <col width="14.7109375" customWidth="1" style="1132" min="31" max="31"/>
    <col width="9.140625" customWidth="1" style="1132" min="32" max="16384"/>
  </cols>
  <sheetData>
    <row r="1">
      <c r="A1" s="1174" t="inlineStr">
        <is>
          <t>Orçamento 2025/2026</t>
        </is>
      </c>
      <c r="B1" s="1174" t="inlineStr">
        <is>
          <t>Orçamento 2025/2026</t>
        </is>
      </c>
      <c r="C1" s="1174" t="inlineStr">
        <is>
          <t>Orçamento 2025/2026</t>
        </is>
      </c>
      <c r="D1" s="1174" t="inlineStr">
        <is>
          <t>Orçamento 2025/2026</t>
        </is>
      </c>
      <c r="E1" s="1174" t="inlineStr">
        <is>
          <t>Orçamento 2025/2026</t>
        </is>
      </c>
      <c r="F1" s="1174" t="inlineStr">
        <is>
          <t>Orçamento 2025/2026</t>
        </is>
      </c>
      <c r="G1" s="1174" t="inlineStr">
        <is>
          <t>Orçamento 2025/2026</t>
        </is>
      </c>
      <c r="H1" s="1174" t="inlineStr">
        <is>
          <t>Orçamento 2025/2026</t>
        </is>
      </c>
      <c r="I1" s="1174" t="inlineStr">
        <is>
          <t>Orçamento 2025/2026</t>
        </is>
      </c>
      <c r="J1" s="1174" t="inlineStr">
        <is>
          <t>Orçamento 2025/2026</t>
        </is>
      </c>
      <c r="K1" s="1174" t="inlineStr">
        <is>
          <t>Orçamento 2025/2026</t>
        </is>
      </c>
      <c r="L1" s="1174" t="inlineStr">
        <is>
          <t>Orçamento 2025/2026</t>
        </is>
      </c>
      <c r="M1" s="1174" t="inlineStr">
        <is>
          <t>Orçamento 2025/2026</t>
        </is>
      </c>
      <c r="N1" s="1174" t="inlineStr">
        <is>
          <t>Orçamento 2025/2026</t>
        </is>
      </c>
      <c r="O1" s="1174" t="inlineStr">
        <is>
          <t>Orçamento 2025/2026</t>
        </is>
      </c>
      <c r="P1" s="1174" t="inlineStr">
        <is>
          <t>Orçamento 2025/2026</t>
        </is>
      </c>
      <c r="Q1" s="1174" t="inlineStr">
        <is>
          <t>Orçamento 2025/2026</t>
        </is>
      </c>
      <c r="R1" t="inlineStr">
        <is>
          <t>Obs</t>
        </is>
      </c>
    </row>
    <row r="2" ht="105" customHeight="1" s="1173">
      <c r="A2" s="1174" t="inlineStr">
        <is>
          <t>Orçamento 2025/2026</t>
        </is>
      </c>
      <c r="B2" s="1174" t="inlineStr">
        <is>
          <t>Orçamento 2025/2026</t>
        </is>
      </c>
      <c r="C2" s="1174" t="inlineStr">
        <is>
          <t>Orçamento 2025/2026</t>
        </is>
      </c>
      <c r="D2" s="1174" t="inlineStr">
        <is>
          <t>Orçamento 2025/2026</t>
        </is>
      </c>
      <c r="E2" s="1174" t="inlineStr">
        <is>
          <t>Orçamento 2025/2026</t>
        </is>
      </c>
      <c r="F2" s="1174" t="inlineStr">
        <is>
          <t>Orçamento 2025/2026</t>
        </is>
      </c>
      <c r="G2" s="1174" t="inlineStr">
        <is>
          <t>Orçamento 2025/2026</t>
        </is>
      </c>
      <c r="H2" s="1174" t="inlineStr">
        <is>
          <t>Orçamento 2025/2026</t>
        </is>
      </c>
      <c r="I2" s="1174" t="inlineStr">
        <is>
          <t>Orçamento 2025/2026</t>
        </is>
      </c>
      <c r="J2" s="1174" t="inlineStr">
        <is>
          <t>Orçamento 2025/2026</t>
        </is>
      </c>
      <c r="K2" s="1174" t="inlineStr">
        <is>
          <t>Orçamento 2025/2026</t>
        </is>
      </c>
      <c r="L2" s="1174" t="inlineStr">
        <is>
          <t>Orçamento 2025/2026</t>
        </is>
      </c>
      <c r="M2" s="1174" t="inlineStr">
        <is>
          <t>Orçamento 2025/2026</t>
        </is>
      </c>
      <c r="N2" s="1174" t="inlineStr">
        <is>
          <t>Orçamento 2025/2026</t>
        </is>
      </c>
      <c r="O2" s="1174" t="inlineStr">
        <is>
          <t>Orçamento 2025/2026</t>
        </is>
      </c>
      <c r="P2" s="1174" t="inlineStr">
        <is>
          <t>Orçamento 2025/2026</t>
        </is>
      </c>
      <c r="Q2" s="1174" t="inlineStr">
        <is>
          <t>Orçamento 2025/2026</t>
        </is>
      </c>
      <c r="X2" s="1171" t="inlineStr">
        <is>
          <t>ORÇAMENTO BASE ZERO  ACFT SENECA V (PR-PME) /Meridian500</t>
        </is>
      </c>
      <c r="Y2" s="1171" t="inlineStr">
        <is>
          <t>ORÇAMENTO BASE ZERO  ACFT SENECA V (PR-PME) /Meridian500</t>
        </is>
      </c>
      <c r="Z2" s="1171" t="inlineStr">
        <is>
          <t>ORÇAMENTO BASE ZERO  ACFT SENECA V (PR-PME) /Meridian500</t>
        </is>
      </c>
      <c r="AA2" s="1171" t="inlineStr">
        <is>
          <t>ORÇAMENTO BASE ZERO  ACFT SENECA V (PR-PME) /Meridian500</t>
        </is>
      </c>
      <c r="AB2" s="1171" t="inlineStr">
        <is>
          <t>ORÇAMENTO BASE ZERO  ACFT SENECA V (PR-PME) /Meridian500</t>
        </is>
      </c>
      <c r="AC2" s="1171" t="inlineStr">
        <is>
          <t>ORÇAMENTO BASE ZERO  ACFT SENECA V (PR-PME) /Meridian500</t>
        </is>
      </c>
      <c r="AD2" s="1171" t="inlineStr">
        <is>
          <t>ORÇAMENTO BASE ZERO  ACFT SENECA V (PR-PME) /Meridian500</t>
        </is>
      </c>
      <c r="AE2" s="1171" t="inlineStr">
        <is>
          <t>ORÇAMENTO BASE ZERO  ACFT SENECA V (PR-PME) /Meridian500</t>
        </is>
      </c>
    </row>
    <row r="3">
      <c r="A3" s="1174" t="inlineStr">
        <is>
          <t>Orçamento 2025/2026</t>
        </is>
      </c>
      <c r="B3" s="1174" t="inlineStr">
        <is>
          <t>Orçamento 2025/2026</t>
        </is>
      </c>
      <c r="C3" s="1174" t="inlineStr">
        <is>
          <t>Orçamento 2025/2026</t>
        </is>
      </c>
      <c r="D3" s="1174" t="inlineStr">
        <is>
          <t>Orçamento 2025/2026</t>
        </is>
      </c>
      <c r="E3" s="1174" t="inlineStr">
        <is>
          <t>Orçamento 2025/2026</t>
        </is>
      </c>
      <c r="F3" s="1174" t="inlineStr">
        <is>
          <t>Orçamento 2025/2026</t>
        </is>
      </c>
      <c r="G3" s="1174" t="inlineStr">
        <is>
          <t>Orçamento 2025/2026</t>
        </is>
      </c>
      <c r="H3" s="1174" t="inlineStr">
        <is>
          <t>Orçamento 2025/2026</t>
        </is>
      </c>
      <c r="I3" s="1174" t="inlineStr">
        <is>
          <t>Orçamento 2025/2026</t>
        </is>
      </c>
      <c r="J3" s="1174" t="inlineStr">
        <is>
          <t>Orçamento 2025/2026</t>
        </is>
      </c>
      <c r="K3" s="1174" t="inlineStr">
        <is>
          <t>Orçamento 2025/2026</t>
        </is>
      </c>
      <c r="L3" s="1174" t="inlineStr">
        <is>
          <t>Orçamento 2025/2026</t>
        </is>
      </c>
      <c r="M3" s="1174" t="inlineStr">
        <is>
          <t>Orçamento 2025/2026</t>
        </is>
      </c>
      <c r="N3" s="1174" t="inlineStr">
        <is>
          <t>Orçamento 2025/2026</t>
        </is>
      </c>
      <c r="O3" s="1174" t="inlineStr">
        <is>
          <t>Orçamento 2025/2026</t>
        </is>
      </c>
      <c r="P3" s="1174" t="inlineStr">
        <is>
          <t>Orçamento 2025/2026</t>
        </is>
      </c>
      <c r="Q3" s="1174" t="inlineStr">
        <is>
          <t>Orçamento 2025/2026</t>
        </is>
      </c>
      <c r="X3" s="1223" t="inlineStr">
        <is>
          <t>ITEM</t>
        </is>
      </c>
      <c r="Y3" s="1223" t="inlineStr">
        <is>
          <t>QUANTIDADE</t>
        </is>
      </c>
      <c r="Z3" s="1223" t="n"/>
      <c r="AA3" s="1223" t="inlineStr">
        <is>
          <t xml:space="preserve">VALOR </t>
        </is>
      </c>
    </row>
    <row r="4">
      <c r="A4" s="687" t="n"/>
      <c r="D4" t="inlineStr">
        <is>
          <t>out</t>
        </is>
      </c>
      <c r="E4" t="inlineStr">
        <is>
          <t>Nov</t>
        </is>
      </c>
      <c r="F4" t="inlineStr">
        <is>
          <t>Dez</t>
        </is>
      </c>
      <c r="G4" t="inlineStr">
        <is>
          <t>jan</t>
        </is>
      </c>
      <c r="H4" t="inlineStr">
        <is>
          <t>Fev</t>
        </is>
      </c>
      <c r="I4" t="inlineStr">
        <is>
          <t>Mar</t>
        </is>
      </c>
      <c r="J4" t="inlineStr">
        <is>
          <t>Abr</t>
        </is>
      </c>
      <c r="K4" t="inlineStr">
        <is>
          <t>Mai</t>
        </is>
      </c>
      <c r="M4" t="inlineStr">
        <is>
          <t>Horas</t>
        </is>
      </c>
      <c r="O4" t="inlineStr">
        <is>
          <t xml:space="preserve">Total </t>
        </is>
      </c>
      <c r="P4" s="530" t="inlineStr">
        <is>
          <t>Valor unid</t>
        </is>
      </c>
      <c r="Q4" s="530" t="inlineStr">
        <is>
          <t>Total R$</t>
        </is>
      </c>
      <c r="X4" s="120" t="inlineStr">
        <is>
          <t>Seguro reta</t>
        </is>
      </c>
      <c r="Y4" s="178" t="n">
        <v>1</v>
      </c>
      <c r="Z4" s="456" t="n">
        <v>767.88</v>
      </c>
      <c r="AA4" s="457">
        <f>Z4*Y4</f>
        <v/>
      </c>
    </row>
    <row r="5" ht="255" customHeight="1" s="1173">
      <c r="A5" s="1022" t="inlineStr">
        <is>
          <t>Aplicação Aerea</t>
        </is>
      </c>
      <c r="B5" s="178" t="inlineStr">
        <is>
          <t>Descrição</t>
        </is>
      </c>
      <c r="C5" s="954" t="n"/>
      <c r="D5" s="1559" t="inlineStr">
        <is>
          <t xml:space="preserve">Agroservice                                   1º fung soja  5.637                                                2º fung soja 5.637                                               3º fung  soja 5.637                                        4º Fung soja 5.637   5°micro/ins                                      1º ins milho 3.678                                      2º ins milho 3.678                                  3º ins milho 3.678                                         4º fun milho 3.678                                 5º fun milho 3.678   6º ins milho 3.678      7° ins milho       8°ins  milho            Agroinvest= 5000 ha </t>
        </is>
      </c>
      <c r="E5" s="1560" t="inlineStr">
        <is>
          <t xml:space="preserve">Agroservice                                   1º fung soja  5.637                                                2º fung soja 5.637                                               3º fung  soja 5.637                                        4º Fung soja 5.637   5°micro/ins                                      1º ins milho 3.678                                      2º ins milho 3.678                                  3º ins milho 3.678                                         4º fun milho 3.678                                 5º fun milho 3.678   6º ins milho 3.678      7° ins milho       8°ins  milho            Agroinvest= 5000 ha </t>
        </is>
      </c>
      <c r="F5" s="1560" t="inlineStr">
        <is>
          <t xml:space="preserve">Agroservice                                   1º fung soja  5.637                                                2º fung soja 5.637                                               3º fung  soja 5.637                                        4º Fung soja 5.637   5°micro/ins                                      1º ins milho 3.678                                      2º ins milho 3.678                                  3º ins milho 3.678                                         4º fun milho 3.678                                 5º fun milho 3.678   6º ins milho 3.678      7° ins milho       8°ins  milho            Agroinvest= 5000 ha </t>
        </is>
      </c>
      <c r="G5" s="955" t="inlineStr">
        <is>
          <t xml:space="preserve">Agroservice algodão 22 aplicação inseticida total 5280 Há fugincida 6 aplicação total 1440Ha     Agroinvest = 6000 há </t>
        </is>
      </c>
      <c r="H5" s="956" t="inlineStr">
        <is>
          <t>3500  mix de cobertura  pivõ 10 aplicações =1600</t>
        </is>
      </c>
      <c r="I5" s="955" t="inlineStr">
        <is>
          <t xml:space="preserve"> 3 aplicações inseticida Safrinha 1500</t>
        </is>
      </c>
      <c r="J5" s="957" t="n"/>
      <c r="K5" s="957" t="n"/>
      <c r="L5" s="957" t="inlineStr">
        <is>
          <t>AGROSERVICE   milho = 29424    soja=28.185    algodão=6.720    sorgo=1.500   pivô milho=1.600                 AGROINVEST=11.000             TOTAL=78.429</t>
        </is>
      </c>
      <c r="M5" s="957" t="n"/>
      <c r="N5" s="957" t="n"/>
      <c r="O5" s="1023" t="n">
        <v>78429</v>
      </c>
      <c r="P5" s="958" t="n"/>
      <c r="Q5" s="958" t="n"/>
      <c r="X5" s="120" t="inlineStr">
        <is>
          <t>Atendiemnto Angar Icaro (BSB)</t>
        </is>
      </c>
      <c r="Y5" s="178" t="n">
        <v>12</v>
      </c>
      <c r="Z5" s="456" t="n">
        <v>1500</v>
      </c>
      <c r="AA5" s="457">
        <f>Z5*Y5</f>
        <v/>
      </c>
    </row>
    <row r="6">
      <c r="A6" s="1178" t="inlineStr">
        <is>
          <t>Air tractor  B502</t>
        </is>
      </c>
      <c r="B6" s="416" t="inlineStr">
        <is>
          <t>Area trabalhada</t>
        </is>
      </c>
      <c r="C6" s="959" t="inlineStr">
        <is>
          <t>Há liquido 20</t>
        </is>
      </c>
      <c r="D6" s="1024" t="n">
        <v>9600</v>
      </c>
      <c r="E6" s="1024" t="n">
        <v>22548</v>
      </c>
      <c r="F6" s="1024" t="n">
        <v>29933</v>
      </c>
      <c r="G6" s="1024" t="n">
        <v>12608</v>
      </c>
      <c r="H6" s="959" t="n">
        <v>2240</v>
      </c>
      <c r="I6" s="959" t="n">
        <v>1500</v>
      </c>
      <c r="J6" s="959" t="n"/>
      <c r="K6" s="959" t="n"/>
      <c r="L6" s="959" t="n"/>
      <c r="M6" s="959" t="n"/>
      <c r="N6" s="959" t="n"/>
      <c r="O6" s="1025">
        <f>SUM(D6:N6)</f>
        <v/>
      </c>
      <c r="P6" s="683" t="n"/>
      <c r="Q6" s="684" t="n"/>
      <c r="X6" s="120" t="inlineStr">
        <is>
          <t>jeepson -Renovação assinatura garmim</t>
        </is>
      </c>
      <c r="Y6" s="178" t="n">
        <v>1</v>
      </c>
      <c r="Z6" s="456" t="n">
        <v>6400</v>
      </c>
      <c r="AA6" s="457">
        <f>Z6*Y6</f>
        <v/>
      </c>
      <c r="AD6" t="inlineStr">
        <is>
          <t>Valor aquisição Meridian</t>
        </is>
      </c>
      <c r="AE6" s="134" t="n">
        <v>3175000</v>
      </c>
    </row>
    <row r="7">
      <c r="A7" s="1561" t="inlineStr">
        <is>
          <t>Air tractor  B502</t>
        </is>
      </c>
      <c r="B7" s="120" t="inlineStr">
        <is>
          <t>Area trabalhada</t>
        </is>
      </c>
      <c r="C7" s="124" t="n"/>
      <c r="D7" s="124" t="n"/>
      <c r="E7" s="124" t="n"/>
      <c r="F7" s="124" t="n"/>
      <c r="G7" s="124" t="n"/>
      <c r="H7" s="124" t="n"/>
      <c r="I7" s="124" t="n"/>
      <c r="J7" s="124" t="n"/>
      <c r="K7" s="124" t="n"/>
      <c r="L7" s="124" t="n"/>
      <c r="M7" s="124" t="n"/>
      <c r="N7" s="124" t="n"/>
      <c r="O7" s="124" t="n"/>
      <c r="P7" s="443" t="n"/>
      <c r="Q7" s="447" t="n"/>
      <c r="X7" s="120" t="inlineStr">
        <is>
          <t>Revisoes/manutençoes</t>
        </is>
      </c>
      <c r="Y7" s="178" t="n">
        <v>1</v>
      </c>
      <c r="Z7" s="457" t="n">
        <v>40000</v>
      </c>
      <c r="AA7" s="457">
        <f>Z7*Y7</f>
        <v/>
      </c>
      <c r="AD7" s="88" t="inlineStr">
        <is>
          <t>Agroservice 50%</t>
        </is>
      </c>
      <c r="AE7" s="961">
        <f>AE6/2</f>
        <v/>
      </c>
    </row>
    <row r="8">
      <c r="A8" s="1561" t="inlineStr">
        <is>
          <t>Air tractor  B502</t>
        </is>
      </c>
      <c r="B8" s="120" t="inlineStr">
        <is>
          <t>Area trabalhada</t>
        </is>
      </c>
      <c r="C8" s="124" t="inlineStr">
        <is>
          <t>há solido</t>
        </is>
      </c>
      <c r="D8" s="124" t="n"/>
      <c r="E8" s="124" t="n"/>
      <c r="F8" s="124" t="n"/>
      <c r="G8" s="124" t="n"/>
      <c r="H8" s="124" t="n">
        <v>3500</v>
      </c>
      <c r="I8" s="124" t="n"/>
      <c r="J8" s="124" t="n"/>
      <c r="K8" s="124" t="n"/>
      <c r="L8" s="124" t="n"/>
      <c r="M8" s="124" t="inlineStr">
        <is>
          <t>40/h</t>
        </is>
      </c>
      <c r="N8" s="124" t="n"/>
      <c r="O8" s="124">
        <f>SUM(F8:J8)</f>
        <v/>
      </c>
      <c r="P8" s="443" t="n">
        <v>500</v>
      </c>
      <c r="Q8" s="960" t="n">
        <v>20000</v>
      </c>
      <c r="X8" s="120" t="inlineStr">
        <is>
          <t xml:space="preserve">Angarage </t>
        </is>
      </c>
      <c r="Y8" s="178" t="n">
        <v>12</v>
      </c>
      <c r="Z8" s="457" t="n">
        <v>850</v>
      </c>
      <c r="AA8" s="457">
        <f>Z8*Y8</f>
        <v/>
      </c>
      <c r="AC8" s="1132" t="n"/>
      <c r="AD8" s="1530" t="n"/>
      <c r="AE8" s="1530" t="n"/>
      <c r="AF8" s="1530" t="n"/>
      <c r="AG8" s="1530" t="n"/>
      <c r="AH8" s="1530" t="n"/>
      <c r="AI8" s="1530" t="n"/>
      <c r="AJ8" s="1530" t="n"/>
      <c r="AK8" s="1530" t="n"/>
      <c r="AL8" s="1530" t="n"/>
      <c r="AM8" s="1530" t="n"/>
      <c r="AN8" s="1530" t="n"/>
    </row>
    <row r="9">
      <c r="A9" s="1561" t="inlineStr">
        <is>
          <t>Air tractor  B502</t>
        </is>
      </c>
      <c r="B9" s="120" t="inlineStr">
        <is>
          <t>Horas trabalhada</t>
        </is>
      </c>
      <c r="C9" s="124" t="inlineStr">
        <is>
          <t>Hora</t>
        </is>
      </c>
      <c r="D9" s="124">
        <f>SUM(D6:D7)/185</f>
        <v/>
      </c>
      <c r="E9" s="124">
        <f>SUM(E6:E7)/185</f>
        <v/>
      </c>
      <c r="F9" s="124">
        <f>SUM(F6:F7)/185</f>
        <v/>
      </c>
      <c r="G9" s="124">
        <f>SUM(G6:G7)/185</f>
        <v/>
      </c>
      <c r="H9" s="124">
        <f>SUM(H6:H7)/185</f>
        <v/>
      </c>
      <c r="I9" s="124">
        <f>SUM(I6:I7)/185</f>
        <v/>
      </c>
      <c r="J9" s="124">
        <f>J6/175</f>
        <v/>
      </c>
      <c r="K9" s="124" t="n"/>
      <c r="L9" s="124" t="n"/>
      <c r="M9" s="124" t="n"/>
      <c r="N9" s="124" t="n"/>
      <c r="O9" s="124">
        <f>SUM(D9:J9)</f>
        <v/>
      </c>
      <c r="P9" s="738" t="n"/>
      <c r="Q9" s="960" t="n"/>
      <c r="X9" s="120" t="inlineStr">
        <is>
          <t>Piloto</t>
        </is>
      </c>
      <c r="Y9" s="178" t="n">
        <v>13</v>
      </c>
      <c r="Z9" s="457" t="n">
        <v>9000</v>
      </c>
      <c r="AA9" s="457">
        <f>Z9*Y9</f>
        <v/>
      </c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  <c r="AL9" s="11" t="n"/>
      <c r="AM9" s="11" t="n"/>
      <c r="AN9" s="11" t="n"/>
    </row>
    <row r="10">
      <c r="A10" s="1561" t="inlineStr">
        <is>
          <t>Air tractor  B502</t>
        </is>
      </c>
      <c r="B10" s="179" t="inlineStr">
        <is>
          <t>Querosene</t>
        </is>
      </c>
      <c r="C10" s="179" t="inlineStr">
        <is>
          <t>Lt</t>
        </is>
      </c>
      <c r="D10" s="179">
        <f>220*D9</f>
        <v/>
      </c>
      <c r="E10" s="179">
        <f>220*E9</f>
        <v/>
      </c>
      <c r="F10" s="179">
        <f>220*F9</f>
        <v/>
      </c>
      <c r="G10" s="179">
        <f>220*G9</f>
        <v/>
      </c>
      <c r="H10" s="179">
        <f>220*H9</f>
        <v/>
      </c>
      <c r="I10" s="179">
        <f>220*I9</f>
        <v/>
      </c>
      <c r="J10" s="179" t="n"/>
      <c r="K10" s="179" t="n"/>
      <c r="L10" s="179" t="n"/>
      <c r="M10" s="179" t="n"/>
      <c r="N10" s="179" t="n"/>
      <c r="O10" s="179">
        <f>SUM(D10:J10)</f>
        <v/>
      </c>
      <c r="P10" s="1026" t="n">
        <v>6</v>
      </c>
      <c r="Q10" s="963">
        <f>P10*O10</f>
        <v/>
      </c>
      <c r="X10" s="120" t="inlineStr">
        <is>
          <t>Combustivel (querosene)</t>
        </is>
      </c>
      <c r="Y10" s="178" t="n">
        <v>12</v>
      </c>
      <c r="Z10" s="457" t="n">
        <v>5625</v>
      </c>
      <c r="AA10" s="457">
        <f>Z10*Y10</f>
        <v/>
      </c>
      <c r="AC10" s="1562" t="n"/>
      <c r="AD10" s="1562" t="n"/>
      <c r="AE10" s="1562" t="n"/>
      <c r="AF10" s="1562" t="n"/>
      <c r="AG10" s="1562" t="n"/>
      <c r="AH10" s="1562" t="n"/>
      <c r="AI10" s="1562" t="n"/>
      <c r="AJ10" s="1562" t="n"/>
      <c r="AK10" s="1562" t="n"/>
      <c r="AL10" s="1562" t="n"/>
      <c r="AM10" s="1562" t="n"/>
      <c r="AN10" s="1562" t="n"/>
    </row>
    <row r="11">
      <c r="A11" s="1561" t="inlineStr">
        <is>
          <t>Air tractor  B502</t>
        </is>
      </c>
      <c r="B11" s="120" t="inlineStr">
        <is>
          <t>Oleo Motor/turbina</t>
        </is>
      </c>
      <c r="C11" s="124" t="inlineStr">
        <is>
          <t>Lt</t>
        </is>
      </c>
      <c r="D11" s="124">
        <f>D9/20</f>
        <v/>
      </c>
      <c r="E11" s="124">
        <f>E9/20</f>
        <v/>
      </c>
      <c r="F11" s="124">
        <f>F9/20</f>
        <v/>
      </c>
      <c r="G11" s="124">
        <f>G9/20</f>
        <v/>
      </c>
      <c r="H11" s="124">
        <f>H9/20</f>
        <v/>
      </c>
      <c r="I11" s="124" t="n">
        <v>0</v>
      </c>
      <c r="J11" s="124" t="n"/>
      <c r="K11" s="124" t="n"/>
      <c r="L11" s="124" t="n"/>
      <c r="M11" s="124" t="n"/>
      <c r="N11" s="124" t="n"/>
      <c r="O11" s="124">
        <f>SUM(D11:J11)</f>
        <v/>
      </c>
      <c r="P11" s="738" t="n">
        <v>60</v>
      </c>
      <c r="Q11" s="960">
        <f>P11*O11</f>
        <v/>
      </c>
      <c r="X11" s="120" t="inlineStr">
        <is>
          <t>Taxas Inframerica (pousos) + Decea (tarifa uso EP)</t>
        </is>
      </c>
      <c r="Y11" s="178" t="n">
        <v>12</v>
      </c>
      <c r="Z11" s="457" t="n">
        <v>920.84</v>
      </c>
      <c r="AA11" s="457">
        <f>Z11*Y11</f>
        <v/>
      </c>
      <c r="AC11" s="1562" t="n"/>
      <c r="AD11" s="1562" t="n"/>
      <c r="AE11" s="1562" t="n"/>
      <c r="AF11" s="1562" t="n"/>
      <c r="AG11" s="1562" t="n"/>
      <c r="AH11" s="1562" t="n"/>
      <c r="AI11" s="1562" t="n"/>
      <c r="AJ11" s="1562" t="n"/>
      <c r="AK11" s="1562" t="n"/>
      <c r="AL11" s="1562" t="n"/>
      <c r="AM11" s="1562" t="n"/>
      <c r="AN11" s="1562" t="n"/>
    </row>
    <row r="12">
      <c r="A12" s="1561" t="inlineStr">
        <is>
          <t>Air tractor  B502</t>
        </is>
      </c>
      <c r="B12" s="120" t="inlineStr">
        <is>
          <t>REVISÃO 100/Hr</t>
        </is>
      </c>
      <c r="C12" s="124" t="n"/>
      <c r="D12" s="124" t="n"/>
      <c r="E12" s="124" t="n"/>
      <c r="F12" s="124" t="n"/>
      <c r="G12" s="124" t="n"/>
      <c r="H12" s="124" t="n"/>
      <c r="I12" s="124" t="n"/>
      <c r="J12" s="124" t="n"/>
      <c r="K12" s="124" t="n"/>
      <c r="L12" s="124" t="n"/>
      <c r="M12" s="124" t="n"/>
      <c r="N12" s="124" t="n"/>
      <c r="O12" s="124" t="n">
        <v>1</v>
      </c>
      <c r="P12" s="738" t="n">
        <v>6380</v>
      </c>
      <c r="Q12" s="738" t="n">
        <v>6380</v>
      </c>
      <c r="Y12" s="88" t="inlineStr">
        <is>
          <t>Total</t>
        </is>
      </c>
      <c r="Z12" s="88" t="n"/>
      <c r="AA12" s="172">
        <f>SUM(AA4:AA11)</f>
        <v/>
      </c>
      <c r="AC12" s="1562" t="n"/>
      <c r="AD12" s="1562" t="n"/>
      <c r="AE12" s="1562" t="n"/>
      <c r="AF12" s="1562" t="n"/>
      <c r="AG12" s="1562" t="n"/>
      <c r="AH12" s="1562" t="n"/>
      <c r="AI12" s="1562" t="n"/>
      <c r="AJ12" s="1562" t="n"/>
      <c r="AK12" s="1562" t="n"/>
      <c r="AL12" s="1562" t="n"/>
      <c r="AM12" s="1562" t="n"/>
      <c r="AN12" s="1562" t="n"/>
    </row>
    <row r="13">
      <c r="A13" s="1561" t="inlineStr">
        <is>
          <t>Air tractor  B502</t>
        </is>
      </c>
      <c r="B13" s="120" t="inlineStr">
        <is>
          <t>REVISÃO 200/Hr</t>
        </is>
      </c>
      <c r="C13" s="124" t="n"/>
      <c r="D13" s="124" t="n"/>
      <c r="E13" s="124" t="n"/>
      <c r="F13" s="124" t="n"/>
      <c r="G13" s="124" t="n"/>
      <c r="H13" s="124" t="n"/>
      <c r="I13" s="124" t="n"/>
      <c r="J13" s="124" t="n"/>
      <c r="K13" s="124" t="n"/>
      <c r="L13" s="124" t="n"/>
      <c r="M13" s="124" t="n"/>
      <c r="N13" s="124" t="n"/>
      <c r="O13" s="124" t="n">
        <v>1</v>
      </c>
      <c r="P13" s="738" t="n">
        <v>1540</v>
      </c>
      <c r="Q13" s="738" t="n">
        <v>1540</v>
      </c>
      <c r="AC13" s="1562" t="n"/>
      <c r="AD13" s="1562" t="n"/>
      <c r="AE13" s="1562" t="n"/>
      <c r="AF13" s="1562" t="n"/>
      <c r="AG13" s="1562" t="n"/>
      <c r="AH13" s="1562" t="n"/>
      <c r="AI13" s="1562" t="n"/>
      <c r="AJ13" s="1562" t="n"/>
      <c r="AK13" s="1562" t="n"/>
      <c r="AL13" s="1562" t="n"/>
      <c r="AM13" s="1562" t="n"/>
      <c r="AN13" s="1562" t="n"/>
    </row>
    <row r="14">
      <c r="A14" s="1561" t="inlineStr">
        <is>
          <t>Air tractor  B502</t>
        </is>
      </c>
      <c r="B14" s="120" t="inlineStr">
        <is>
          <t>REVISÃO 300/Hr</t>
        </is>
      </c>
      <c r="C14" s="124" t="n"/>
      <c r="D14" s="124" t="n"/>
      <c r="E14" s="124" t="n"/>
      <c r="F14" s="124" t="n"/>
      <c r="G14" s="124" t="n"/>
      <c r="H14" s="124" t="n"/>
      <c r="I14" s="124" t="n"/>
      <c r="J14" s="124" t="n"/>
      <c r="K14" s="124" t="n"/>
      <c r="L14" s="124" t="n"/>
      <c r="M14" s="124" t="n"/>
      <c r="N14" s="124" t="n"/>
      <c r="O14" s="124" t="n">
        <v>1</v>
      </c>
      <c r="P14" s="738" t="n">
        <v>9350</v>
      </c>
      <c r="Q14" s="738" t="n">
        <v>9350</v>
      </c>
    </row>
    <row r="15">
      <c r="A15" s="1561" t="inlineStr">
        <is>
          <t>Air tractor  B502</t>
        </is>
      </c>
      <c r="B15" s="1027" t="inlineStr">
        <is>
          <t>TBO turbina</t>
        </is>
      </c>
      <c r="C15" s="1027" t="inlineStr">
        <is>
          <t>Und</t>
        </is>
      </c>
      <c r="D15" s="1027" t="n"/>
      <c r="E15" s="1027" t="n"/>
      <c r="F15" s="1027" t="n"/>
      <c r="G15" s="1027" t="n"/>
      <c r="H15" s="1027" t="n"/>
      <c r="I15" s="1027" t="n"/>
      <c r="J15" s="1027" t="n">
        <v>1</v>
      </c>
      <c r="K15" s="1027" t="n"/>
      <c r="L15" s="1027" t="n"/>
      <c r="M15" s="1027" t="n"/>
      <c r="N15" s="1027" t="n"/>
      <c r="O15" s="1027" t="n">
        <v>1</v>
      </c>
      <c r="P15" s="1028" t="n">
        <v>1070000</v>
      </c>
      <c r="Q15" s="1029">
        <f>P15*O15/10</f>
        <v/>
      </c>
    </row>
    <row r="16">
      <c r="A16" s="1561" t="inlineStr">
        <is>
          <t>Air tractor  B502</t>
        </is>
      </c>
      <c r="B16" s="120" t="inlineStr">
        <is>
          <t>IAM</t>
        </is>
      </c>
      <c r="C16" s="124" t="inlineStr">
        <is>
          <t>R$</t>
        </is>
      </c>
      <c r="D16" s="124" t="n"/>
      <c r="E16" s="124" t="n"/>
      <c r="F16" s="124" t="n"/>
      <c r="G16" s="124" t="n"/>
      <c r="H16" s="124" t="n"/>
      <c r="I16" s="124" t="n"/>
      <c r="J16" s="124" t="n">
        <v>1</v>
      </c>
      <c r="K16" s="124" t="n"/>
      <c r="L16" s="124" t="n"/>
      <c r="M16" s="124" t="n"/>
      <c r="N16" s="124" t="n"/>
      <c r="O16" s="124">
        <f>SUM(D16:J16)</f>
        <v/>
      </c>
      <c r="P16" s="738" t="n">
        <v>25000</v>
      </c>
      <c r="Q16" s="960">
        <f>P16*O16</f>
        <v/>
      </c>
      <c r="R16" s="964" t="inlineStr">
        <is>
          <t>Custo de peças durante as revisões de 100,200,300 horas</t>
        </is>
      </c>
    </row>
    <row r="17">
      <c r="A17" s="1561" t="inlineStr">
        <is>
          <t>Air tractor  B502</t>
        </is>
      </c>
      <c r="B17" s="120" t="inlineStr">
        <is>
          <t>Seguro reta</t>
        </is>
      </c>
      <c r="C17" s="124" t="inlineStr">
        <is>
          <t>R$</t>
        </is>
      </c>
      <c r="D17" s="124" t="n"/>
      <c r="E17" s="124" t="n"/>
      <c r="F17" s="124" t="n"/>
      <c r="G17" s="124" t="n"/>
      <c r="H17" s="124" t="n"/>
      <c r="I17" s="124" t="n"/>
      <c r="J17" s="124" t="n">
        <v>1</v>
      </c>
      <c r="K17" s="124" t="n"/>
      <c r="L17" s="124" t="n"/>
      <c r="M17" s="124" t="n"/>
      <c r="N17" s="124" t="n"/>
      <c r="O17" s="124">
        <f>SUM(D17:J17)</f>
        <v/>
      </c>
      <c r="P17" s="738" t="n">
        <v>600</v>
      </c>
      <c r="Q17" s="960">
        <f>P17*O17</f>
        <v/>
      </c>
    </row>
    <row r="18">
      <c r="A18" s="1561" t="inlineStr">
        <is>
          <t>Air tractor  B502</t>
        </is>
      </c>
      <c r="B18" s="120" t="inlineStr">
        <is>
          <t>Mão de obra manutenção</t>
        </is>
      </c>
      <c r="C18" s="124" t="inlineStr">
        <is>
          <t>R$</t>
        </is>
      </c>
      <c r="D18" s="124" t="n"/>
      <c r="E18" s="124" t="n"/>
      <c r="F18" s="124" t="n"/>
      <c r="G18" s="124" t="n"/>
      <c r="H18" s="124" t="n"/>
      <c r="I18" s="124" t="n"/>
      <c r="J18" s="124" t="n">
        <v>1</v>
      </c>
      <c r="K18" s="124" t="n"/>
      <c r="L18" s="124" t="n"/>
      <c r="M18" s="124" t="n"/>
      <c r="N18" s="124" t="n"/>
      <c r="O18" s="124">
        <f>SUM(D18:J18)</f>
        <v/>
      </c>
      <c r="P18" s="738" t="n">
        <v>80000</v>
      </c>
      <c r="Q18" s="960">
        <f>P18*O18</f>
        <v/>
      </c>
    </row>
    <row r="19">
      <c r="A19" s="1561" t="inlineStr">
        <is>
          <t>Air tractor  B502</t>
        </is>
      </c>
      <c r="B19" s="120" t="inlineStr">
        <is>
          <t>Peças revisão</t>
        </is>
      </c>
      <c r="C19" s="124" t="inlineStr">
        <is>
          <t>R$</t>
        </is>
      </c>
      <c r="D19" s="124" t="n"/>
      <c r="E19" s="124" t="n"/>
      <c r="F19" s="124" t="n"/>
      <c r="G19" s="124" t="n"/>
      <c r="H19" s="124" t="n"/>
      <c r="I19" s="124" t="n"/>
      <c r="J19" s="124" t="n"/>
      <c r="K19" s="124" t="n"/>
      <c r="L19" s="124" t="n"/>
      <c r="M19" s="124" t="n"/>
      <c r="N19" s="124" t="n"/>
      <c r="O19" s="124" t="n">
        <v>1</v>
      </c>
      <c r="P19" s="738" t="n">
        <v>50000</v>
      </c>
      <c r="Q19" s="960">
        <f>P19*O19</f>
        <v/>
      </c>
    </row>
    <row r="20">
      <c r="A20" s="1561" t="inlineStr">
        <is>
          <t>Air tractor  B502</t>
        </is>
      </c>
      <c r="B20" s="120" t="inlineStr">
        <is>
          <t>Pneus dianteiro</t>
        </is>
      </c>
      <c r="C20" s="124" t="inlineStr">
        <is>
          <t>Und</t>
        </is>
      </c>
      <c r="D20" s="124" t="n">
        <v>2</v>
      </c>
      <c r="E20" s="124" t="n"/>
      <c r="F20" s="124" t="n"/>
      <c r="G20" s="124" t="n"/>
      <c r="H20" s="124" t="n"/>
      <c r="I20" s="124" t="n"/>
      <c r="J20" s="124" t="n"/>
      <c r="K20" s="124" t="n"/>
      <c r="L20" s="124" t="n"/>
      <c r="M20" s="124" t="n"/>
      <c r="N20" s="124" t="n"/>
      <c r="O20" s="124">
        <f>SUM(D20:J20)</f>
        <v/>
      </c>
      <c r="P20" s="738" t="n">
        <v>7000</v>
      </c>
      <c r="Q20" s="960">
        <f>P20*O20</f>
        <v/>
      </c>
    </row>
    <row r="21">
      <c r="A21" s="1561" t="inlineStr">
        <is>
          <t>Air tractor  B502</t>
        </is>
      </c>
      <c r="B21" s="120" t="inlineStr">
        <is>
          <t>Camara ar</t>
        </is>
      </c>
      <c r="C21" s="124" t="inlineStr">
        <is>
          <t>Und</t>
        </is>
      </c>
      <c r="D21" s="124" t="n">
        <v>2</v>
      </c>
      <c r="E21" s="124" t="n"/>
      <c r="F21" s="124" t="n"/>
      <c r="G21" s="124" t="n"/>
      <c r="H21" s="124" t="n"/>
      <c r="I21" s="124" t="n"/>
      <c r="J21" s="124" t="n"/>
      <c r="K21" s="124" t="n"/>
      <c r="L21" s="124" t="n"/>
      <c r="M21" s="124" t="n"/>
      <c r="N21" s="124" t="n"/>
      <c r="O21" s="124">
        <f>SUM(D21:J21)</f>
        <v/>
      </c>
      <c r="P21" s="738" t="n">
        <v>1600</v>
      </c>
      <c r="Q21" s="960">
        <f>P21*O21</f>
        <v/>
      </c>
      <c r="R21" s="1172" t="inlineStr">
        <is>
          <t>revisão efetuada safra 23-24</t>
        </is>
      </c>
      <c r="S21" s="1563" t="inlineStr">
        <is>
          <t>revisão efetuada safra 23-24</t>
        </is>
      </c>
      <c r="T21" s="1563" t="inlineStr">
        <is>
          <t>revisão efetuada safra 23-24</t>
        </is>
      </c>
    </row>
    <row r="22">
      <c r="A22" s="1561" t="inlineStr">
        <is>
          <t>Air tractor  B502</t>
        </is>
      </c>
      <c r="B22" s="120" t="inlineStr">
        <is>
          <t>Pneu bequilha</t>
        </is>
      </c>
      <c r="C22" s="124" t="inlineStr">
        <is>
          <t>Und</t>
        </is>
      </c>
      <c r="D22" s="124" t="n">
        <v>1</v>
      </c>
      <c r="E22" s="124" t="n"/>
      <c r="F22" s="124" t="n"/>
      <c r="G22" s="124" t="n"/>
      <c r="H22" s="124" t="n"/>
      <c r="I22" s="124" t="n"/>
      <c r="J22" s="124" t="n"/>
      <c r="K22" s="124" t="n"/>
      <c r="L22" s="124" t="n"/>
      <c r="M22" s="124" t="n"/>
      <c r="N22" s="124" t="n"/>
      <c r="O22" s="124">
        <f>SUM(D22:J22)</f>
        <v/>
      </c>
      <c r="P22" s="738" t="n">
        <v>1200</v>
      </c>
      <c r="Q22" s="960">
        <f>P22*O22</f>
        <v/>
      </c>
    </row>
    <row r="23">
      <c r="A23" s="1561" t="inlineStr">
        <is>
          <t>Air tractor  B502</t>
        </is>
      </c>
      <c r="B23" s="120" t="inlineStr">
        <is>
          <t>Camara bequilha</t>
        </is>
      </c>
      <c r="C23" s="124" t="inlineStr">
        <is>
          <t>Und</t>
        </is>
      </c>
      <c r="D23" s="124" t="n">
        <v>1</v>
      </c>
      <c r="E23" s="124" t="n"/>
      <c r="F23" s="124" t="n"/>
      <c r="G23" s="124" t="n"/>
      <c r="H23" s="124" t="n"/>
      <c r="I23" s="124" t="n"/>
      <c r="J23" s="124" t="n"/>
      <c r="K23" s="124" t="n"/>
      <c r="L23" s="124" t="n"/>
      <c r="M23" s="124" t="n"/>
      <c r="N23" s="124" t="n"/>
      <c r="O23" s="124">
        <f>SUM(D23:J23)</f>
        <v/>
      </c>
      <c r="P23" s="738" t="n">
        <v>550</v>
      </c>
      <c r="Q23" s="960">
        <f>P23*O23</f>
        <v/>
      </c>
    </row>
    <row r="24">
      <c r="A24" s="1561" t="inlineStr">
        <is>
          <t>Air tractor  B502</t>
        </is>
      </c>
      <c r="B24" s="1030" t="inlineStr">
        <is>
          <t>Revisao pós safra</t>
        </is>
      </c>
      <c r="C24" s="1031" t="n"/>
      <c r="D24" s="1031" t="n"/>
      <c r="E24" s="1031" t="n"/>
      <c r="F24" s="1031" t="n"/>
      <c r="G24" s="1031" t="n"/>
      <c r="H24" s="1031" t="n"/>
      <c r="I24" s="1031" t="n"/>
      <c r="J24" s="1031" t="n"/>
      <c r="K24" s="1031" t="n"/>
      <c r="L24" s="1031" t="n"/>
      <c r="M24" s="1031" t="n"/>
      <c r="N24" s="1031" t="n"/>
      <c r="O24" s="1031" t="n">
        <v>1</v>
      </c>
      <c r="P24" s="1032" t="n">
        <v>150000</v>
      </c>
      <c r="Q24" s="1033">
        <f>O24*P24</f>
        <v/>
      </c>
    </row>
    <row r="25">
      <c r="A25" s="1561" t="inlineStr">
        <is>
          <t>Air tractor  B502</t>
        </is>
      </c>
      <c r="B25" s="120" t="inlineStr">
        <is>
          <t>Pastilha freio</t>
        </is>
      </c>
      <c r="C25" s="120" t="inlineStr">
        <is>
          <t>Und</t>
        </is>
      </c>
      <c r="D25" s="120" t="n"/>
      <c r="E25" s="120" t="n"/>
      <c r="F25" s="120" t="n">
        <v>12</v>
      </c>
      <c r="G25" s="120" t="n"/>
      <c r="H25" s="120" t="n"/>
      <c r="I25" s="120" t="n"/>
      <c r="J25" s="120" t="n">
        <v>24</v>
      </c>
      <c r="K25" s="120" t="n"/>
      <c r="L25" s="120" t="n"/>
      <c r="M25" s="120" t="n"/>
      <c r="N25" s="120" t="n"/>
      <c r="O25" s="120">
        <f>SUM(D25:J25)</f>
        <v/>
      </c>
      <c r="P25" s="443" t="n">
        <v>75</v>
      </c>
      <c r="Q25" s="447">
        <f>P25*O25</f>
        <v/>
      </c>
    </row>
    <row r="26">
      <c r="A26" s="1561" t="inlineStr">
        <is>
          <t>Air tractor  B502</t>
        </is>
      </c>
      <c r="B26" s="120" t="inlineStr">
        <is>
          <t xml:space="preserve">Escova limpa sensor </t>
        </is>
      </c>
      <c r="C26" s="120" t="inlineStr">
        <is>
          <t>Und</t>
        </is>
      </c>
      <c r="D26" s="120" t="n"/>
      <c r="E26" s="120" t="n">
        <v>1</v>
      </c>
      <c r="F26" s="120" t="n"/>
      <c r="G26" s="120" t="n">
        <v>1</v>
      </c>
      <c r="H26" s="120" t="n"/>
      <c r="I26" s="120" t="n"/>
      <c r="J26" s="120" t="n"/>
      <c r="K26" s="120" t="n"/>
      <c r="L26" s="120" t="n"/>
      <c r="M26" s="120" t="n"/>
      <c r="N26" s="120" t="n"/>
      <c r="O26" s="120" t="n">
        <v>3</v>
      </c>
      <c r="P26" s="443" t="n">
        <v>30</v>
      </c>
      <c r="Q26" s="443" t="n">
        <v>90</v>
      </c>
    </row>
    <row r="27">
      <c r="A27" s="1561" t="inlineStr">
        <is>
          <t>Air tractor  B502</t>
        </is>
      </c>
      <c r="B27" s="1034" t="inlineStr">
        <is>
          <t>Filtro ar o par</t>
        </is>
      </c>
      <c r="C27" s="1034" t="inlineStr">
        <is>
          <t>Und</t>
        </is>
      </c>
      <c r="D27" s="1034" t="n"/>
      <c r="E27" s="1034" t="n">
        <v>2</v>
      </c>
      <c r="F27" s="1034" t="n">
        <v>2</v>
      </c>
      <c r="G27" s="1034" t="n">
        <v>2</v>
      </c>
      <c r="H27" s="1034" t="n"/>
      <c r="I27" s="1034" t="n"/>
      <c r="J27" s="1034" t="n"/>
      <c r="K27" s="1034" t="n"/>
      <c r="L27" s="1034" t="n"/>
      <c r="M27" s="1034" t="n"/>
      <c r="N27" s="1034" t="n"/>
      <c r="O27" s="1034" t="n">
        <v>6</v>
      </c>
      <c r="P27" s="1035" t="n">
        <v>380</v>
      </c>
      <c r="Q27" s="1036">
        <f>P27*O27</f>
        <v/>
      </c>
    </row>
    <row r="28">
      <c r="A28" s="1561" t="inlineStr">
        <is>
          <t>Air tractor  B502</t>
        </is>
      </c>
      <c r="B28" s="120" t="inlineStr">
        <is>
          <t>Filtro combustivel</t>
        </is>
      </c>
      <c r="C28" s="120" t="inlineStr">
        <is>
          <t>Und</t>
        </is>
      </c>
      <c r="D28" s="120" t="n">
        <v>1</v>
      </c>
      <c r="E28" s="120" t="n"/>
      <c r="F28" s="120" t="n">
        <v>1</v>
      </c>
      <c r="G28" s="120" t="n"/>
      <c r="H28" s="120" t="n"/>
      <c r="I28" s="120" t="n">
        <v>1</v>
      </c>
      <c r="J28" s="120" t="n"/>
      <c r="K28" s="120" t="n"/>
      <c r="L28" s="120" t="n"/>
      <c r="M28" s="120" t="n"/>
      <c r="N28" s="120" t="n"/>
      <c r="O28" s="120">
        <f>SUM(D28:J28)</f>
        <v/>
      </c>
      <c r="P28" s="443" t="n">
        <v>65</v>
      </c>
      <c r="Q28" s="447">
        <f>P28*O28</f>
        <v/>
      </c>
    </row>
    <row r="29">
      <c r="A29" s="1561" t="inlineStr">
        <is>
          <t>Air tractor  B502</t>
        </is>
      </c>
      <c r="B29" s="120" t="inlineStr">
        <is>
          <t>Saco de estoupa</t>
        </is>
      </c>
      <c r="C29" s="120" t="inlineStr">
        <is>
          <t>Und</t>
        </is>
      </c>
      <c r="D29" s="120" t="n">
        <v>1</v>
      </c>
      <c r="E29" s="120" t="n"/>
      <c r="F29" s="120" t="n"/>
      <c r="G29" s="120" t="n"/>
      <c r="H29" s="120" t="n"/>
      <c r="I29" s="120" t="n"/>
      <c r="J29" s="120" t="n"/>
      <c r="K29" s="120" t="n"/>
      <c r="L29" s="120" t="n"/>
      <c r="M29" s="120" t="n"/>
      <c r="N29" s="120" t="n"/>
      <c r="O29" s="120">
        <f>SUM(D29:J29)</f>
        <v/>
      </c>
      <c r="P29" s="443" t="n">
        <v>120</v>
      </c>
      <c r="Q29" s="447">
        <f>P29*O29</f>
        <v/>
      </c>
    </row>
    <row r="30">
      <c r="A30" s="1561" t="inlineStr">
        <is>
          <t>Air tractor  B502</t>
        </is>
      </c>
      <c r="B30" s="120" t="inlineStr">
        <is>
          <t>Cera para brisa</t>
        </is>
      </c>
      <c r="C30" s="120" t="inlineStr">
        <is>
          <t>Und</t>
        </is>
      </c>
      <c r="D30" s="120" t="n">
        <v>1</v>
      </c>
      <c r="E30" s="120" t="n"/>
      <c r="F30" s="120" t="n"/>
      <c r="G30" s="120" t="n"/>
      <c r="H30" s="120" t="n"/>
      <c r="I30" s="120" t="n"/>
      <c r="J30" s="120" t="n"/>
      <c r="K30" s="120" t="n"/>
      <c r="L30" s="120" t="n"/>
      <c r="M30" s="120" t="n"/>
      <c r="N30" s="120" t="n"/>
      <c r="O30" s="120">
        <f>SUM(D30:J30)</f>
        <v/>
      </c>
      <c r="P30" s="443" t="n">
        <v>230</v>
      </c>
      <c r="Q30" s="447">
        <f>P30*O30</f>
        <v/>
      </c>
    </row>
    <row r="31">
      <c r="A31" s="1561" t="inlineStr">
        <is>
          <t>Air tractor  B502</t>
        </is>
      </c>
      <c r="B31" s="425" t="inlineStr">
        <is>
          <t>Reparos bomba solução</t>
        </is>
      </c>
      <c r="C31" s="425" t="inlineStr">
        <is>
          <t>und</t>
        </is>
      </c>
      <c r="D31" s="425" t="n">
        <v>2</v>
      </c>
      <c r="E31" s="425" t="n"/>
      <c r="F31" s="425" t="n"/>
      <c r="G31" s="425" t="n"/>
      <c r="H31" s="425" t="n"/>
      <c r="I31" s="425" t="n"/>
      <c r="J31" s="425" t="n"/>
      <c r="K31" s="425" t="n"/>
      <c r="L31" s="425" t="n"/>
      <c r="M31" s="425" t="n"/>
      <c r="N31" s="425" t="n"/>
      <c r="O31" s="425" t="n">
        <v>2</v>
      </c>
      <c r="P31" s="444" t="n">
        <v>375</v>
      </c>
      <c r="Q31" s="448">
        <f>P31*O31</f>
        <v/>
      </c>
    </row>
    <row r="32">
      <c r="A32" s="1561" t="inlineStr">
        <is>
          <t>Air tractor  B502</t>
        </is>
      </c>
      <c r="B32" s="529" t="inlineStr">
        <is>
          <t>conjunto de bicos cp 11tt</t>
        </is>
      </c>
      <c r="C32" s="529" t="inlineStr">
        <is>
          <t>und</t>
        </is>
      </c>
      <c r="D32" s="529" t="n">
        <v>42</v>
      </c>
      <c r="E32" s="529" t="n"/>
      <c r="F32" s="529" t="n"/>
      <c r="G32" s="529" t="n"/>
      <c r="H32" s="529" t="n"/>
      <c r="I32" s="529" t="n"/>
      <c r="J32" s="529" t="n"/>
      <c r="K32" s="529" t="n"/>
      <c r="L32" s="529" t="n"/>
      <c r="M32" s="529" t="n"/>
      <c r="N32" s="529" t="n"/>
      <c r="O32" s="529" t="n">
        <v>42</v>
      </c>
      <c r="P32" s="965" t="n">
        <v>521.38</v>
      </c>
      <c r="Q32" s="966">
        <f>P32*O32</f>
        <v/>
      </c>
    </row>
    <row r="33">
      <c r="A33" s="1561" t="inlineStr">
        <is>
          <t>Air tractor  B502</t>
        </is>
      </c>
      <c r="B33" s="425" t="inlineStr">
        <is>
          <t xml:space="preserve">bomba eólica </t>
        </is>
      </c>
      <c r="C33" s="425" t="inlineStr">
        <is>
          <t>und</t>
        </is>
      </c>
      <c r="D33" s="425" t="n">
        <v>1</v>
      </c>
      <c r="E33" s="425" t="n"/>
      <c r="F33" s="425" t="n"/>
      <c r="G33" s="425" t="n"/>
      <c r="H33" s="425" t="n"/>
      <c r="I33" s="425" t="n"/>
      <c r="J33" s="425" t="n"/>
      <c r="K33" s="425" t="n"/>
      <c r="L33" s="425" t="n"/>
      <c r="M33" s="425" t="n"/>
      <c r="N33" s="425" t="n"/>
      <c r="O33" s="425" t="n">
        <v>1</v>
      </c>
      <c r="P33" s="444" t="n">
        <v>7156.59</v>
      </c>
      <c r="Q33" s="448">
        <f>P33*O33</f>
        <v/>
      </c>
    </row>
    <row r="34">
      <c r="A34" s="1561" t="inlineStr">
        <is>
          <t>Air tractor  B502</t>
        </is>
      </c>
      <c r="B34" s="425" t="inlineStr">
        <is>
          <t>funil inox duas curvas</t>
        </is>
      </c>
      <c r="C34" s="425" t="inlineStr">
        <is>
          <t>und</t>
        </is>
      </c>
      <c r="D34" s="425" t="n">
        <v>1</v>
      </c>
      <c r="E34" s="425" t="n"/>
      <c r="F34" s="425" t="n"/>
      <c r="G34" s="425" t="n"/>
      <c r="H34" s="425" t="n"/>
      <c r="I34" s="425" t="n"/>
      <c r="J34" s="425" t="n"/>
      <c r="K34" s="425" t="n"/>
      <c r="L34" s="425" t="n"/>
      <c r="M34" s="425" t="n"/>
      <c r="N34" s="425" t="n"/>
      <c r="O34" s="425">
        <f>SUM(D34:N34)</f>
        <v/>
      </c>
      <c r="P34" s="444" t="n">
        <v>65</v>
      </c>
      <c r="Q34" s="448">
        <f>P34*O34</f>
        <v/>
      </c>
    </row>
    <row r="35" ht="15.75" customHeight="1" s="1173" thickBot="1">
      <c r="A35" s="1561" t="inlineStr">
        <is>
          <t>Air tractor  B502</t>
        </is>
      </c>
      <c r="B35" s="528" t="inlineStr">
        <is>
          <t>Detergente neutro</t>
        </is>
      </c>
      <c r="C35" s="528" t="inlineStr">
        <is>
          <t>Und</t>
        </is>
      </c>
      <c r="D35" s="528" t="n">
        <v>36</v>
      </c>
      <c r="E35" s="445" t="n"/>
      <c r="F35" s="445" t="n"/>
      <c r="G35" s="445" t="n"/>
      <c r="H35" s="445" t="n"/>
      <c r="I35" s="445" t="n"/>
      <c r="J35" s="445" t="n"/>
      <c r="K35" s="445" t="n"/>
      <c r="L35" s="445" t="n"/>
      <c r="M35" s="445" t="n"/>
      <c r="N35" s="445" t="n"/>
      <c r="O35" s="445">
        <f>SUM(D35:J35)</f>
        <v/>
      </c>
      <c r="P35" s="446" t="n">
        <v>4</v>
      </c>
      <c r="Q35" s="449">
        <f>P35*O35</f>
        <v/>
      </c>
    </row>
    <row r="36">
      <c r="A36" s="1162" t="inlineStr">
        <is>
          <t>Acessorios de aplicação</t>
        </is>
      </c>
      <c r="B36" s="179" t="inlineStr">
        <is>
          <t>Mangueira 3 pol</t>
        </is>
      </c>
      <c r="C36" s="179" t="inlineStr">
        <is>
          <t>mt</t>
        </is>
      </c>
      <c r="D36" s="179" t="n">
        <v>20</v>
      </c>
      <c r="E36" s="120" t="n"/>
      <c r="F36" s="120" t="n"/>
      <c r="G36" s="120" t="n"/>
      <c r="H36" s="120" t="n"/>
      <c r="I36" s="120" t="n"/>
      <c r="J36" s="120" t="n"/>
      <c r="K36" s="120" t="n"/>
      <c r="L36" s="120" t="n"/>
      <c r="M36" s="120" t="n"/>
      <c r="N36" s="120" t="n"/>
      <c r="O36" s="120">
        <f>SUM(D36:J36)</f>
        <v/>
      </c>
      <c r="P36" s="443" t="n">
        <v>75</v>
      </c>
      <c r="Q36" s="447">
        <f>P36*O36</f>
        <v/>
      </c>
    </row>
    <row r="37">
      <c r="A37" s="1564" t="inlineStr">
        <is>
          <t>Acessorios de aplicação</t>
        </is>
      </c>
      <c r="B37" s="179" t="inlineStr">
        <is>
          <t>Engate rapido 3 Pol</t>
        </is>
      </c>
      <c r="C37" s="179" t="inlineStr">
        <is>
          <t>Und</t>
        </is>
      </c>
      <c r="D37" s="179" t="n">
        <v>4</v>
      </c>
      <c r="E37" s="120" t="n"/>
      <c r="F37" s="120" t="n"/>
      <c r="G37" s="120" t="n"/>
      <c r="H37" s="120" t="n"/>
      <c r="I37" s="120" t="n"/>
      <c r="J37" s="120" t="n"/>
      <c r="K37" s="120" t="n"/>
      <c r="L37" s="120" t="n"/>
      <c r="M37" s="120" t="n"/>
      <c r="N37" s="120" t="n"/>
      <c r="O37" s="120">
        <f>SUM(D37:J37)</f>
        <v/>
      </c>
      <c r="P37" s="443" t="n">
        <v>160</v>
      </c>
      <c r="Q37" s="447">
        <f>P37*O37</f>
        <v/>
      </c>
    </row>
    <row r="38">
      <c r="A38" s="1564" t="inlineStr">
        <is>
          <t>Acessorios de aplicação</t>
        </is>
      </c>
      <c r="B38" s="179" t="inlineStr">
        <is>
          <t xml:space="preserve">CADEADO </t>
        </is>
      </c>
      <c r="C38" s="179" t="inlineStr">
        <is>
          <t>Und</t>
        </is>
      </c>
      <c r="D38" s="179" t="n">
        <v>1</v>
      </c>
      <c r="E38" s="120" t="n"/>
      <c r="F38" s="120" t="n"/>
      <c r="G38" s="120" t="n"/>
      <c r="H38" s="120" t="n"/>
      <c r="I38" s="120" t="n"/>
      <c r="J38" s="120" t="n"/>
      <c r="K38" s="120" t="n"/>
      <c r="L38" s="120" t="n"/>
      <c r="M38" s="120" t="n"/>
      <c r="N38" s="120" t="n"/>
      <c r="O38" s="120" t="n">
        <v>1</v>
      </c>
      <c r="P38" s="443" t="n">
        <v>45</v>
      </c>
      <c r="Q38" s="443" t="n">
        <v>45</v>
      </c>
    </row>
    <row r="39">
      <c r="A39" s="1564" t="inlineStr">
        <is>
          <t>Acessorios de aplicação</t>
        </is>
      </c>
      <c r="B39" s="179" t="inlineStr">
        <is>
          <t>Registro 3 pol</t>
        </is>
      </c>
      <c r="C39" s="179" t="inlineStr">
        <is>
          <t>Und</t>
        </is>
      </c>
      <c r="D39" s="179" t="n">
        <v>2</v>
      </c>
      <c r="E39" s="120" t="n"/>
      <c r="F39" s="120" t="n"/>
      <c r="G39" s="120" t="n"/>
      <c r="H39" s="120" t="n"/>
      <c r="I39" s="120" t="n"/>
      <c r="J39" s="120" t="n"/>
      <c r="K39" s="120" t="n"/>
      <c r="L39" s="120" t="n"/>
      <c r="M39" s="120" t="n"/>
      <c r="N39" s="120" t="n"/>
      <c r="O39" s="120">
        <f>SUM(D39:J39)</f>
        <v/>
      </c>
      <c r="P39" s="443" t="n">
        <v>600</v>
      </c>
      <c r="Q39" s="447">
        <f>P39*O39</f>
        <v/>
      </c>
    </row>
    <row r="40">
      <c r="A40" s="1564" t="inlineStr">
        <is>
          <t>Acessorios de aplicação</t>
        </is>
      </c>
      <c r="B40" s="179" t="inlineStr">
        <is>
          <t>Mangueira 3 pol flexivel</t>
        </is>
      </c>
      <c r="C40" s="179" t="inlineStr">
        <is>
          <t>Mt</t>
        </is>
      </c>
      <c r="D40" s="179" t="n">
        <v>30</v>
      </c>
      <c r="E40" s="120" t="n"/>
      <c r="F40" s="120" t="n"/>
      <c r="G40" s="120" t="n"/>
      <c r="H40" s="120" t="n"/>
      <c r="I40" s="120" t="n"/>
      <c r="J40" s="120" t="n"/>
      <c r="K40" s="120" t="n"/>
      <c r="L40" s="120" t="n"/>
      <c r="M40" s="120" t="n"/>
      <c r="N40" s="120" t="n"/>
      <c r="O40" s="120">
        <f>SUM(D40:J40)</f>
        <v/>
      </c>
      <c r="P40" s="443" t="n">
        <v>60</v>
      </c>
      <c r="Q40" s="447">
        <f>P40*O40</f>
        <v/>
      </c>
    </row>
    <row r="41">
      <c r="A41" s="1564" t="inlineStr">
        <is>
          <t>Acessorios de aplicação</t>
        </is>
      </c>
      <c r="B41" s="179" t="inlineStr">
        <is>
          <t>Garrafa termica 3 lt</t>
        </is>
      </c>
      <c r="C41" s="179" t="inlineStr">
        <is>
          <t>Und</t>
        </is>
      </c>
      <c r="D41" s="179" t="n">
        <v>2</v>
      </c>
      <c r="E41" s="120" t="n"/>
      <c r="F41" s="120" t="n"/>
      <c r="G41" s="120" t="n"/>
      <c r="H41" s="120" t="n"/>
      <c r="I41" s="120" t="n"/>
      <c r="J41" s="120" t="n"/>
      <c r="K41" s="120" t="n"/>
      <c r="L41" s="120" t="n"/>
      <c r="M41" s="120" t="n"/>
      <c r="N41" s="120" t="n"/>
      <c r="O41" s="120">
        <f>SUM(D41:J41)</f>
        <v/>
      </c>
      <c r="P41" s="443" t="n">
        <v>60</v>
      </c>
      <c r="Q41" s="447">
        <f>P41*O41</f>
        <v/>
      </c>
    </row>
    <row r="42">
      <c r="A42" s="1564" t="inlineStr">
        <is>
          <t>Acessorios de aplicação</t>
        </is>
      </c>
      <c r="B42" s="179" t="inlineStr">
        <is>
          <t>Balde dosador  20 lt</t>
        </is>
      </c>
      <c r="C42" s="179" t="inlineStr">
        <is>
          <t>Und</t>
        </is>
      </c>
      <c r="D42" s="179" t="n">
        <v>4</v>
      </c>
      <c r="E42" s="120" t="n"/>
      <c r="F42" s="120" t="n"/>
      <c r="G42" s="120" t="n"/>
      <c r="H42" s="120" t="n"/>
      <c r="I42" s="120" t="n"/>
      <c r="J42" s="120" t="n"/>
      <c r="K42" s="120" t="n"/>
      <c r="L42" s="120" t="n"/>
      <c r="M42" s="120" t="n"/>
      <c r="N42" s="120" t="n"/>
      <c r="O42" s="120">
        <f>SUM(D42:J42)</f>
        <v/>
      </c>
      <c r="P42" s="443" t="n">
        <v>175</v>
      </c>
      <c r="Q42" s="447">
        <f>P42*O42</f>
        <v/>
      </c>
    </row>
    <row r="43">
      <c r="A43" s="1564" t="inlineStr">
        <is>
          <t>Acessorios de aplicação</t>
        </is>
      </c>
      <c r="B43" s="179" t="inlineStr">
        <is>
          <t>Balde dosador  10 lt</t>
        </is>
      </c>
      <c r="C43" s="179" t="inlineStr">
        <is>
          <t>Und</t>
        </is>
      </c>
      <c r="D43" s="179" t="n">
        <v>2</v>
      </c>
      <c r="E43" s="120" t="n"/>
      <c r="F43" s="120" t="n"/>
      <c r="G43" s="120" t="n"/>
      <c r="H43" s="120" t="n"/>
      <c r="I43" s="120" t="n"/>
      <c r="J43" s="120" t="n"/>
      <c r="K43" s="120" t="n"/>
      <c r="L43" s="120" t="n"/>
      <c r="M43" s="120" t="n"/>
      <c r="N43" s="120" t="n"/>
      <c r="O43" s="120">
        <f>SUM(D43:J43)</f>
        <v/>
      </c>
      <c r="P43" s="443" t="n">
        <v>75</v>
      </c>
      <c r="Q43" s="447">
        <f>P43*O43</f>
        <v/>
      </c>
    </row>
    <row r="44">
      <c r="A44" s="1564" t="inlineStr">
        <is>
          <t>Acessorios de aplicação</t>
        </is>
      </c>
      <c r="B44" s="179" t="inlineStr">
        <is>
          <t>Registro 2pol</t>
        </is>
      </c>
      <c r="C44" s="179" t="inlineStr">
        <is>
          <t>Und</t>
        </is>
      </c>
      <c r="D44" s="179" t="n">
        <v>4</v>
      </c>
      <c r="E44" s="120" t="n"/>
      <c r="F44" s="120" t="n"/>
      <c r="G44" s="120" t="n"/>
      <c r="H44" s="120" t="n"/>
      <c r="I44" s="120" t="n"/>
      <c r="J44" s="120" t="n"/>
      <c r="K44" s="120" t="n"/>
      <c r="L44" s="120" t="n"/>
      <c r="M44" s="120" t="n"/>
      <c r="N44" s="120" t="n"/>
      <c r="O44" s="120">
        <f>SUM(D44:J44)</f>
        <v/>
      </c>
      <c r="P44" s="443" t="n">
        <v>230</v>
      </c>
      <c r="Q44" s="447">
        <f>P44*O44</f>
        <v/>
      </c>
    </row>
    <row r="45">
      <c r="A45" s="1564" t="inlineStr">
        <is>
          <t>Acessorios de aplicação</t>
        </is>
      </c>
      <c r="B45" s="179" t="inlineStr">
        <is>
          <t>Mangueira 2 pol</t>
        </is>
      </c>
      <c r="C45" s="179" t="inlineStr">
        <is>
          <t>Mt</t>
        </is>
      </c>
      <c r="D45" s="179" t="n">
        <v>10</v>
      </c>
      <c r="E45" s="120" t="n"/>
      <c r="F45" s="120" t="n"/>
      <c r="G45" s="120" t="n"/>
      <c r="H45" s="120" t="n"/>
      <c r="I45" s="120" t="n"/>
      <c r="J45" s="120" t="n"/>
      <c r="K45" s="120" t="n"/>
      <c r="L45" s="120" t="n"/>
      <c r="M45" s="120" t="n"/>
      <c r="N45" s="120" t="n"/>
      <c r="O45" s="120">
        <f>SUM(D45:J45)</f>
        <v/>
      </c>
      <c r="P45" s="443" t="n">
        <v>25</v>
      </c>
      <c r="Q45" s="447">
        <f>P45*O45</f>
        <v/>
      </c>
    </row>
    <row r="46">
      <c r="A46" s="1564" t="inlineStr">
        <is>
          <t>Acessorios de aplicação</t>
        </is>
      </c>
      <c r="B46" s="179" t="inlineStr">
        <is>
          <t>Magueira  1Pol</t>
        </is>
      </c>
      <c r="C46" s="179" t="inlineStr">
        <is>
          <t>Mt</t>
        </is>
      </c>
      <c r="D46" s="179" t="n">
        <v>15</v>
      </c>
      <c r="E46" s="120" t="n"/>
      <c r="F46" s="120" t="n"/>
      <c r="G46" s="120" t="n"/>
      <c r="H46" s="120" t="n"/>
      <c r="I46" s="120" t="n"/>
      <c r="J46" s="120" t="n"/>
      <c r="K46" s="120" t="n"/>
      <c r="L46" s="120" t="n"/>
      <c r="M46" s="120" t="n"/>
      <c r="N46" s="120" t="n"/>
      <c r="O46" s="120">
        <f>SUM(D46:J46)</f>
        <v/>
      </c>
      <c r="P46" s="443" t="n">
        <v>25</v>
      </c>
      <c r="Q46" s="447">
        <f>P46*O46</f>
        <v/>
      </c>
    </row>
    <row r="47">
      <c r="A47" s="1564" t="inlineStr">
        <is>
          <t>Acessorios de aplicação</t>
        </is>
      </c>
      <c r="B47" s="179" t="inlineStr">
        <is>
          <t>Registro 1 pol</t>
        </is>
      </c>
      <c r="C47" s="179" t="inlineStr">
        <is>
          <t>Und</t>
        </is>
      </c>
      <c r="D47" s="179" t="n">
        <v>4</v>
      </c>
      <c r="E47" s="120" t="n"/>
      <c r="F47" s="120" t="n"/>
      <c r="G47" s="120" t="n"/>
      <c r="H47" s="120" t="n"/>
      <c r="I47" s="120" t="n"/>
      <c r="J47" s="120" t="n"/>
      <c r="K47" s="120" t="n"/>
      <c r="L47" s="120" t="n"/>
      <c r="M47" s="120" t="n"/>
      <c r="N47" s="120" t="n"/>
      <c r="O47" s="120">
        <f>SUM(D47:J47)</f>
        <v/>
      </c>
      <c r="P47" s="443" t="n">
        <v>120</v>
      </c>
      <c r="Q47" s="447">
        <f>P47*O47</f>
        <v/>
      </c>
    </row>
    <row r="48">
      <c r="A48" s="1564" t="inlineStr">
        <is>
          <t>Acessorios de aplicação</t>
        </is>
      </c>
      <c r="B48" s="179" t="inlineStr">
        <is>
          <t>Pincel para quadro branco</t>
        </is>
      </c>
      <c r="C48" s="179" t="inlineStr">
        <is>
          <t>uind</t>
        </is>
      </c>
      <c r="D48" s="179" t="n">
        <v>8</v>
      </c>
      <c r="E48" s="120" t="n"/>
      <c r="F48" s="120" t="n"/>
      <c r="G48" s="120" t="n"/>
      <c r="H48" s="120" t="n"/>
      <c r="I48" s="120" t="n"/>
      <c r="J48" s="120" t="n"/>
      <c r="K48" s="120" t="n"/>
      <c r="L48" s="120" t="n"/>
      <c r="M48" s="120" t="n"/>
      <c r="N48" s="120" t="n"/>
      <c r="O48" s="120">
        <f>SUM(D48:J48)</f>
        <v/>
      </c>
      <c r="P48" s="443" t="n">
        <v>8.9</v>
      </c>
      <c r="Q48" s="447">
        <f>P48*O48</f>
        <v/>
      </c>
    </row>
    <row r="49">
      <c r="A49" s="1564" t="inlineStr">
        <is>
          <t>Acessorios de aplicação</t>
        </is>
      </c>
      <c r="B49" s="179" t="inlineStr">
        <is>
          <t>Caixa caneta bic</t>
        </is>
      </c>
      <c r="C49" s="179" t="inlineStr">
        <is>
          <t>uind</t>
        </is>
      </c>
      <c r="D49" s="179" t="n">
        <v>1</v>
      </c>
      <c r="E49" s="120" t="n"/>
      <c r="F49" s="120" t="n"/>
      <c r="G49" s="120" t="n"/>
      <c r="H49" s="120" t="n"/>
      <c r="I49" s="120" t="n"/>
      <c r="J49" s="120" t="n"/>
      <c r="K49" s="120" t="n"/>
      <c r="L49" s="120" t="n"/>
      <c r="M49" s="120" t="n"/>
      <c r="N49" s="120" t="n"/>
      <c r="O49" s="120">
        <f>SUM(D49:J49)</f>
        <v/>
      </c>
      <c r="P49" s="443" t="n">
        <v>32</v>
      </c>
      <c r="Q49" s="447">
        <f>P49*O49</f>
        <v/>
      </c>
    </row>
    <row r="50">
      <c r="A50" s="1564" t="inlineStr">
        <is>
          <t>Acessorios de aplicação</t>
        </is>
      </c>
      <c r="B50" s="179" t="inlineStr">
        <is>
          <t xml:space="preserve">Canivete </t>
        </is>
      </c>
      <c r="C50" s="179" t="inlineStr">
        <is>
          <t>Und</t>
        </is>
      </c>
      <c r="D50" s="179" t="n">
        <v>3</v>
      </c>
      <c r="E50" s="120" t="n"/>
      <c r="F50" s="120" t="n"/>
      <c r="G50" s="120" t="n"/>
      <c r="H50" s="120" t="n"/>
      <c r="I50" s="120" t="n"/>
      <c r="J50" s="120" t="n"/>
      <c r="K50" s="120" t="n"/>
      <c r="L50" s="120" t="n"/>
      <c r="M50" s="120" t="n"/>
      <c r="N50" s="120" t="n"/>
      <c r="O50" s="120">
        <f>SUM(D50:J50)</f>
        <v/>
      </c>
      <c r="P50" s="443" t="n">
        <v>20</v>
      </c>
      <c r="Q50" s="447">
        <f>P50*O50</f>
        <v/>
      </c>
    </row>
    <row r="51">
      <c r="A51" s="1564" t="inlineStr">
        <is>
          <t>Acessorios de aplicação</t>
        </is>
      </c>
      <c r="B51" s="179" t="inlineStr">
        <is>
          <t>Bateria 150 amperes</t>
        </is>
      </c>
      <c r="C51" s="179" t="inlineStr">
        <is>
          <t>Und</t>
        </is>
      </c>
      <c r="D51" s="179" t="n">
        <v>2</v>
      </c>
      <c r="E51" s="120" t="n"/>
      <c r="F51" s="120" t="n"/>
      <c r="G51" s="120" t="n"/>
      <c r="H51" s="120" t="n"/>
      <c r="I51" s="120" t="n"/>
      <c r="J51" s="120" t="n"/>
      <c r="K51" s="120" t="n"/>
      <c r="L51" s="120" t="n"/>
      <c r="M51" s="120" t="n"/>
      <c r="N51" s="120" t="n"/>
      <c r="O51" s="120" t="n">
        <v>2</v>
      </c>
      <c r="P51" s="443" t="n">
        <v>1000</v>
      </c>
      <c r="Q51" s="447">
        <f>P51*O51</f>
        <v/>
      </c>
    </row>
    <row r="52">
      <c r="A52" s="1564" t="inlineStr">
        <is>
          <t>Acessorios de aplicação</t>
        </is>
      </c>
      <c r="B52" s="529" t="inlineStr">
        <is>
          <t>Pre mistura 800L</t>
        </is>
      </c>
      <c r="C52" s="529" t="inlineStr">
        <is>
          <t>UND</t>
        </is>
      </c>
      <c r="D52" s="529" t="n">
        <v>1</v>
      </c>
      <c r="E52" s="425" t="n"/>
      <c r="F52" s="425" t="n"/>
      <c r="G52" s="425" t="n"/>
      <c r="H52" s="425" t="n"/>
      <c r="I52" s="425" t="n"/>
      <c r="J52" s="425" t="n"/>
      <c r="K52" s="425" t="n"/>
      <c r="L52" s="425" t="n"/>
      <c r="M52" s="425" t="n"/>
      <c r="N52" s="425" t="n"/>
      <c r="O52" s="425">
        <f>SUM(D52:J52)</f>
        <v/>
      </c>
      <c r="P52" s="444" t="n">
        <v>12000</v>
      </c>
      <c r="Q52" s="448">
        <f>P52*O52</f>
        <v/>
      </c>
    </row>
    <row r="53">
      <c r="A53" s="1564" t="inlineStr">
        <is>
          <t>Acessorios de aplicação</t>
        </is>
      </c>
      <c r="B53" s="529" t="inlineStr">
        <is>
          <t>Moto bomba 2 tempo</t>
        </is>
      </c>
      <c r="C53" s="529" t="inlineStr">
        <is>
          <t>UND</t>
        </is>
      </c>
      <c r="D53" s="529" t="n">
        <v>1</v>
      </c>
      <c r="E53" s="425" t="n"/>
      <c r="F53" s="425" t="n"/>
      <c r="G53" s="425" t="n"/>
      <c r="H53" s="425" t="n"/>
      <c r="I53" s="425" t="n"/>
      <c r="J53" s="425" t="n"/>
      <c r="K53" s="425" t="n"/>
      <c r="L53" s="425" t="n"/>
      <c r="M53" s="425" t="n"/>
      <c r="N53" s="425" t="n"/>
      <c r="O53" s="425" t="n">
        <v>1</v>
      </c>
      <c r="P53" s="444" t="n">
        <v>1400</v>
      </c>
      <c r="Q53" s="444">
        <f>O53*P53</f>
        <v/>
      </c>
    </row>
    <row r="54" ht="15.75" customHeight="1" s="1173" thickBot="1">
      <c r="A54" s="1564" t="inlineStr">
        <is>
          <t>Acessorios de aplicação</t>
        </is>
      </c>
      <c r="B54" s="528" t="inlineStr">
        <is>
          <t>1 moto bomba</t>
        </is>
      </c>
      <c r="C54" s="528" t="inlineStr">
        <is>
          <t>Und</t>
        </is>
      </c>
      <c r="D54" s="528" t="n">
        <v>1</v>
      </c>
      <c r="E54" s="445" t="n"/>
      <c r="F54" s="445" t="n"/>
      <c r="G54" s="445" t="n"/>
      <c r="H54" s="445" t="n"/>
      <c r="I54" s="445" t="n"/>
      <c r="J54" s="445" t="n"/>
      <c r="K54" s="445" t="n"/>
      <c r="L54" s="445" t="n"/>
      <c r="M54" s="445" t="n"/>
      <c r="N54" s="445" t="n"/>
      <c r="O54" s="445" t="n">
        <v>1</v>
      </c>
      <c r="P54" s="446" t="n">
        <v>4000</v>
      </c>
      <c r="Q54" s="449" t="n">
        <v>4000</v>
      </c>
    </row>
    <row r="55">
      <c r="A55" s="685" t="inlineStr">
        <is>
          <t>F4000 simples</t>
        </is>
      </c>
      <c r="B55" s="1037" t="inlineStr">
        <is>
          <t>Area trabalhada</t>
        </is>
      </c>
      <c r="C55" s="1037" t="inlineStr">
        <is>
          <t>Km</t>
        </is>
      </c>
      <c r="D55" s="1037" t="n">
        <v>5000</v>
      </c>
      <c r="E55" s="450" t="n">
        <v>6000</v>
      </c>
      <c r="F55" s="450" t="n">
        <v>6000</v>
      </c>
      <c r="G55" s="450" t="n">
        <v>6000</v>
      </c>
      <c r="H55" s="450" t="n">
        <v>6000</v>
      </c>
      <c r="I55" s="450" t="n">
        <v>4000</v>
      </c>
      <c r="J55" s="450" t="n"/>
      <c r="K55" s="450" t="n"/>
      <c r="L55" s="450" t="n"/>
      <c r="M55" s="450" t="n"/>
      <c r="N55" s="450" t="n"/>
      <c r="O55" s="450">
        <f>SUM(D55:J55)</f>
        <v/>
      </c>
      <c r="P55" s="451" t="n"/>
      <c r="Q55" s="452" t="n"/>
    </row>
    <row r="56">
      <c r="A56" s="1565" t="inlineStr">
        <is>
          <t>F4000 simples</t>
        </is>
      </c>
      <c r="B56" s="179" t="inlineStr">
        <is>
          <t>Dissell</t>
        </is>
      </c>
      <c r="C56" s="179" t="inlineStr">
        <is>
          <t>Lt</t>
        </is>
      </c>
      <c r="D56" s="179">
        <f>D55/8</f>
        <v/>
      </c>
      <c r="E56" s="120">
        <f>E55/8</f>
        <v/>
      </c>
      <c r="F56" s="120">
        <f>F55/8</f>
        <v/>
      </c>
      <c r="G56" s="120">
        <f>G55/8</f>
        <v/>
      </c>
      <c r="H56" s="120">
        <f>H55/8</f>
        <v/>
      </c>
      <c r="I56" s="120">
        <f>I55/8</f>
        <v/>
      </c>
      <c r="J56" s="120">
        <f>J55/8</f>
        <v/>
      </c>
      <c r="K56" s="120" t="n"/>
      <c r="L56" s="120" t="n"/>
      <c r="M56" s="120" t="n"/>
      <c r="N56" s="120" t="n"/>
      <c r="O56" s="179">
        <f>SUM(D56:J56)</f>
        <v/>
      </c>
      <c r="P56" s="443" t="n">
        <v>5.8</v>
      </c>
      <c r="Q56" s="447">
        <f>P56*O56</f>
        <v/>
      </c>
    </row>
    <row r="57">
      <c r="A57" s="1565" t="inlineStr">
        <is>
          <t>F4000 simples</t>
        </is>
      </c>
      <c r="B57" s="179" t="inlineStr">
        <is>
          <t>Oleo 15w40 Motor</t>
        </is>
      </c>
      <c r="C57" s="179" t="inlineStr">
        <is>
          <t>Lt</t>
        </is>
      </c>
      <c r="D57" s="179" t="n">
        <v>10</v>
      </c>
      <c r="E57" s="120" t="n">
        <v>3</v>
      </c>
      <c r="F57" s="120" t="n">
        <v>10</v>
      </c>
      <c r="G57" s="120" t="n">
        <v>3</v>
      </c>
      <c r="H57" s="120" t="n">
        <v>10</v>
      </c>
      <c r="I57" s="120" t="n"/>
      <c r="J57" s="120" t="n"/>
      <c r="K57" s="120" t="n"/>
      <c r="L57" s="120" t="n"/>
      <c r="M57" s="120" t="n"/>
      <c r="N57" s="120" t="n"/>
      <c r="O57" s="120">
        <f>SUM(D57:J57)</f>
        <v/>
      </c>
      <c r="P57" s="443" t="n">
        <v>25</v>
      </c>
      <c r="Q57" s="447">
        <f>P57*O57</f>
        <v/>
      </c>
    </row>
    <row r="58">
      <c r="A58" s="1565" t="inlineStr">
        <is>
          <t>F4000 simples</t>
        </is>
      </c>
      <c r="B58" s="179" t="inlineStr">
        <is>
          <t>Oleo 15w40 Transmisão</t>
        </is>
      </c>
      <c r="C58" s="179" t="inlineStr">
        <is>
          <t>Lt</t>
        </is>
      </c>
      <c r="D58" s="179" t="n"/>
      <c r="E58" s="120" t="n"/>
      <c r="F58" s="120" t="n"/>
      <c r="G58" s="120" t="n"/>
      <c r="H58" s="120" t="n"/>
      <c r="I58" s="120" t="n"/>
      <c r="J58" s="120" t="n"/>
      <c r="K58" s="120" t="n"/>
      <c r="L58" s="120" t="n"/>
      <c r="M58" s="120" t="n"/>
      <c r="N58" s="120" t="n"/>
      <c r="O58" s="120" t="n"/>
      <c r="P58" s="443" t="n"/>
      <c r="Q58" s="447">
        <f>P58*O58</f>
        <v/>
      </c>
    </row>
    <row r="59">
      <c r="A59" s="1565" t="inlineStr">
        <is>
          <t>F4000 simples</t>
        </is>
      </c>
      <c r="B59" s="179" t="inlineStr">
        <is>
          <t>Graxa</t>
        </is>
      </c>
      <c r="C59" s="179" t="inlineStr">
        <is>
          <t>Kg</t>
        </is>
      </c>
      <c r="D59" s="179" t="n">
        <v>5</v>
      </c>
      <c r="E59" s="120" t="n">
        <v>5</v>
      </c>
      <c r="F59" s="120" t="n">
        <v>5</v>
      </c>
      <c r="G59" s="120" t="n">
        <v>5</v>
      </c>
      <c r="H59" s="120" t="n">
        <v>5</v>
      </c>
      <c r="I59" s="120" t="n">
        <v>5</v>
      </c>
      <c r="J59" s="120" t="n"/>
      <c r="K59" s="120" t="n"/>
      <c r="L59" s="120" t="n"/>
      <c r="M59" s="120" t="n"/>
      <c r="N59" s="120" t="n"/>
      <c r="O59" s="120">
        <f>SUM(D59:J59)</f>
        <v/>
      </c>
      <c r="P59" s="443" t="n">
        <v>40</v>
      </c>
      <c r="Q59" s="447">
        <f>P59*O59</f>
        <v/>
      </c>
    </row>
    <row r="60">
      <c r="A60" s="1565" t="inlineStr">
        <is>
          <t>F4000 simples</t>
        </is>
      </c>
      <c r="B60" s="179" t="inlineStr">
        <is>
          <t>Manguiera 1 pol gasolina</t>
        </is>
      </c>
      <c r="C60" s="179" t="inlineStr">
        <is>
          <t>Mt</t>
        </is>
      </c>
      <c r="D60" s="179" t="n">
        <v>10</v>
      </c>
      <c r="E60" s="120" t="n"/>
      <c r="F60" s="120" t="n"/>
      <c r="G60" s="120" t="n"/>
      <c r="H60" s="120" t="n"/>
      <c r="I60" s="120" t="n"/>
      <c r="J60" s="120" t="n"/>
      <c r="K60" s="120" t="n"/>
      <c r="L60" s="120" t="n"/>
      <c r="M60" s="120" t="n"/>
      <c r="N60" s="120" t="n"/>
      <c r="O60" s="120">
        <f>SUM(D60:J60)</f>
        <v/>
      </c>
      <c r="P60" s="443" t="n">
        <v>70</v>
      </c>
      <c r="Q60" s="447">
        <f>P60*O60</f>
        <v/>
      </c>
    </row>
    <row r="61">
      <c r="A61" s="1565" t="inlineStr">
        <is>
          <t>F4000 simples</t>
        </is>
      </c>
      <c r="B61" s="179" t="inlineStr">
        <is>
          <t>Bomba abastecimento</t>
        </is>
      </c>
      <c r="C61" s="179" t="inlineStr">
        <is>
          <t>Und</t>
        </is>
      </c>
      <c r="D61" s="179" t="n">
        <v>1</v>
      </c>
      <c r="E61" s="120" t="n"/>
      <c r="F61" s="120" t="n"/>
      <c r="G61" s="120" t="n"/>
      <c r="H61" s="120" t="n"/>
      <c r="I61" s="120" t="n"/>
      <c r="J61" s="120" t="n"/>
      <c r="K61" s="120" t="n"/>
      <c r="L61" s="120" t="n"/>
      <c r="M61" s="120" t="n"/>
      <c r="N61" s="120" t="n"/>
      <c r="O61" s="120">
        <f>SUM(D61:J61)</f>
        <v/>
      </c>
      <c r="P61" s="443" t="n">
        <v>1500</v>
      </c>
      <c r="Q61" s="447">
        <f>P61*O61</f>
        <v/>
      </c>
    </row>
    <row r="62">
      <c r="A62" s="1565" t="inlineStr">
        <is>
          <t>F4000 simples</t>
        </is>
      </c>
      <c r="B62" s="179" t="inlineStr">
        <is>
          <t>Pistola de Abastecimento</t>
        </is>
      </c>
      <c r="C62" s="179" t="inlineStr">
        <is>
          <t>Und</t>
        </is>
      </c>
      <c r="D62" s="179" t="n">
        <v>1</v>
      </c>
      <c r="E62" s="120" t="n"/>
      <c r="F62" s="120" t="n"/>
      <c r="G62" s="120" t="n"/>
      <c r="H62" s="120" t="n"/>
      <c r="I62" s="120" t="n"/>
      <c r="J62" s="120" t="n"/>
      <c r="K62" s="120" t="n"/>
      <c r="L62" s="120" t="n"/>
      <c r="M62" s="120" t="n"/>
      <c r="N62" s="120" t="n"/>
      <c r="O62" s="120">
        <f>SUM(D62:J62)</f>
        <v/>
      </c>
      <c r="P62" s="443" t="n">
        <v>160</v>
      </c>
      <c r="Q62" s="447">
        <f>P62*O62</f>
        <v/>
      </c>
    </row>
    <row r="63">
      <c r="A63" s="1565" t="inlineStr">
        <is>
          <t>F4000 simples</t>
        </is>
      </c>
      <c r="B63" s="179" t="inlineStr">
        <is>
          <t>Bateria 150 amperes</t>
        </is>
      </c>
      <c r="C63" s="179" t="inlineStr">
        <is>
          <t>Und</t>
        </is>
      </c>
      <c r="D63" s="179" t="n">
        <v>2</v>
      </c>
      <c r="E63" s="120" t="n"/>
      <c r="F63" s="120" t="n"/>
      <c r="G63" s="120" t="n"/>
      <c r="H63" s="120" t="n"/>
      <c r="I63" s="120" t="n"/>
      <c r="J63" s="120" t="n"/>
      <c r="K63" s="120" t="n"/>
      <c r="L63" s="120" t="n"/>
      <c r="M63" s="120" t="n"/>
      <c r="N63" s="120" t="n"/>
      <c r="O63" s="120">
        <f>SUM(D63:J63)</f>
        <v/>
      </c>
      <c r="P63" s="443" t="n">
        <v>1500</v>
      </c>
      <c r="Q63" s="447">
        <f>P63*O63</f>
        <v/>
      </c>
    </row>
    <row r="64">
      <c r="A64" s="1565" t="inlineStr">
        <is>
          <t>F4000 simples</t>
        </is>
      </c>
      <c r="B64" s="529" t="inlineStr">
        <is>
          <t>filtro de querosene</t>
        </is>
      </c>
      <c r="C64" s="529" t="inlineStr">
        <is>
          <t>unid</t>
        </is>
      </c>
      <c r="D64" s="529" t="n">
        <v>2</v>
      </c>
      <c r="E64" s="425" t="n">
        <v>2</v>
      </c>
      <c r="F64" s="425" t="n">
        <v>2</v>
      </c>
      <c r="G64" s="425" t="n">
        <v>2</v>
      </c>
      <c r="H64" s="425" t="n"/>
      <c r="I64" s="425" t="n"/>
      <c r="J64" s="425" t="n"/>
      <c r="K64" s="425" t="n"/>
      <c r="L64" s="425" t="n"/>
      <c r="M64" s="425" t="n"/>
      <c r="N64" s="425" t="n"/>
      <c r="O64" s="425">
        <f>SUM(D64:J64)</f>
        <v/>
      </c>
      <c r="P64" s="444" t="n">
        <v>25</v>
      </c>
      <c r="Q64" s="448">
        <f>P64*O64</f>
        <v/>
      </c>
    </row>
    <row r="65" ht="15.75" customHeight="1" s="1173" thickBot="1">
      <c r="A65" s="1565" t="inlineStr">
        <is>
          <t>F4000 simples</t>
        </is>
      </c>
      <c r="B65" s="528" t="inlineStr">
        <is>
          <t>bomba para graxa manual 7kg</t>
        </is>
      </c>
      <c r="C65" s="528" t="inlineStr">
        <is>
          <t>R$</t>
        </is>
      </c>
      <c r="D65" s="528" t="n">
        <v>1</v>
      </c>
      <c r="E65" s="445" t="n"/>
      <c r="F65" s="445" t="n"/>
      <c r="G65" s="445" t="n"/>
      <c r="H65" s="445" t="n"/>
      <c r="I65" s="445" t="n"/>
      <c r="J65" s="445" t="n"/>
      <c r="K65" s="445" t="n"/>
      <c r="L65" s="445" t="n"/>
      <c r="M65" s="445" t="n"/>
      <c r="N65" s="445" t="n"/>
      <c r="O65" s="445" t="n">
        <v>1</v>
      </c>
      <c r="P65" s="446" t="n">
        <v>499</v>
      </c>
      <c r="Q65" s="449" t="n">
        <v>499</v>
      </c>
    </row>
    <row r="66" ht="15.75" customHeight="1" s="1173" thickBot="1">
      <c r="A66" s="685" t="inlineStr">
        <is>
          <t>Enpilhadeira</t>
        </is>
      </c>
      <c r="B66" s="1038" t="inlineStr">
        <is>
          <t>Gas</t>
        </is>
      </c>
      <c r="C66" s="1038" t="inlineStr">
        <is>
          <t>Und</t>
        </is>
      </c>
      <c r="D66" s="1038" t="n">
        <v>1</v>
      </c>
      <c r="E66" s="453" t="n">
        <v>2</v>
      </c>
      <c r="F66" s="453" t="n">
        <v>1</v>
      </c>
      <c r="G66" s="453" t="n">
        <v>1</v>
      </c>
      <c r="H66" s="453" t="n"/>
      <c r="I66" s="453" t="n"/>
      <c r="J66" s="453" t="n"/>
      <c r="K66" s="453" t="n"/>
      <c r="L66" s="453" t="n"/>
      <c r="M66" s="453" t="n"/>
      <c r="N66" s="453" t="n"/>
      <c r="O66" s="453">
        <f>SUM(D66:N66)</f>
        <v/>
      </c>
      <c r="P66" s="454" t="n">
        <v>250</v>
      </c>
      <c r="Q66" s="455">
        <f>P66*O66</f>
        <v/>
      </c>
    </row>
    <row r="67" ht="15.75" customHeight="1" s="1173" thickBot="1">
      <c r="A67" s="1168" t="inlineStr">
        <is>
          <t>Equipe</t>
        </is>
      </c>
      <c r="B67" s="1037" t="inlineStr">
        <is>
          <t>Papel sensível</t>
        </is>
      </c>
      <c r="C67" s="1037" t="inlineStr">
        <is>
          <t>Pac</t>
        </is>
      </c>
      <c r="D67" s="1037" t="n">
        <v>1</v>
      </c>
      <c r="E67" s="450" t="n"/>
      <c r="F67" s="450" t="n"/>
      <c r="G67" s="450" t="n"/>
      <c r="H67" s="450" t="n"/>
      <c r="I67" s="450" t="n"/>
      <c r="J67" s="450" t="n"/>
      <c r="K67" s="450" t="n"/>
      <c r="L67" s="450" t="n"/>
      <c r="M67" s="450" t="n"/>
      <c r="N67" s="450" t="n"/>
      <c r="O67" s="450">
        <f>SUM(D67:N67)</f>
        <v/>
      </c>
      <c r="P67" s="451" t="n">
        <v>280</v>
      </c>
      <c r="Q67" s="452">
        <f>P67*O67</f>
        <v/>
      </c>
    </row>
    <row r="68">
      <c r="A68" s="1566" t="inlineStr">
        <is>
          <t>Equipe</t>
        </is>
      </c>
      <c r="B68" s="1039" t="inlineStr">
        <is>
          <t>Facao</t>
        </is>
      </c>
      <c r="C68" s="1039" t="inlineStr">
        <is>
          <t>und</t>
        </is>
      </c>
      <c r="D68" s="1039" t="n">
        <v>2</v>
      </c>
      <c r="E68" s="417" t="n"/>
      <c r="F68" s="417" t="n"/>
      <c r="G68" s="417" t="n"/>
      <c r="H68" s="417" t="n"/>
      <c r="I68" s="417" t="n"/>
      <c r="J68" s="417" t="n"/>
      <c r="K68" s="417" t="n"/>
      <c r="L68" s="417" t="n"/>
      <c r="M68" s="417" t="n"/>
      <c r="N68" s="417" t="n"/>
      <c r="O68" s="417" t="n">
        <v>2</v>
      </c>
      <c r="P68" s="686" t="n">
        <v>45</v>
      </c>
      <c r="Q68" s="452">
        <f>P68*O68</f>
        <v/>
      </c>
    </row>
    <row r="69" ht="15.75" customHeight="1" s="1173" thickBot="1">
      <c r="A69" s="1566" t="inlineStr">
        <is>
          <t>Equipe</t>
        </is>
      </c>
      <c r="B69" s="528" t="inlineStr">
        <is>
          <t>Papel medir ph</t>
        </is>
      </c>
      <c r="C69" s="528" t="inlineStr">
        <is>
          <t>Pac</t>
        </is>
      </c>
      <c r="D69" s="528" t="n">
        <v>2</v>
      </c>
      <c r="E69" s="445" t="n"/>
      <c r="F69" s="445" t="n"/>
      <c r="G69" s="445" t="n"/>
      <c r="H69" s="445" t="n"/>
      <c r="I69" s="445" t="n"/>
      <c r="J69" s="445" t="n"/>
      <c r="K69" s="445" t="n"/>
      <c r="L69" s="445" t="n"/>
      <c r="M69" s="445" t="n"/>
      <c r="N69" s="445" t="n"/>
      <c r="O69" s="445">
        <f>SUM(D69:N69)</f>
        <v/>
      </c>
      <c r="P69" s="446" t="n">
        <v>100</v>
      </c>
      <c r="Q69" s="449">
        <f>P69*O69</f>
        <v/>
      </c>
    </row>
    <row r="70">
      <c r="A70" s="1168" t="inlineStr">
        <is>
          <t>Funcionarios Salarios</t>
        </is>
      </c>
      <c r="B70" s="1037" t="inlineStr">
        <is>
          <t>Vagner vazao 20</t>
        </is>
      </c>
      <c r="C70" s="1037" t="inlineStr">
        <is>
          <t>R$</t>
        </is>
      </c>
      <c r="D70" s="1037" t="n"/>
      <c r="E70" s="967" t="n"/>
      <c r="F70" s="967" t="n"/>
      <c r="G70" s="967" t="n"/>
      <c r="H70" s="967" t="n"/>
      <c r="I70" s="967" t="n"/>
      <c r="J70" s="967" t="n"/>
      <c r="K70" s="967" t="n"/>
      <c r="L70" s="967" t="n"/>
      <c r="M70" s="967" t="n"/>
      <c r="N70" s="967" t="n"/>
      <c r="O70" s="1040" t="n">
        <v>87736</v>
      </c>
      <c r="P70" s="968" t="n">
        <v>4.2</v>
      </c>
      <c r="Q70" s="452">
        <f>O70*P70</f>
        <v/>
      </c>
    </row>
    <row r="71">
      <c r="A71" s="1566" t="inlineStr">
        <is>
          <t>Funcionarios Salarios</t>
        </is>
      </c>
      <c r="B71" s="179" t="inlineStr">
        <is>
          <t>Vagner vazao 30</t>
        </is>
      </c>
      <c r="C71" s="179" t="inlineStr">
        <is>
          <t>R$</t>
        </is>
      </c>
      <c r="D71" s="179" t="n"/>
      <c r="E71" s="120" t="n"/>
      <c r="F71" s="120">
        <f>3.75*F7</f>
        <v/>
      </c>
      <c r="G71" s="120">
        <f>3.75*G7</f>
        <v/>
      </c>
      <c r="H71" s="120" t="n"/>
      <c r="I71" s="120" t="n"/>
      <c r="J71" s="120" t="n"/>
      <c r="K71" s="120" t="n"/>
      <c r="L71" s="120" t="n"/>
      <c r="M71" s="120" t="n"/>
      <c r="N71" s="120" t="n"/>
      <c r="O71" s="120" t="n"/>
      <c r="P71" s="443" t="n"/>
      <c r="Q71" s="447">
        <f>SUM(F71:P71)</f>
        <v/>
      </c>
    </row>
    <row r="72">
      <c r="A72" s="1566" t="inlineStr">
        <is>
          <t>Funcionarios Salarios</t>
        </is>
      </c>
      <c r="B72" s="179" t="inlineStr">
        <is>
          <t>Vagner solidos</t>
        </is>
      </c>
      <c r="C72" s="179" t="inlineStr">
        <is>
          <t>R$</t>
        </is>
      </c>
      <c r="D72" s="179" t="n"/>
      <c r="E72" s="120" t="n"/>
      <c r="F72" s="120" t="n"/>
      <c r="G72" s="120" t="n"/>
      <c r="H72" s="120" t="n"/>
      <c r="I72" s="120" t="n"/>
      <c r="J72" s="120" t="n"/>
      <c r="K72" s="120" t="n"/>
      <c r="L72" s="120" t="n"/>
      <c r="M72" s="120" t="n"/>
      <c r="N72" s="120" t="n"/>
      <c r="O72" s="120" t="inlineStr">
        <is>
          <t>40/H</t>
        </is>
      </c>
      <c r="P72" s="443" t="n">
        <v>500</v>
      </c>
      <c r="Q72" s="447" t="n">
        <v>20000</v>
      </c>
    </row>
    <row r="73">
      <c r="A73" s="1566" t="inlineStr">
        <is>
          <t>Funcionarios Salarios</t>
        </is>
      </c>
      <c r="B73" s="179" t="inlineStr">
        <is>
          <t>TECNICO dosador</t>
        </is>
      </c>
      <c r="C73" s="179" t="inlineStr">
        <is>
          <t>R$</t>
        </is>
      </c>
      <c r="D73" s="179" t="n">
        <v>1</v>
      </c>
      <c r="E73" s="120" t="n">
        <v>1</v>
      </c>
      <c r="F73" s="120" t="n">
        <v>1</v>
      </c>
      <c r="G73" s="120" t="n">
        <v>1</v>
      </c>
      <c r="H73" s="120" t="n">
        <v>1</v>
      </c>
      <c r="I73" s="120" t="n">
        <v>1</v>
      </c>
      <c r="J73" s="120" t="n">
        <v>1</v>
      </c>
      <c r="K73" s="120" t="n">
        <v>1</v>
      </c>
      <c r="L73" s="120" t="n"/>
      <c r="M73" s="120" t="n"/>
      <c r="N73" s="120" t="n"/>
      <c r="O73" s="120">
        <f>SUM(D73:N73)</f>
        <v/>
      </c>
      <c r="P73" s="443" t="n">
        <v>3000</v>
      </c>
      <c r="Q73" s="447">
        <f>(P73*O73)</f>
        <v/>
      </c>
    </row>
    <row r="74" ht="15.75" customHeight="1" s="1173" thickBot="1">
      <c r="A74" s="1566" t="inlineStr">
        <is>
          <t>Funcionarios Salarios</t>
        </is>
      </c>
      <c r="B74" s="528" t="inlineStr">
        <is>
          <t xml:space="preserve">dosador </t>
        </is>
      </c>
      <c r="C74" s="528" t="inlineStr">
        <is>
          <t>R$</t>
        </is>
      </c>
      <c r="D74" s="528" t="n">
        <v>1</v>
      </c>
      <c r="E74" s="445" t="n">
        <v>1</v>
      </c>
      <c r="F74" s="445" t="n">
        <v>1</v>
      </c>
      <c r="G74" s="445" t="n">
        <v>1</v>
      </c>
      <c r="H74" s="445" t="n">
        <v>1</v>
      </c>
      <c r="I74" s="445" t="n">
        <v>1</v>
      </c>
      <c r="J74" s="445" t="n">
        <v>1</v>
      </c>
      <c r="K74" s="445" t="n"/>
      <c r="L74" s="445" t="n"/>
      <c r="M74" s="445" t="n"/>
      <c r="N74" s="445" t="n"/>
      <c r="O74" s="445">
        <f>SUM(D74:N74)</f>
        <v/>
      </c>
      <c r="P74" s="446" t="n">
        <v>2500</v>
      </c>
      <c r="Q74" s="447">
        <f>(P74*O74)</f>
        <v/>
      </c>
    </row>
    <row r="75">
      <c r="A75" s="1169" t="inlineStr">
        <is>
          <t>Salarios horas extras 50%</t>
        </is>
      </c>
      <c r="B75" s="1037" t="inlineStr">
        <is>
          <t xml:space="preserve">dosador 1 </t>
        </is>
      </c>
      <c r="C75" s="1037" t="inlineStr">
        <is>
          <t>R$</t>
        </is>
      </c>
      <c r="D75" s="1037" t="n">
        <v>0</v>
      </c>
      <c r="E75" s="1037" t="n">
        <v>48</v>
      </c>
      <c r="F75" s="1037" t="n">
        <v>48</v>
      </c>
      <c r="G75" s="1037" t="n">
        <v>48</v>
      </c>
      <c r="H75" s="1037" t="n">
        <v>30</v>
      </c>
      <c r="I75" s="1037" t="n">
        <v>20</v>
      </c>
      <c r="J75" s="1037" t="n">
        <v>10</v>
      </c>
      <c r="K75" s="1037" t="n"/>
      <c r="L75" s="1037" t="n"/>
      <c r="M75" s="1037" t="n"/>
      <c r="N75" s="1037" t="n"/>
      <c r="O75" s="1037">
        <f>SUM(D75:J75)</f>
        <v/>
      </c>
      <c r="P75" s="1041" t="n">
        <v>20.45</v>
      </c>
      <c r="Q75" s="963">
        <f>(P75*O75)</f>
        <v/>
      </c>
    </row>
    <row r="76" ht="15" customHeight="1" s="1173" thickBot="1">
      <c r="A76" s="1567" t="inlineStr">
        <is>
          <t>Salarios horas extras 50%</t>
        </is>
      </c>
      <c r="B76" s="528" t="inlineStr">
        <is>
          <t>Ivanilson</t>
        </is>
      </c>
      <c r="C76" s="528" t="inlineStr">
        <is>
          <t>R$</t>
        </is>
      </c>
      <c r="D76" s="528" t="n"/>
      <c r="E76" s="528" t="n">
        <v>48</v>
      </c>
      <c r="F76" s="528" t="n">
        <v>48</v>
      </c>
      <c r="G76" s="528" t="n">
        <v>48</v>
      </c>
      <c r="H76" s="528" t="n">
        <v>30</v>
      </c>
      <c r="I76" s="528" t="n">
        <v>20</v>
      </c>
      <c r="J76" s="528" t="n">
        <v>10</v>
      </c>
      <c r="K76" s="528" t="n"/>
      <c r="L76" s="528" t="n"/>
      <c r="M76" s="528" t="n"/>
      <c r="N76" s="528" t="n"/>
      <c r="O76" s="528">
        <f>SUM(D76:J76)</f>
        <v/>
      </c>
      <c r="P76" s="979" t="n">
        <v>17</v>
      </c>
      <c r="Q76" s="963">
        <f>(P76*O76)</f>
        <v/>
      </c>
    </row>
    <row r="77">
      <c r="A77" s="1568" t="inlineStr">
        <is>
          <t>Hora extra 100%</t>
        </is>
      </c>
      <c r="B77" s="1042" t="inlineStr">
        <is>
          <t xml:space="preserve">dosador 1 </t>
        </is>
      </c>
      <c r="C77" s="1043" t="n"/>
      <c r="D77" s="1043" t="n"/>
      <c r="E77" s="1043" t="n">
        <v>40</v>
      </c>
      <c r="F77" s="1043" t="n">
        <v>40</v>
      </c>
      <c r="G77" s="1043" t="n">
        <v>20</v>
      </c>
      <c r="H77" s="1043" t="n"/>
      <c r="I77" s="1043" t="n"/>
      <c r="J77" s="1043" t="n"/>
      <c r="K77" s="1043" t="n"/>
      <c r="L77" s="1043" t="n"/>
      <c r="M77" s="1043" t="n"/>
      <c r="N77" s="1043" t="n"/>
      <c r="O77" s="1043">
        <f>SUM(C77:N77)</f>
        <v/>
      </c>
      <c r="P77" s="1044" t="n">
        <v>27.27</v>
      </c>
      <c r="Q77" s="1045">
        <f>(P77*O77)</f>
        <v/>
      </c>
    </row>
    <row r="78" ht="15.75" customHeight="1" s="1173" thickBot="1">
      <c r="A78" s="1569" t="inlineStr">
        <is>
          <t>Hora extra 100%</t>
        </is>
      </c>
      <c r="B78" s="1046" t="inlineStr">
        <is>
          <t>Ivanilson</t>
        </is>
      </c>
      <c r="C78" s="1047" t="n"/>
      <c r="D78" s="1047" t="n"/>
      <c r="E78" s="1047" t="n">
        <v>40</v>
      </c>
      <c r="F78" s="1047" t="n">
        <v>40</v>
      </c>
      <c r="G78" s="1047" t="n">
        <v>20</v>
      </c>
      <c r="H78" s="1047" t="n"/>
      <c r="I78" s="1047" t="n"/>
      <c r="J78" s="1047" t="n"/>
      <c r="K78" s="1047" t="n"/>
      <c r="L78" s="1047" t="n"/>
      <c r="M78" s="1047" t="n"/>
      <c r="N78" s="1047" t="n"/>
      <c r="O78" s="1047">
        <f>SUM(D78:N78)</f>
        <v/>
      </c>
      <c r="P78" s="1048" t="n">
        <v>22.72</v>
      </c>
      <c r="Q78" s="1045">
        <f>(P78*O78)</f>
        <v/>
      </c>
    </row>
    <row r="79">
      <c r="A79" s="1570" t="inlineStr">
        <is>
          <t>Periculosidade</t>
        </is>
      </c>
      <c r="B79" s="88" t="inlineStr">
        <is>
          <t xml:space="preserve">dosador 1 </t>
        </is>
      </c>
      <c r="C79" s="1039" t="n"/>
      <c r="D79" s="1039" t="n">
        <v>1</v>
      </c>
      <c r="E79" s="1039" t="n">
        <v>1</v>
      </c>
      <c r="F79" s="1039" t="n">
        <v>1</v>
      </c>
      <c r="G79" s="1039" t="n">
        <v>1</v>
      </c>
      <c r="H79" s="1039" t="n">
        <v>1</v>
      </c>
      <c r="I79" s="1039" t="n">
        <v>1</v>
      </c>
      <c r="J79" s="1039" t="n">
        <v>1</v>
      </c>
      <c r="K79" s="1039" t="n">
        <v>1</v>
      </c>
      <c r="L79" s="1039" t="n"/>
      <c r="M79" s="1039" t="n"/>
      <c r="N79" s="1039" t="n"/>
      <c r="O79" s="1039">
        <f>SUM(D79:N79)</f>
        <v/>
      </c>
      <c r="P79" s="1049" t="n">
        <v>900</v>
      </c>
      <c r="Q79" s="1050">
        <f>(P79*O79)</f>
        <v/>
      </c>
    </row>
    <row r="80" ht="15.75" customHeight="1" s="1173" thickBot="1">
      <c r="A80" s="1571" t="inlineStr">
        <is>
          <t>Periculosidade</t>
        </is>
      </c>
      <c r="B80" s="88" t="inlineStr">
        <is>
          <t>Ivanilson</t>
        </is>
      </c>
      <c r="C80" s="1039" t="n"/>
      <c r="D80" s="1039" t="n">
        <v>1</v>
      </c>
      <c r="E80" s="1039" t="n">
        <v>1</v>
      </c>
      <c r="F80" s="1039" t="n">
        <v>1</v>
      </c>
      <c r="G80" s="1039" t="n">
        <v>1</v>
      </c>
      <c r="H80" s="1039" t="n">
        <v>1</v>
      </c>
      <c r="I80" s="1039" t="n">
        <v>1</v>
      </c>
      <c r="J80" s="1039" t="n">
        <v>1</v>
      </c>
      <c r="K80" s="1039" t="n"/>
      <c r="L80" s="1039" t="n"/>
      <c r="M80" s="1039" t="n"/>
      <c r="N80" s="1039" t="n"/>
      <c r="O80" s="1039">
        <f>SUM(D80:N80)</f>
        <v/>
      </c>
      <c r="P80" s="1049" t="n">
        <v>720</v>
      </c>
      <c r="Q80" s="1050">
        <f>O80*P80</f>
        <v/>
      </c>
    </row>
    <row r="81">
      <c r="A81" s="1156" t="inlineStr">
        <is>
          <t>Uniforme Aplicação</t>
        </is>
      </c>
      <c r="B81" s="1051" t="inlineStr">
        <is>
          <t>AVIÃO</t>
        </is>
      </c>
      <c r="C81" s="1052" t="inlineStr">
        <is>
          <t>Desc.</t>
        </is>
      </c>
      <c r="D81" s="1052" t="inlineStr">
        <is>
          <t>Conj Aplic</t>
        </is>
      </c>
      <c r="E81" s="1052" t="inlineStr">
        <is>
          <t>Luva Cano C</t>
        </is>
      </c>
      <c r="F81" s="1052" t="inlineStr">
        <is>
          <t>Luva Cano L</t>
        </is>
      </c>
      <c r="G81" s="1052" t="inlineStr">
        <is>
          <t>Mascarra 3m</t>
        </is>
      </c>
      <c r="H81" s="1052" t="inlineStr">
        <is>
          <t>Filtro</t>
        </is>
      </c>
      <c r="I81" s="1052" t="inlineStr">
        <is>
          <t>Oculos Escuro</t>
        </is>
      </c>
      <c r="J81" s="1052" t="inlineStr">
        <is>
          <t>Bota Borr</t>
        </is>
      </c>
      <c r="K81" s="1052" t="inlineStr">
        <is>
          <t>kit 2ª pele</t>
        </is>
      </c>
      <c r="L81" s="1052" t="inlineStr">
        <is>
          <t>toalha</t>
        </is>
      </c>
      <c r="M81" s="1052" t="inlineStr">
        <is>
          <t>Avental</t>
        </is>
      </c>
      <c r="N81" s="1052" t="inlineStr">
        <is>
          <t>sabonete</t>
        </is>
      </c>
      <c r="O81" s="1052" t="inlineStr">
        <is>
          <t>meia</t>
        </is>
      </c>
      <c r="P81" s="1053" t="n"/>
      <c r="Q81" s="1054" t="n"/>
    </row>
    <row r="82">
      <c r="A82" s="1572" t="inlineStr">
        <is>
          <t>Uniforme Aplicação</t>
        </is>
      </c>
      <c r="B82" s="1055" t="inlineStr">
        <is>
          <t>Vagner</t>
        </is>
      </c>
      <c r="C82" s="1056" t="inlineStr">
        <is>
          <t>Und</t>
        </is>
      </c>
      <c r="D82" s="1056" t="n">
        <v>3</v>
      </c>
      <c r="E82" s="1056" t="n">
        <v>0</v>
      </c>
      <c r="F82" s="1056" t="n">
        <v>0</v>
      </c>
      <c r="G82" s="1056" t="n">
        <v>1</v>
      </c>
      <c r="H82" s="1056" t="n">
        <v>2</v>
      </c>
      <c r="I82" s="1056" t="n">
        <v>0</v>
      </c>
      <c r="J82" s="1056" t="n">
        <v>0</v>
      </c>
      <c r="K82" s="1056" t="n">
        <v>3</v>
      </c>
      <c r="L82" s="1056" t="n">
        <v>1</v>
      </c>
      <c r="M82" s="1056" t="n"/>
      <c r="N82" s="1056" t="n">
        <v>5</v>
      </c>
      <c r="O82" s="1056" t="n"/>
      <c r="P82" s="1057" t="n"/>
      <c r="Q82" s="1058" t="n"/>
    </row>
    <row r="83">
      <c r="A83" s="1572" t="inlineStr">
        <is>
          <t>Uniforme Aplicação</t>
        </is>
      </c>
      <c r="B83" s="1055" t="inlineStr">
        <is>
          <t>A contratar</t>
        </is>
      </c>
      <c r="C83" s="1056" t="inlineStr">
        <is>
          <t>Und</t>
        </is>
      </c>
      <c r="D83" s="1056" t="n">
        <v>10</v>
      </c>
      <c r="E83" s="1056" t="n">
        <v>5</v>
      </c>
      <c r="F83" s="1056" t="n">
        <v>15</v>
      </c>
      <c r="G83" s="1056" t="n">
        <v>1</v>
      </c>
      <c r="H83" s="1056" t="n">
        <v>5</v>
      </c>
      <c r="I83" s="1056" t="n">
        <v>2</v>
      </c>
      <c r="J83" s="1056" t="n">
        <v>1</v>
      </c>
      <c r="K83" s="1056" t="n">
        <v>3</v>
      </c>
      <c r="L83" s="1056" t="n">
        <v>1</v>
      </c>
      <c r="M83" s="1056" t="n">
        <v>2</v>
      </c>
      <c r="N83" s="1056" t="n">
        <v>5</v>
      </c>
      <c r="O83" s="1056" t="n">
        <v>3</v>
      </c>
      <c r="P83" s="1057" t="n"/>
      <c r="Q83" s="1058" t="n"/>
    </row>
    <row r="84">
      <c r="A84" s="1572" t="inlineStr">
        <is>
          <t>Uniforme Aplicação</t>
        </is>
      </c>
      <c r="B84" s="1055" t="inlineStr">
        <is>
          <t>A contratar</t>
        </is>
      </c>
      <c r="C84" s="1056" t="inlineStr">
        <is>
          <t>Und</t>
        </is>
      </c>
      <c r="D84" s="1056" t="n">
        <v>10</v>
      </c>
      <c r="E84" s="1056" t="n">
        <v>5</v>
      </c>
      <c r="F84" s="1056" t="n">
        <v>15</v>
      </c>
      <c r="G84" s="1056" t="n">
        <v>2</v>
      </c>
      <c r="H84" s="1056" t="n">
        <v>5</v>
      </c>
      <c r="I84" s="1056" t="n">
        <v>2</v>
      </c>
      <c r="J84" s="1056" t="n">
        <v>1</v>
      </c>
      <c r="K84" s="1056" t="n">
        <v>3</v>
      </c>
      <c r="L84" s="1056" t="n">
        <v>1</v>
      </c>
      <c r="M84" s="1056" t="n">
        <v>2</v>
      </c>
      <c r="N84" s="1056" t="n">
        <v>5</v>
      </c>
      <c r="O84" s="1056" t="n">
        <v>3</v>
      </c>
      <c r="P84" s="1057" t="n"/>
      <c r="Q84" s="1058" t="n"/>
    </row>
    <row r="85">
      <c r="A85" s="1572" t="inlineStr">
        <is>
          <t>Uniforme Aplicação</t>
        </is>
      </c>
      <c r="B85" s="1055" t="inlineStr">
        <is>
          <t>Total</t>
        </is>
      </c>
      <c r="C85" s="1056" t="inlineStr">
        <is>
          <t>Und</t>
        </is>
      </c>
      <c r="D85" s="1056">
        <f>SUM(D82:D84)</f>
        <v/>
      </c>
      <c r="E85" s="1056">
        <f>SUM(E82:E84)</f>
        <v/>
      </c>
      <c r="F85" s="1056">
        <f>SUM(F82:F84)</f>
        <v/>
      </c>
      <c r="G85" s="1056">
        <f>SUM(G82:G84)</f>
        <v/>
      </c>
      <c r="H85" s="1056">
        <f>SUM(H82:H84)</f>
        <v/>
      </c>
      <c r="I85" s="1056">
        <f>SUM(I82:I84)</f>
        <v/>
      </c>
      <c r="J85" s="1056">
        <f>SUM(J82:J84)</f>
        <v/>
      </c>
      <c r="K85" s="1056">
        <f>SUM(K82:K84)</f>
        <v/>
      </c>
      <c r="L85" s="1056">
        <f>SUM(L82:L84)</f>
        <v/>
      </c>
      <c r="M85" s="1056">
        <f>SUM(M82:M84)</f>
        <v/>
      </c>
      <c r="N85" s="1056">
        <f>SUM(N82:N84)</f>
        <v/>
      </c>
      <c r="O85" s="1056">
        <f>SUM(O82:O84)</f>
        <v/>
      </c>
      <c r="P85" s="1057" t="n"/>
      <c r="Q85" s="1058" t="n"/>
    </row>
    <row r="86" ht="15.75" customHeight="1" s="1173" thickBot="1">
      <c r="A86" s="1572" t="inlineStr">
        <is>
          <t>Uniforme Aplicação</t>
        </is>
      </c>
      <c r="B86" s="1059" t="inlineStr">
        <is>
          <t>Total R$</t>
        </is>
      </c>
      <c r="C86" s="1060" t="inlineStr">
        <is>
          <t>R$</t>
        </is>
      </c>
      <c r="D86" s="1060">
        <f>80*D85</f>
        <v/>
      </c>
      <c r="E86" s="1060">
        <f>10*E85</f>
        <v/>
      </c>
      <c r="F86" s="1060">
        <f>50*F85</f>
        <v/>
      </c>
      <c r="G86" s="1060">
        <f>140*G85</f>
        <v/>
      </c>
      <c r="H86" s="1060">
        <f>95*H85</f>
        <v/>
      </c>
      <c r="I86" s="1060">
        <f>8*I85</f>
        <v/>
      </c>
      <c r="J86" s="1060">
        <f>55*J85</f>
        <v/>
      </c>
      <c r="K86" s="1060">
        <f>60*K85</f>
        <v/>
      </c>
      <c r="L86" s="1060">
        <f>15*L85</f>
        <v/>
      </c>
      <c r="M86" s="1060">
        <f>15*M85</f>
        <v/>
      </c>
      <c r="N86" s="1060">
        <f>2*N85</f>
        <v/>
      </c>
      <c r="O86" s="1060">
        <f>12*O85</f>
        <v/>
      </c>
      <c r="P86" s="1061" t="n"/>
      <c r="Q86" s="1062">
        <f>SUM(D86:P86)</f>
        <v/>
      </c>
    </row>
    <row r="87">
      <c r="A87" s="1573" t="inlineStr">
        <is>
          <t xml:space="preserve">Uniforme </t>
        </is>
      </c>
      <c r="B87" s="1063" t="inlineStr">
        <is>
          <t>AVIÃO</t>
        </is>
      </c>
      <c r="C87" s="1064" t="inlineStr">
        <is>
          <t>Desc.</t>
        </is>
      </c>
      <c r="D87" s="1064" t="inlineStr">
        <is>
          <t>Conj. Calça/camisa</t>
        </is>
      </c>
      <c r="E87" s="1064" t="inlineStr">
        <is>
          <t>Luva Pano</t>
        </is>
      </c>
      <c r="F87" s="1064" t="inlineStr">
        <is>
          <t>Luva vaqueta</t>
        </is>
      </c>
      <c r="G87" s="1064" t="inlineStr">
        <is>
          <t>Prot. Auricula plug</t>
        </is>
      </c>
      <c r="H87" s="1064" t="inlineStr">
        <is>
          <t>Prot auricular concha</t>
        </is>
      </c>
      <c r="I87" s="1064" t="inlineStr">
        <is>
          <t>Mascara PFS1</t>
        </is>
      </c>
      <c r="J87" s="1064" t="inlineStr">
        <is>
          <t>Botina</t>
        </is>
      </c>
      <c r="K87" s="1064" t="inlineStr">
        <is>
          <t>toca arrabe</t>
        </is>
      </c>
      <c r="L87" s="1064" t="inlineStr">
        <is>
          <t>Garrafa</t>
        </is>
      </c>
      <c r="M87" s="1064" t="n"/>
      <c r="N87" s="1064" t="n"/>
      <c r="O87" s="1064" t="n"/>
      <c r="P87" s="1065" t="n"/>
      <c r="Q87" s="1066" t="n"/>
    </row>
    <row r="88">
      <c r="A88" s="1574" t="inlineStr">
        <is>
          <t xml:space="preserve">Uniforme </t>
        </is>
      </c>
      <c r="B88" s="139" t="inlineStr">
        <is>
          <t>VAGNER</t>
        </is>
      </c>
      <c r="C88" s="1067" t="inlineStr">
        <is>
          <t>Unid</t>
        </is>
      </c>
      <c r="D88" s="1067" t="n">
        <v>3</v>
      </c>
      <c r="E88" s="1067" t="n">
        <v>0</v>
      </c>
      <c r="F88" s="1067" t="n">
        <v>0</v>
      </c>
      <c r="G88" s="1067" t="n">
        <v>4</v>
      </c>
      <c r="H88" s="1067" t="n">
        <v>1</v>
      </c>
      <c r="I88" s="1067" t="n">
        <v>20</v>
      </c>
      <c r="J88" s="1067" t="n">
        <v>2</v>
      </c>
      <c r="K88" s="1067" t="n">
        <v>1</v>
      </c>
      <c r="L88" s="1067" t="n">
        <v>1</v>
      </c>
      <c r="M88" s="1067" t="n"/>
      <c r="N88" s="1067" t="n">
        <v>5</v>
      </c>
      <c r="O88" s="1067" t="n"/>
      <c r="P88" s="1068" t="n"/>
      <c r="Q88" s="1069" t="n"/>
    </row>
    <row r="89">
      <c r="A89" s="1574" t="inlineStr">
        <is>
          <t xml:space="preserve">Uniforme </t>
        </is>
      </c>
      <c r="B89" s="139" t="inlineStr">
        <is>
          <t>a contratar</t>
        </is>
      </c>
      <c r="C89" s="1067" t="inlineStr">
        <is>
          <t>Unid</t>
        </is>
      </c>
      <c r="D89" s="1067" t="n">
        <v>3</v>
      </c>
      <c r="E89" s="1067" t="n">
        <v>3</v>
      </c>
      <c r="F89" s="1067" t="n">
        <v>1</v>
      </c>
      <c r="G89" s="1067" t="n">
        <v>2</v>
      </c>
      <c r="H89" s="1067" t="n">
        <v>1</v>
      </c>
      <c r="I89" s="1067" t="n">
        <v>10</v>
      </c>
      <c r="J89" s="1067" t="n">
        <v>2</v>
      </c>
      <c r="K89" s="1067" t="n">
        <v>2</v>
      </c>
      <c r="L89" s="1067" t="n">
        <v>1</v>
      </c>
      <c r="M89" s="1067" t="n"/>
      <c r="N89" s="1067" t="n"/>
      <c r="O89" s="1067" t="n"/>
      <c r="P89" s="1068" t="n"/>
      <c r="Q89" s="1069" t="n"/>
    </row>
    <row r="90">
      <c r="A90" s="1574" t="inlineStr">
        <is>
          <t xml:space="preserve">Uniforme </t>
        </is>
      </c>
      <c r="B90" s="139" t="inlineStr">
        <is>
          <t>A contratar</t>
        </is>
      </c>
      <c r="C90" s="1067" t="inlineStr">
        <is>
          <t>Unid</t>
        </is>
      </c>
      <c r="D90" s="1067" t="n">
        <v>3</v>
      </c>
      <c r="E90" s="1067" t="n">
        <v>3</v>
      </c>
      <c r="F90" s="1067" t="n">
        <v>1</v>
      </c>
      <c r="G90" s="1067" t="n">
        <v>2</v>
      </c>
      <c r="H90" s="1067" t="n">
        <v>1</v>
      </c>
      <c r="I90" s="1067" t="n">
        <v>10</v>
      </c>
      <c r="J90" s="1067" t="n">
        <v>2</v>
      </c>
      <c r="K90" s="1067" t="n">
        <v>2</v>
      </c>
      <c r="L90" s="1067" t="n">
        <v>1</v>
      </c>
      <c r="M90" s="1067" t="n"/>
      <c r="N90" s="1067" t="n"/>
      <c r="O90" s="1067" t="n"/>
      <c r="P90" s="1068" t="n"/>
      <c r="Q90" s="1069" t="n"/>
    </row>
    <row r="91">
      <c r="A91" s="1574" t="inlineStr">
        <is>
          <t xml:space="preserve">Uniforme </t>
        </is>
      </c>
      <c r="B91" s="139" t="inlineStr">
        <is>
          <t>Total</t>
        </is>
      </c>
      <c r="C91" s="1067" t="inlineStr">
        <is>
          <t>Unid</t>
        </is>
      </c>
      <c r="D91" s="1067">
        <f>SUM(D88:D90)</f>
        <v/>
      </c>
      <c r="E91" s="1067">
        <f>SUM(E88:E90)</f>
        <v/>
      </c>
      <c r="F91" s="1067">
        <f>SUM(F88:F90)</f>
        <v/>
      </c>
      <c r="G91" s="1067">
        <f>SUM(G88:G90)</f>
        <v/>
      </c>
      <c r="H91" s="1067">
        <f>SUM(H88:H90)</f>
        <v/>
      </c>
      <c r="I91" s="1067">
        <f>SUM(I88:I90)</f>
        <v/>
      </c>
      <c r="J91" s="1067">
        <f>SUM(J88:J90)</f>
        <v/>
      </c>
      <c r="K91" s="1067">
        <f>SUM(K88:K90)</f>
        <v/>
      </c>
      <c r="L91" s="1067">
        <f>SUM(L88:L90)</f>
        <v/>
      </c>
      <c r="M91" s="1067" t="n"/>
      <c r="N91" s="1067" t="n">
        <v>5</v>
      </c>
      <c r="O91" s="1067" t="n"/>
      <c r="P91" s="1068" t="n"/>
      <c r="Q91" s="1069" t="n"/>
    </row>
    <row r="92" ht="15.75" customHeight="1" s="1173" thickBot="1">
      <c r="A92" s="1574" t="inlineStr">
        <is>
          <t xml:space="preserve">Uniforme </t>
        </is>
      </c>
      <c r="B92" s="1070" t="inlineStr">
        <is>
          <t>Total R$</t>
        </is>
      </c>
      <c r="C92" s="1071" t="inlineStr">
        <is>
          <t>R$</t>
        </is>
      </c>
      <c r="D92" s="1071">
        <f>85*D91</f>
        <v/>
      </c>
      <c r="E92" s="1071">
        <f>5*E91</f>
        <v/>
      </c>
      <c r="F92" s="1071">
        <f>5*F91</f>
        <v/>
      </c>
      <c r="G92" s="1071">
        <f>2*G91</f>
        <v/>
      </c>
      <c r="H92" s="1071">
        <f>35*H91</f>
        <v/>
      </c>
      <c r="I92" s="1071">
        <f>5*I91</f>
        <v/>
      </c>
      <c r="J92" s="1071">
        <f>70*J91</f>
        <v/>
      </c>
      <c r="K92" s="1071">
        <f>10*K91</f>
        <v/>
      </c>
      <c r="L92" s="1071">
        <f>45*L91</f>
        <v/>
      </c>
      <c r="M92" s="1071" t="n"/>
      <c r="N92" s="1071" t="n">
        <v>10</v>
      </c>
      <c r="O92" s="1071" t="n"/>
      <c r="P92" s="1072" t="n"/>
      <c r="Q92" s="1073">
        <f>SUM(D92:P92)</f>
        <v/>
      </c>
    </row>
    <row r="93">
      <c r="A93" s="687" t="n"/>
      <c r="P93" s="530" t="n"/>
      <c r="Q93" s="530" t="n"/>
    </row>
    <row r="94">
      <c r="A94" s="688" t="inlineStr">
        <is>
          <t>Total</t>
        </is>
      </c>
      <c r="B94" s="180" t="n"/>
      <c r="C94" s="180" t="n"/>
      <c r="D94" s="180" t="n"/>
      <c r="E94" s="180" t="n"/>
      <c r="F94" s="180" t="n"/>
      <c r="G94" s="180" t="n"/>
      <c r="H94" s="180" t="n"/>
      <c r="I94" s="180" t="n"/>
      <c r="J94" s="180" t="n"/>
      <c r="K94" s="180" t="n"/>
      <c r="L94" s="180" t="n"/>
      <c r="M94" s="180" t="n"/>
      <c r="N94" s="180" t="n"/>
      <c r="O94" s="180" t="n"/>
      <c r="P94" s="181" t="inlineStr">
        <is>
          <t>Total AIR TRACTOR</t>
        </is>
      </c>
      <c r="Q94" s="181">
        <f>SUM(Q10:Q35)</f>
        <v/>
      </c>
    </row>
    <row r="95">
      <c r="A95" s="687" t="n"/>
    </row>
    <row r="96" ht="18.75" customFormat="1" customHeight="1" s="973">
      <c r="A96" s="969" t="n"/>
      <c r="B96" s="970" t="n"/>
      <c r="C96" s="970" t="n"/>
      <c r="D96" s="970" t="n"/>
      <c r="E96" s="970" t="n"/>
      <c r="F96" s="970" t="n"/>
      <c r="G96" s="970" t="n"/>
      <c r="H96" s="970" t="n"/>
      <c r="I96" s="970" t="n"/>
      <c r="J96" s="970" t="n"/>
      <c r="K96" s="970" t="n"/>
      <c r="L96" s="970" t="n"/>
      <c r="M96" s="970" t="n"/>
      <c r="N96" s="970" t="n"/>
      <c r="O96" s="970" t="n"/>
      <c r="P96" s="971" t="inlineStr">
        <is>
          <t xml:space="preserve">TOTAL </t>
        </is>
      </c>
      <c r="Q96" s="971">
        <f>SUM(Q94:Q95)+Q70</f>
        <v/>
      </c>
      <c r="R96" s="972" t="n"/>
    </row>
    <row r="97">
      <c r="A97" s="687" t="n"/>
      <c r="P97" s="530" t="inlineStr">
        <is>
          <t>Ceneca (8 h de voo)</t>
        </is>
      </c>
      <c r="Q97" s="530">
        <f>8*2500</f>
        <v/>
      </c>
      <c r="R97" s="192" t="n"/>
    </row>
    <row r="98" ht="15.75" customHeight="1" s="1173">
      <c r="A98" s="687" t="n"/>
      <c r="P98" s="974" t="inlineStr">
        <is>
          <t xml:space="preserve">Agroservice </t>
        </is>
      </c>
      <c r="Q98" s="975">
        <f>(Q96*0.85)+Q97</f>
        <v/>
      </c>
      <c r="R98" s="192" t="n"/>
    </row>
    <row r="99" ht="15.75" customHeight="1" s="1173">
      <c r="P99" s="976" t="inlineStr">
        <is>
          <t>Agroinvest</t>
        </is>
      </c>
      <c r="Q99" s="975">
        <f>(Q96*0.15)</f>
        <v/>
      </c>
    </row>
  </sheetData>
  <pageMargins left="0.511811024" right="0.511811024" top="0.787401575" bottom="0.787401575" header="0.31496062" footer="0.31496062"/>
  <pageSetup orientation="portrait" paperSize="9" horizontalDpi="300" verticalDpi="300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rgb="FFFFFF00"/>
    <outlinePr summaryBelow="1" summaryRight="1"/>
    <pageSetUpPr/>
  </sheetPr>
  <dimension ref="A1:U184"/>
  <sheetViews>
    <sheetView topLeftCell="A167" zoomScaleNormal="100" workbookViewId="0">
      <pane xSplit="1" topLeftCell="F1" activePane="topRight" state="frozen"/>
      <selection pane="topRight" activeCell="R180" sqref="R180"/>
    </sheetView>
  </sheetViews>
  <sheetFormatPr baseColWidth="8" defaultRowHeight="15"/>
  <cols>
    <col width="3.85546875" customWidth="1" style="1180" min="1" max="3"/>
    <col width="2.28515625" customWidth="1" style="1180" min="4" max="4"/>
    <col width="9.42578125" customWidth="1" style="1180" min="5" max="5"/>
    <col width="13.7109375" customWidth="1" style="1180" min="6" max="8"/>
    <col width="12.28515625" customWidth="1" style="1180" min="9" max="10"/>
    <col width="0.28515625" customWidth="1" style="1180" min="11" max="11"/>
    <col width="12.140625" customWidth="1" style="1180" min="12" max="12"/>
    <col width="1.5703125" customWidth="1" style="1180" min="13" max="13"/>
    <col hidden="1" style="1180" min="14" max="14"/>
    <col width="9.140625" customWidth="1" style="1180" min="15" max="15"/>
    <col width="24.42578125" bestFit="1" customWidth="1" style="1575" min="16" max="17"/>
    <col width="24.42578125" customWidth="1" style="1575" min="18" max="18"/>
    <col width="28" bestFit="1" customWidth="1" style="1180" min="19" max="19"/>
    <col width="9.140625" customWidth="1" style="1180" min="20" max="16384"/>
  </cols>
  <sheetData>
    <row r="1" ht="12" customHeight="1" s="1173">
      <c r="A1" s="1179" t="inlineStr">
        <is>
          <t>10/17/2025</t>
        </is>
      </c>
      <c r="B1" s="1179" t="inlineStr">
        <is>
          <t>10/17/2025</t>
        </is>
      </c>
      <c r="C1" s="1179" t="inlineStr">
        <is>
          <t>10/17/2025</t>
        </is>
      </c>
      <c r="D1" s="1179" t="inlineStr">
        <is>
          <t>10/17/2025</t>
        </is>
      </c>
      <c r="E1" s="1194" t="inlineStr">
        <is>
          <t>Agroinvest Ltda</t>
        </is>
      </c>
      <c r="F1" s="1194" t="inlineStr">
        <is>
          <t>Agroinvest Ltda</t>
        </is>
      </c>
      <c r="G1" s="1194" t="inlineStr">
        <is>
          <t>Agroinvest Ltda</t>
        </is>
      </c>
      <c r="H1" s="1194" t="inlineStr">
        <is>
          <t>Agroinvest Ltda</t>
        </is>
      </c>
      <c r="I1" s="1194" t="inlineStr">
        <is>
          <t>Agroinvest Ltda</t>
        </is>
      </c>
      <c r="J1" s="1194" t="inlineStr">
        <is>
          <t>Agroinvest Ltda</t>
        </is>
      </c>
      <c r="K1" s="1194" t="inlineStr">
        <is>
          <t>Agroinvest Ltda</t>
        </is>
      </c>
    </row>
    <row r="2" ht="2.1" customHeight="1" s="1173">
      <c r="A2" s="1179" t="inlineStr">
        <is>
          <t>2:04 PM</t>
        </is>
      </c>
      <c r="B2" s="1179" t="inlineStr">
        <is>
          <t>2:04 PM</t>
        </is>
      </c>
      <c r="C2" s="1179" t="inlineStr">
        <is>
          <t>2:04 PM</t>
        </is>
      </c>
      <c r="D2" s="1179" t="inlineStr">
        <is>
          <t>2:04 PM</t>
        </is>
      </c>
      <c r="E2" s="1194" t="inlineStr">
        <is>
          <t>Agroinvest Ltda</t>
        </is>
      </c>
      <c r="F2" s="1194" t="inlineStr">
        <is>
          <t>Agroinvest Ltda</t>
        </is>
      </c>
      <c r="G2" s="1194" t="inlineStr">
        <is>
          <t>Agroinvest Ltda</t>
        </is>
      </c>
      <c r="H2" s="1194" t="inlineStr">
        <is>
          <t>Agroinvest Ltda</t>
        </is>
      </c>
      <c r="I2" s="1194" t="inlineStr">
        <is>
          <t>Agroinvest Ltda</t>
        </is>
      </c>
      <c r="J2" s="1194" t="inlineStr">
        <is>
          <t>Agroinvest Ltda</t>
        </is>
      </c>
      <c r="K2" s="1194" t="inlineStr">
        <is>
          <t>Agroinvest Ltda</t>
        </is>
      </c>
    </row>
    <row r="3" ht="2.1" customHeight="1" s="1173">
      <c r="A3" s="1179" t="inlineStr">
        <is>
          <t>2:04 PM</t>
        </is>
      </c>
      <c r="B3" s="1179" t="inlineStr">
        <is>
          <t>2:04 PM</t>
        </is>
      </c>
      <c r="C3" s="1179" t="inlineStr">
        <is>
          <t>2:04 PM</t>
        </is>
      </c>
      <c r="D3" s="1179" t="inlineStr">
        <is>
          <t>2:04 PM</t>
        </is>
      </c>
    </row>
    <row r="4" ht="8.1" customHeight="1" s="1173">
      <c r="A4" s="1179" t="inlineStr">
        <is>
          <t>2:04 PM</t>
        </is>
      </c>
      <c r="B4" s="1179" t="inlineStr">
        <is>
          <t>2:04 PM</t>
        </is>
      </c>
      <c r="C4" s="1179" t="inlineStr">
        <is>
          <t>2:04 PM</t>
        </is>
      </c>
      <c r="D4" s="1179" t="inlineStr">
        <is>
          <t>2:04 PM</t>
        </is>
      </c>
      <c r="E4" s="1195" t="inlineStr">
        <is>
          <t>Fixed Asset Activity</t>
        </is>
      </c>
      <c r="F4" s="1195" t="inlineStr">
        <is>
          <t>Fixed Asset Activity</t>
        </is>
      </c>
      <c r="G4" s="1195" t="inlineStr">
        <is>
          <t>Fixed Asset Activity</t>
        </is>
      </c>
      <c r="H4" s="1195" t="inlineStr">
        <is>
          <t>Fixed Asset Activity</t>
        </is>
      </c>
      <c r="I4" s="1195" t="inlineStr">
        <is>
          <t>Fixed Asset Activity</t>
        </is>
      </c>
      <c r="J4" s="1195" t="inlineStr">
        <is>
          <t>Fixed Asset Activity</t>
        </is>
      </c>
      <c r="K4" s="1195" t="inlineStr">
        <is>
          <t>Fixed Asset Activity</t>
        </is>
      </c>
    </row>
    <row r="5" ht="8.449999999999999" customHeight="1" s="1173">
      <c r="E5" s="1195" t="inlineStr">
        <is>
          <t>Fixed Asset Activity</t>
        </is>
      </c>
      <c r="F5" s="1195" t="inlineStr">
        <is>
          <t>Fixed Asset Activity</t>
        </is>
      </c>
      <c r="G5" s="1195" t="inlineStr">
        <is>
          <t>Fixed Asset Activity</t>
        </is>
      </c>
      <c r="H5" s="1195" t="inlineStr">
        <is>
          <t>Fixed Asset Activity</t>
        </is>
      </c>
      <c r="I5" s="1195" t="inlineStr">
        <is>
          <t>Fixed Asset Activity</t>
        </is>
      </c>
      <c r="J5" s="1195" t="inlineStr">
        <is>
          <t>Fixed Asset Activity</t>
        </is>
      </c>
      <c r="K5" s="1195" t="inlineStr">
        <is>
          <t>Fixed Asset Activity</t>
        </is>
      </c>
    </row>
    <row r="6" ht="2.1" customHeight="1" s="1173"/>
    <row r="7" ht="14.1" customHeight="1" s="1173">
      <c r="E7" s="1194" t="inlineStr">
        <is>
          <t>1/1/2025 to 12/31/2025</t>
        </is>
      </c>
      <c r="F7" s="1194" t="inlineStr">
        <is>
          <t>1/1/2025 to 12/31/2025</t>
        </is>
      </c>
      <c r="G7" s="1194" t="inlineStr">
        <is>
          <t>1/1/2025 to 12/31/2025</t>
        </is>
      </c>
      <c r="H7" s="1194" t="inlineStr">
        <is>
          <t>1/1/2025 to 12/31/2025</t>
        </is>
      </c>
      <c r="I7" s="1194" t="inlineStr">
        <is>
          <t>1/1/2025 to 12/31/2025</t>
        </is>
      </c>
      <c r="J7" s="1194" t="inlineStr">
        <is>
          <t>1/1/2025 to 12/31/2025</t>
        </is>
      </c>
      <c r="K7" s="1194" t="inlineStr">
        <is>
          <t>1/1/2025 to 12/31/2025</t>
        </is>
      </c>
    </row>
    <row r="8" ht="12.75" customHeight="1" s="1173" thickBot="1"/>
    <row r="9" ht="24" customHeight="1" s="1173" thickBot="1" thickTop="1">
      <c r="A9" s="1196" t="inlineStr"/>
      <c r="B9" s="1196" t="inlineStr"/>
      <c r="C9" s="1196" t="inlineStr"/>
      <c r="D9" s="1196" t="inlineStr">
        <is>
          <t>Transaction Date</t>
        </is>
      </c>
      <c r="E9" s="1196" t="inlineStr">
        <is>
          <t>Transaction Date</t>
        </is>
      </c>
      <c r="F9" s="1196" t="inlineStr">
        <is>
          <t>Transaction Number</t>
        </is>
      </c>
      <c r="G9" s="1196" t="inlineStr">
        <is>
          <t>Entry Screen</t>
        </is>
      </c>
      <c r="H9" s="1196" t="inlineStr">
        <is>
          <t>Offset Account</t>
        </is>
      </c>
      <c r="I9" s="1198" t="inlineStr">
        <is>
          <t>Book Value</t>
        </is>
      </c>
      <c r="J9" s="1198" t="inlineStr">
        <is>
          <t>Accumulated Depreciation</t>
        </is>
      </c>
      <c r="K9" s="1198" t="inlineStr">
        <is>
          <t>Depreciable Basis</t>
        </is>
      </c>
      <c r="L9" s="1198" t="inlineStr">
        <is>
          <t>Depreciable Basis</t>
        </is>
      </c>
      <c r="M9" s="1196" t="inlineStr"/>
      <c r="P9" s="1576" t="inlineStr">
        <is>
          <t>Valor Mercado 01/10/2024</t>
        </is>
      </c>
      <c r="Q9" s="1576" t="inlineStr">
        <is>
          <t>Valor Mercado 01/10/2025</t>
        </is>
      </c>
      <c r="R9" s="1576" t="inlineStr">
        <is>
          <t>Depreciação Orçamento</t>
        </is>
      </c>
      <c r="S9" s="1079" t="inlineStr">
        <is>
          <t>Depreciação Centerpoint 2025</t>
        </is>
      </c>
    </row>
    <row r="10" ht="21.6" customHeight="1" s="1173" thickTop="1">
      <c r="A10" s="1192" t="inlineStr">
        <is>
          <t>Buildings &amp; Improvements</t>
        </is>
      </c>
      <c r="B10" s="1192" t="inlineStr">
        <is>
          <t>Buildings &amp; Improvements</t>
        </is>
      </c>
      <c r="C10" s="1192" t="inlineStr">
        <is>
          <t>Buildings &amp; Improvements</t>
        </is>
      </c>
      <c r="D10" s="1192" t="inlineStr">
        <is>
          <t>Buildings &amp; Improvements</t>
        </is>
      </c>
      <c r="E10" s="1192" t="inlineStr">
        <is>
          <t>Buildings &amp; Improvements</t>
        </is>
      </c>
      <c r="F10" s="1192" t="inlineStr">
        <is>
          <t>Buildings &amp; Improvements</t>
        </is>
      </c>
      <c r="G10" s="1192" t="inlineStr">
        <is>
          <t>Buildings &amp; Improvements</t>
        </is>
      </c>
      <c r="H10" s="1192" t="inlineStr">
        <is>
          <t>Buildings &amp; Improvements</t>
        </is>
      </c>
      <c r="I10" s="1192" t="inlineStr">
        <is>
          <t>Buildings &amp; Improvements</t>
        </is>
      </c>
      <c r="J10" s="1192" t="inlineStr">
        <is>
          <t>Buildings &amp; Improvements</t>
        </is>
      </c>
      <c r="K10" s="1192" t="inlineStr">
        <is>
          <t>Buildings &amp; Improvements</t>
        </is>
      </c>
      <c r="L10" s="1192" t="inlineStr">
        <is>
          <t>Buildings &amp; Improvements</t>
        </is>
      </c>
      <c r="M10" s="1192" t="inlineStr">
        <is>
          <t>Buildings &amp; Improvements</t>
        </is>
      </c>
    </row>
    <row r="11" ht="14.25" customHeight="1" s="1173">
      <c r="A11" s="1182" t="inlineStr"/>
      <c r="B11" s="1193" t="inlineStr">
        <is>
          <t xml:space="preserve">Buildings and Structures - </t>
        </is>
      </c>
      <c r="C11" s="1193" t="inlineStr">
        <is>
          <t xml:space="preserve">Buildings and Structures - </t>
        </is>
      </c>
      <c r="D11" s="1193" t="inlineStr">
        <is>
          <t xml:space="preserve">Buildings and Structures - </t>
        </is>
      </c>
      <c r="E11" s="1193" t="inlineStr">
        <is>
          <t xml:space="preserve">Buildings and Structures - </t>
        </is>
      </c>
      <c r="F11" s="1193" t="inlineStr">
        <is>
          <t xml:space="preserve">Buildings and Structures - </t>
        </is>
      </c>
      <c r="G11" s="1193" t="inlineStr">
        <is>
          <t xml:space="preserve">Buildings and Structures - </t>
        </is>
      </c>
      <c r="H11" s="1193" t="inlineStr">
        <is>
          <t xml:space="preserve">Buildings and Structures - </t>
        </is>
      </c>
      <c r="I11" s="1193" t="inlineStr">
        <is>
          <t xml:space="preserve">Buildings and Structures - </t>
        </is>
      </c>
      <c r="J11" s="1193" t="inlineStr">
        <is>
          <t xml:space="preserve">Buildings and Structures - </t>
        </is>
      </c>
      <c r="K11" s="1193" t="inlineStr">
        <is>
          <t xml:space="preserve">Buildings and Structures - </t>
        </is>
      </c>
      <c r="L11" s="1193" t="inlineStr">
        <is>
          <t xml:space="preserve">Buildings and Structures - </t>
        </is>
      </c>
      <c r="M11" s="1193" t="inlineStr">
        <is>
          <t xml:space="preserve">Buildings and Structures - </t>
        </is>
      </c>
    </row>
    <row r="12" ht="13.15" customHeight="1" s="1173">
      <c r="A12" s="1182" t="inlineStr"/>
      <c r="B12" s="1182" t="inlineStr"/>
      <c r="C12" s="1186" t="inlineStr">
        <is>
          <t>Irrigation Well</t>
        </is>
      </c>
      <c r="D12" s="1186" t="inlineStr">
        <is>
          <t>Irrigation Well</t>
        </is>
      </c>
      <c r="E12" s="1186" t="inlineStr">
        <is>
          <t>Irrigation Well</t>
        </is>
      </c>
      <c r="F12" s="1186" t="inlineStr">
        <is>
          <t>Irrigation Well</t>
        </is>
      </c>
      <c r="G12" s="1186" t="inlineStr">
        <is>
          <t>Irrigation Well</t>
        </is>
      </c>
      <c r="H12" s="1186" t="inlineStr">
        <is>
          <t>Irrigation Well</t>
        </is>
      </c>
      <c r="I12" s="1186" t="inlineStr">
        <is>
          <t>Irrigation Well</t>
        </is>
      </c>
      <c r="J12" s="1186" t="inlineStr">
        <is>
          <t>Irrigation Well</t>
        </is>
      </c>
      <c r="K12" s="1186" t="inlineStr">
        <is>
          <t>Irrigation Well</t>
        </is>
      </c>
      <c r="L12" s="1186" t="inlineStr">
        <is>
          <t>Irrigation Well</t>
        </is>
      </c>
      <c r="M12" s="1186" t="inlineStr">
        <is>
          <t>Irrigation Well</t>
        </is>
      </c>
    </row>
    <row r="13" ht="15.75" customHeight="1" s="1173" thickBot="1">
      <c r="A13" s="1182" t="inlineStr"/>
      <c r="B13" s="1182" t="inlineStr"/>
      <c r="C13" s="1182" t="inlineStr"/>
      <c r="D13" s="1577" t="n">
        <v>45657</v>
      </c>
      <c r="E13" s="1577" t="n">
        <v>45657</v>
      </c>
      <c r="F13" s="1179" t="inlineStr">
        <is>
          <t xml:space="preserve"> Beg Bal</t>
        </is>
      </c>
      <c r="G13" s="1179" t="n"/>
      <c r="H13" s="1179" t="n"/>
      <c r="I13" s="1578" t="n">
        <v>172800</v>
      </c>
      <c r="J13" s="1578" t="n">
        <v>0</v>
      </c>
      <c r="K13" s="1578" t="n">
        <v>172800</v>
      </c>
      <c r="L13" s="1578" t="n">
        <v>172800</v>
      </c>
      <c r="M13" s="1182" t="inlineStr"/>
    </row>
    <row r="14" ht="15.75" customHeight="1" s="1173" thickTop="1">
      <c r="A14" s="1181" t="inlineStr">
        <is>
          <t>Irrigation Well Totals</t>
        </is>
      </c>
      <c r="B14" s="1181" t="inlineStr">
        <is>
          <t>Irrigation Well Totals</t>
        </is>
      </c>
      <c r="C14" s="1181" t="inlineStr">
        <is>
          <t>Irrigation Well Totals</t>
        </is>
      </c>
      <c r="D14" s="1181" t="inlineStr">
        <is>
          <t>Irrigation Well Totals</t>
        </is>
      </c>
      <c r="E14" s="1181" t="inlineStr">
        <is>
          <t>Irrigation Well Totals</t>
        </is>
      </c>
      <c r="F14" s="1181" t="inlineStr">
        <is>
          <t>Irrigation Well Totals</t>
        </is>
      </c>
      <c r="G14" s="1181" t="inlineStr">
        <is>
          <t>Irrigation Well Totals</t>
        </is>
      </c>
      <c r="H14" s="1181" t="inlineStr">
        <is>
          <t>Irrigation Well Totals</t>
        </is>
      </c>
      <c r="I14" s="1579" t="n">
        <v>172800</v>
      </c>
      <c r="J14" s="1579" t="n">
        <v>0</v>
      </c>
      <c r="K14" s="1579" t="n">
        <v>172800</v>
      </c>
      <c r="L14" s="1579" t="n">
        <v>172800</v>
      </c>
      <c r="M14" s="1182" t="inlineStr"/>
      <c r="R14" s="1575" t="n">
        <v>7200</v>
      </c>
      <c r="S14" s="1580" t="n">
        <v>7200</v>
      </c>
    </row>
    <row r="15" ht="13.15" customHeight="1" s="1173">
      <c r="A15" s="1182" t="inlineStr"/>
      <c r="B15" s="1182" t="inlineStr"/>
      <c r="C15" s="1186" t="inlineStr">
        <is>
          <t>Shed 1</t>
        </is>
      </c>
      <c r="D15" s="1186" t="inlineStr">
        <is>
          <t>Shed 1</t>
        </is>
      </c>
      <c r="E15" s="1186" t="inlineStr">
        <is>
          <t>Shed 1</t>
        </is>
      </c>
      <c r="F15" s="1186" t="inlineStr">
        <is>
          <t>Shed 1</t>
        </is>
      </c>
      <c r="G15" s="1186" t="inlineStr">
        <is>
          <t>Shed 1</t>
        </is>
      </c>
      <c r="H15" s="1186" t="inlineStr">
        <is>
          <t>Shed 1</t>
        </is>
      </c>
      <c r="I15" s="1186" t="inlineStr">
        <is>
          <t>Shed 1</t>
        </is>
      </c>
      <c r="J15" s="1186" t="inlineStr">
        <is>
          <t>Shed 1</t>
        </is>
      </c>
      <c r="K15" s="1186" t="inlineStr">
        <is>
          <t>Shed 1</t>
        </is>
      </c>
      <c r="L15" s="1186" t="inlineStr">
        <is>
          <t>Shed 1</t>
        </is>
      </c>
      <c r="M15" s="1186" t="inlineStr">
        <is>
          <t>Shed 1</t>
        </is>
      </c>
      <c r="S15" s="1580" t="n"/>
    </row>
    <row r="16" ht="15.75" customHeight="1" s="1173" thickBot="1">
      <c r="A16" s="1182" t="inlineStr"/>
      <c r="B16" s="1182" t="inlineStr"/>
      <c r="C16" s="1182" t="inlineStr"/>
      <c r="D16" s="1577" t="n">
        <v>45657</v>
      </c>
      <c r="E16" s="1577" t="n">
        <v>45657</v>
      </c>
      <c r="F16" s="1179" t="inlineStr">
        <is>
          <t xml:space="preserve"> Beg Bal</t>
        </is>
      </c>
      <c r="G16" s="1179" t="n"/>
      <c r="H16" s="1179" t="n"/>
      <c r="I16" s="1578" t="n">
        <v>1238400</v>
      </c>
      <c r="J16" s="1578" t="n">
        <v>0</v>
      </c>
      <c r="K16" s="1578" t="n">
        <v>1238400</v>
      </c>
      <c r="L16" s="1578" t="n">
        <v>1238400</v>
      </c>
      <c r="M16" s="1182" t="inlineStr"/>
      <c r="S16" s="1580" t="n"/>
    </row>
    <row r="17" ht="15.75" customHeight="1" s="1173" thickTop="1">
      <c r="A17" s="1181" t="inlineStr">
        <is>
          <t>Shed 1 Totals</t>
        </is>
      </c>
      <c r="B17" s="1181" t="inlineStr">
        <is>
          <t>Shed 1 Totals</t>
        </is>
      </c>
      <c r="C17" s="1181" t="inlineStr">
        <is>
          <t>Shed 1 Totals</t>
        </is>
      </c>
      <c r="D17" s="1181" t="inlineStr">
        <is>
          <t>Shed 1 Totals</t>
        </is>
      </c>
      <c r="E17" s="1181" t="inlineStr">
        <is>
          <t>Shed 1 Totals</t>
        </is>
      </c>
      <c r="F17" s="1181" t="inlineStr">
        <is>
          <t>Shed 1 Totals</t>
        </is>
      </c>
      <c r="G17" s="1181" t="inlineStr">
        <is>
          <t>Shed 1 Totals</t>
        </is>
      </c>
      <c r="H17" s="1181" t="inlineStr">
        <is>
          <t>Shed 1 Totals</t>
        </is>
      </c>
      <c r="I17" s="1579" t="n">
        <v>1238400</v>
      </c>
      <c r="J17" s="1579" t="n">
        <v>0</v>
      </c>
      <c r="K17" s="1579" t="n">
        <v>1238400</v>
      </c>
      <c r="L17" s="1579" t="n">
        <v>1238400</v>
      </c>
      <c r="M17" s="1182" t="inlineStr"/>
      <c r="R17" s="1575" t="n">
        <v>51600</v>
      </c>
      <c r="S17" s="1580" t="n">
        <v>51600</v>
      </c>
    </row>
    <row r="18" ht="13.15" customHeight="1" s="1173">
      <c r="A18" s="1182" t="inlineStr"/>
      <c r="B18" s="1182" t="inlineStr"/>
      <c r="C18" s="1186" t="inlineStr">
        <is>
          <t>Shed 2</t>
        </is>
      </c>
      <c r="D18" s="1186" t="inlineStr">
        <is>
          <t>Shed 2</t>
        </is>
      </c>
      <c r="E18" s="1186" t="inlineStr">
        <is>
          <t>Shed 2</t>
        </is>
      </c>
      <c r="F18" s="1186" t="inlineStr">
        <is>
          <t>Shed 2</t>
        </is>
      </c>
      <c r="G18" s="1186" t="inlineStr">
        <is>
          <t>Shed 2</t>
        </is>
      </c>
      <c r="H18" s="1186" t="inlineStr">
        <is>
          <t>Shed 2</t>
        </is>
      </c>
      <c r="I18" s="1186" t="inlineStr">
        <is>
          <t>Shed 2</t>
        </is>
      </c>
      <c r="J18" s="1186" t="inlineStr">
        <is>
          <t>Shed 2</t>
        </is>
      </c>
      <c r="K18" s="1186" t="inlineStr">
        <is>
          <t>Shed 2</t>
        </is>
      </c>
      <c r="L18" s="1186" t="inlineStr">
        <is>
          <t>Shed 2</t>
        </is>
      </c>
      <c r="M18" s="1186" t="inlineStr">
        <is>
          <t>Shed 2</t>
        </is>
      </c>
      <c r="S18" s="1580" t="n"/>
    </row>
    <row r="19" ht="15.75" customHeight="1" s="1173" thickBot="1">
      <c r="A19" s="1182" t="inlineStr"/>
      <c r="B19" s="1182" t="inlineStr"/>
      <c r="C19" s="1182" t="inlineStr"/>
      <c r="D19" s="1577" t="n">
        <v>45657</v>
      </c>
      <c r="E19" s="1577" t="n">
        <v>45657</v>
      </c>
      <c r="F19" s="1179" t="inlineStr">
        <is>
          <t xml:space="preserve"> Beg Bal</t>
        </is>
      </c>
      <c r="G19" s="1179" t="n"/>
      <c r="H19" s="1179" t="n"/>
      <c r="I19" s="1578" t="n">
        <v>960000</v>
      </c>
      <c r="J19" s="1578" t="n">
        <v>0</v>
      </c>
      <c r="K19" s="1578" t="n">
        <v>960000</v>
      </c>
      <c r="L19" s="1578" t="n">
        <v>960000</v>
      </c>
      <c r="M19" s="1182" t="inlineStr"/>
      <c r="S19" s="1580" t="n"/>
    </row>
    <row r="20" ht="15.75" customHeight="1" s="1173" thickTop="1">
      <c r="A20" s="1181" t="inlineStr">
        <is>
          <t>Shed 2 Totals</t>
        </is>
      </c>
      <c r="B20" s="1181" t="inlineStr">
        <is>
          <t>Shed 2 Totals</t>
        </is>
      </c>
      <c r="C20" s="1181" t="inlineStr">
        <is>
          <t>Shed 2 Totals</t>
        </is>
      </c>
      <c r="D20" s="1181" t="inlineStr">
        <is>
          <t>Shed 2 Totals</t>
        </is>
      </c>
      <c r="E20" s="1181" t="inlineStr">
        <is>
          <t>Shed 2 Totals</t>
        </is>
      </c>
      <c r="F20" s="1181" t="inlineStr">
        <is>
          <t>Shed 2 Totals</t>
        </is>
      </c>
      <c r="G20" s="1181" t="inlineStr">
        <is>
          <t>Shed 2 Totals</t>
        </is>
      </c>
      <c r="H20" s="1181" t="inlineStr">
        <is>
          <t>Shed 2 Totals</t>
        </is>
      </c>
      <c r="I20" s="1579" t="n">
        <v>960000</v>
      </c>
      <c r="J20" s="1579" t="n">
        <v>0</v>
      </c>
      <c r="K20" s="1579" t="n">
        <v>960000</v>
      </c>
      <c r="L20" s="1579" t="n">
        <v>960000</v>
      </c>
      <c r="M20" s="1182" t="inlineStr"/>
      <c r="R20" s="1575" t="n">
        <v>40000</v>
      </c>
      <c r="S20" s="1580" t="n">
        <v>40000</v>
      </c>
    </row>
    <row r="21" ht="13.15" customHeight="1" s="1173">
      <c r="A21" s="1182" t="inlineStr"/>
      <c r="B21" s="1182" t="inlineStr"/>
      <c r="C21" s="1186" t="inlineStr">
        <is>
          <t>Shed 3</t>
        </is>
      </c>
      <c r="D21" s="1186" t="inlineStr">
        <is>
          <t>Shed 3</t>
        </is>
      </c>
      <c r="E21" s="1186" t="inlineStr">
        <is>
          <t>Shed 3</t>
        </is>
      </c>
      <c r="F21" s="1186" t="inlineStr">
        <is>
          <t>Shed 3</t>
        </is>
      </c>
      <c r="G21" s="1186" t="inlineStr">
        <is>
          <t>Shed 3</t>
        </is>
      </c>
      <c r="H21" s="1186" t="inlineStr">
        <is>
          <t>Shed 3</t>
        </is>
      </c>
      <c r="I21" s="1186" t="inlineStr">
        <is>
          <t>Shed 3</t>
        </is>
      </c>
      <c r="J21" s="1186" t="inlineStr">
        <is>
          <t>Shed 3</t>
        </is>
      </c>
      <c r="K21" s="1186" t="inlineStr">
        <is>
          <t>Shed 3</t>
        </is>
      </c>
      <c r="L21" s="1186" t="inlineStr">
        <is>
          <t>Shed 3</t>
        </is>
      </c>
      <c r="M21" s="1186" t="inlineStr">
        <is>
          <t>Shed 3</t>
        </is>
      </c>
      <c r="S21" s="1580" t="n"/>
    </row>
    <row r="22" ht="15.75" customHeight="1" s="1173" thickBot="1">
      <c r="A22" s="1182" t="inlineStr"/>
      <c r="B22" s="1182" t="inlineStr"/>
      <c r="C22" s="1182" t="inlineStr"/>
      <c r="D22" s="1577" t="n">
        <v>45657</v>
      </c>
      <c r="E22" s="1577" t="n">
        <v>45657</v>
      </c>
      <c r="F22" s="1179" t="inlineStr">
        <is>
          <t xml:space="preserve"> Beg Bal</t>
        </is>
      </c>
      <c r="G22" s="1179" t="n"/>
      <c r="H22" s="1179" t="n"/>
      <c r="I22" s="1578" t="n">
        <v>1152000</v>
      </c>
      <c r="J22" s="1578" t="n">
        <v>0</v>
      </c>
      <c r="K22" s="1578" t="n">
        <v>1152000</v>
      </c>
      <c r="L22" s="1578" t="n">
        <v>1152000</v>
      </c>
      <c r="M22" s="1182" t="inlineStr"/>
      <c r="S22" s="1580" t="n"/>
    </row>
    <row r="23" ht="15.75" customHeight="1" s="1173" thickTop="1">
      <c r="A23" s="1181" t="inlineStr">
        <is>
          <t>Shed 3 Totals</t>
        </is>
      </c>
      <c r="B23" s="1181" t="inlineStr">
        <is>
          <t>Shed 3 Totals</t>
        </is>
      </c>
      <c r="C23" s="1181" t="inlineStr">
        <is>
          <t>Shed 3 Totals</t>
        </is>
      </c>
      <c r="D23" s="1181" t="inlineStr">
        <is>
          <t>Shed 3 Totals</t>
        </is>
      </c>
      <c r="E23" s="1181" t="inlineStr">
        <is>
          <t>Shed 3 Totals</t>
        </is>
      </c>
      <c r="F23" s="1181" t="inlineStr">
        <is>
          <t>Shed 3 Totals</t>
        </is>
      </c>
      <c r="G23" s="1181" t="inlineStr">
        <is>
          <t>Shed 3 Totals</t>
        </is>
      </c>
      <c r="H23" s="1181" t="inlineStr">
        <is>
          <t>Shed 3 Totals</t>
        </is>
      </c>
      <c r="I23" s="1579" t="n">
        <v>1152000</v>
      </c>
      <c r="J23" s="1579" t="n">
        <v>0</v>
      </c>
      <c r="K23" s="1579" t="n">
        <v>1152000</v>
      </c>
      <c r="L23" s="1579" t="n">
        <v>1152000</v>
      </c>
      <c r="M23" s="1182" t="inlineStr"/>
      <c r="R23" s="1575" t="n">
        <v>48000</v>
      </c>
      <c r="S23" s="1580" t="n">
        <v>48000</v>
      </c>
    </row>
    <row r="24" ht="13.15" customHeight="1" s="1173">
      <c r="A24" s="1182" t="inlineStr"/>
      <c r="B24" s="1182" t="inlineStr"/>
      <c r="C24" s="1186" t="inlineStr">
        <is>
          <t>Solar Project</t>
        </is>
      </c>
      <c r="D24" s="1186" t="inlineStr">
        <is>
          <t>Solar Project</t>
        </is>
      </c>
      <c r="E24" s="1186" t="inlineStr">
        <is>
          <t>Solar Project</t>
        </is>
      </c>
      <c r="F24" s="1186" t="inlineStr">
        <is>
          <t>Solar Project</t>
        </is>
      </c>
      <c r="G24" s="1186" t="inlineStr">
        <is>
          <t>Solar Project</t>
        </is>
      </c>
      <c r="H24" s="1186" t="inlineStr">
        <is>
          <t>Solar Project</t>
        </is>
      </c>
      <c r="I24" s="1186" t="inlineStr">
        <is>
          <t>Solar Project</t>
        </is>
      </c>
      <c r="J24" s="1186" t="inlineStr">
        <is>
          <t>Solar Project</t>
        </is>
      </c>
      <c r="K24" s="1186" t="inlineStr">
        <is>
          <t>Solar Project</t>
        </is>
      </c>
      <c r="L24" s="1186" t="inlineStr">
        <is>
          <t>Solar Project</t>
        </is>
      </c>
      <c r="M24" s="1186" t="inlineStr">
        <is>
          <t>Solar Project</t>
        </is>
      </c>
      <c r="S24" s="1580" t="n"/>
    </row>
    <row r="25" ht="15.75" customHeight="1" s="1173" thickBot="1">
      <c r="A25" s="1182" t="inlineStr"/>
      <c r="B25" s="1182" t="inlineStr"/>
      <c r="C25" s="1182" t="inlineStr"/>
      <c r="D25" s="1577" t="n">
        <v>45657</v>
      </c>
      <c r="E25" s="1577" t="n">
        <v>45657</v>
      </c>
      <c r="F25" s="1179" t="inlineStr">
        <is>
          <t xml:space="preserve"> Beg Bal</t>
        </is>
      </c>
      <c r="G25" s="1179" t="n"/>
      <c r="H25" s="1179" t="n"/>
      <c r="I25" s="1578" t="n">
        <v>60960</v>
      </c>
      <c r="J25" s="1578" t="n">
        <v>0</v>
      </c>
      <c r="K25" s="1578" t="n">
        <v>60960</v>
      </c>
      <c r="L25" s="1578" t="n">
        <v>60960</v>
      </c>
      <c r="M25" s="1182" t="inlineStr"/>
      <c r="S25" s="1580" t="n"/>
    </row>
    <row r="26" ht="15.75" customHeight="1" s="1173" thickTop="1">
      <c r="A26" s="1181" t="inlineStr">
        <is>
          <t>Solar Project Totals</t>
        </is>
      </c>
      <c r="B26" s="1181" t="inlineStr">
        <is>
          <t>Solar Project Totals</t>
        </is>
      </c>
      <c r="C26" s="1181" t="inlineStr">
        <is>
          <t>Solar Project Totals</t>
        </is>
      </c>
      <c r="D26" s="1181" t="inlineStr">
        <is>
          <t>Solar Project Totals</t>
        </is>
      </c>
      <c r="E26" s="1181" t="inlineStr">
        <is>
          <t>Solar Project Totals</t>
        </is>
      </c>
      <c r="F26" s="1181" t="inlineStr">
        <is>
          <t>Solar Project Totals</t>
        </is>
      </c>
      <c r="G26" s="1181" t="inlineStr">
        <is>
          <t>Solar Project Totals</t>
        </is>
      </c>
      <c r="H26" s="1181" t="inlineStr">
        <is>
          <t>Solar Project Totals</t>
        </is>
      </c>
      <c r="I26" s="1579" t="n">
        <v>60960</v>
      </c>
      <c r="J26" s="1579" t="n">
        <v>0</v>
      </c>
      <c r="K26" s="1579" t="n">
        <v>60960</v>
      </c>
      <c r="L26" s="1579" t="n">
        <v>60960</v>
      </c>
      <c r="M26" s="1182" t="inlineStr"/>
      <c r="R26" s="1575" t="n">
        <v>2540</v>
      </c>
      <c r="S26" s="1580" t="n">
        <v>2540</v>
      </c>
    </row>
    <row r="27" ht="13.15" customHeight="1" s="1173">
      <c r="A27" s="1182" t="inlineStr"/>
      <c r="B27" s="1182" t="inlineStr"/>
      <c r="C27" s="1186" t="inlineStr">
        <is>
          <t>Structures from Land Purchase</t>
        </is>
      </c>
      <c r="D27" s="1186" t="inlineStr">
        <is>
          <t>Structures from Land Purchase</t>
        </is>
      </c>
      <c r="E27" s="1186" t="inlineStr">
        <is>
          <t>Structures from Land Purchase</t>
        </is>
      </c>
      <c r="F27" s="1186" t="inlineStr">
        <is>
          <t>Structures from Land Purchase</t>
        </is>
      </c>
      <c r="G27" s="1186" t="inlineStr">
        <is>
          <t>Structures from Land Purchase</t>
        </is>
      </c>
      <c r="H27" s="1186" t="inlineStr">
        <is>
          <t>Structures from Land Purchase</t>
        </is>
      </c>
      <c r="I27" s="1186" t="inlineStr">
        <is>
          <t>Structures from Land Purchase</t>
        </is>
      </c>
      <c r="J27" s="1186" t="inlineStr">
        <is>
          <t>Structures from Land Purchase</t>
        </is>
      </c>
      <c r="K27" s="1186" t="inlineStr">
        <is>
          <t>Structures from Land Purchase</t>
        </is>
      </c>
      <c r="L27" s="1186" t="inlineStr">
        <is>
          <t>Structures from Land Purchase</t>
        </is>
      </c>
      <c r="M27" s="1186" t="inlineStr">
        <is>
          <t>Structures from Land Purchase</t>
        </is>
      </c>
      <c r="S27" s="1580" t="n"/>
    </row>
    <row r="28" ht="15.75" customHeight="1" s="1173" thickBot="1">
      <c r="A28" s="1182" t="inlineStr"/>
      <c r="B28" s="1182" t="inlineStr"/>
      <c r="C28" s="1182" t="inlineStr"/>
      <c r="D28" s="1577" t="n">
        <v>45657</v>
      </c>
      <c r="E28" s="1577" t="n">
        <v>45657</v>
      </c>
      <c r="F28" s="1179" t="inlineStr">
        <is>
          <t xml:space="preserve"> Beg Bal</t>
        </is>
      </c>
      <c r="G28" s="1179" t="n"/>
      <c r="H28" s="1179" t="n"/>
      <c r="I28" s="1578" t="n">
        <v>8768621.73</v>
      </c>
      <c r="J28" s="1578" t="n">
        <v>0</v>
      </c>
      <c r="K28" s="1578" t="n">
        <v>8768621.73</v>
      </c>
      <c r="L28" s="1578" t="n">
        <v>8768621.73</v>
      </c>
      <c r="M28" s="1182" t="inlineStr"/>
      <c r="S28" s="1580" t="n"/>
    </row>
    <row r="29" ht="15.75" customHeight="1" s="1173" thickTop="1">
      <c r="A29" s="1181" t="inlineStr">
        <is>
          <t>Structures from Land Purchase Totals</t>
        </is>
      </c>
      <c r="B29" s="1181" t="inlineStr">
        <is>
          <t>Structures from Land Purchase Totals</t>
        </is>
      </c>
      <c r="C29" s="1181" t="inlineStr">
        <is>
          <t>Structures from Land Purchase Totals</t>
        </is>
      </c>
      <c r="D29" s="1181" t="inlineStr">
        <is>
          <t>Structures from Land Purchase Totals</t>
        </is>
      </c>
      <c r="E29" s="1181" t="inlineStr">
        <is>
          <t>Structures from Land Purchase Totals</t>
        </is>
      </c>
      <c r="F29" s="1181" t="inlineStr">
        <is>
          <t>Structures from Land Purchase Totals</t>
        </is>
      </c>
      <c r="G29" s="1181" t="inlineStr">
        <is>
          <t>Structures from Land Purchase Totals</t>
        </is>
      </c>
      <c r="H29" s="1181" t="inlineStr">
        <is>
          <t>Structures from Land Purchase Totals</t>
        </is>
      </c>
      <c r="I29" s="1579" t="n">
        <v>8768621.73</v>
      </c>
      <c r="J29" s="1579" t="n">
        <v>0</v>
      </c>
      <c r="K29" s="1579" t="n">
        <v>8768621.73</v>
      </c>
      <c r="L29" s="1579" t="n">
        <v>8768621.73</v>
      </c>
      <c r="M29" s="1182" t="inlineStr"/>
      <c r="R29" s="1575" t="n">
        <v>365359.2292</v>
      </c>
      <c r="S29" s="1580" t="n">
        <v>365359.2292</v>
      </c>
    </row>
    <row r="30" ht="13.15" customHeight="1" s="1173">
      <c r="A30" s="1182" t="inlineStr"/>
      <c r="B30" s="1182" t="inlineStr"/>
      <c r="C30" s="1186" t="inlineStr">
        <is>
          <t>Water Tank 1</t>
        </is>
      </c>
      <c r="D30" s="1186" t="inlineStr">
        <is>
          <t>Water Tank 1</t>
        </is>
      </c>
      <c r="E30" s="1186" t="inlineStr">
        <is>
          <t>Water Tank 1</t>
        </is>
      </c>
      <c r="F30" s="1186" t="inlineStr">
        <is>
          <t>Water Tank 1</t>
        </is>
      </c>
      <c r="G30" s="1186" t="inlineStr">
        <is>
          <t>Water Tank 1</t>
        </is>
      </c>
      <c r="H30" s="1186" t="inlineStr">
        <is>
          <t>Water Tank 1</t>
        </is>
      </c>
      <c r="I30" s="1186" t="inlineStr">
        <is>
          <t>Water Tank 1</t>
        </is>
      </c>
      <c r="J30" s="1186" t="inlineStr">
        <is>
          <t>Water Tank 1</t>
        </is>
      </c>
      <c r="K30" s="1186" t="inlineStr">
        <is>
          <t>Water Tank 1</t>
        </is>
      </c>
      <c r="L30" s="1186" t="inlineStr">
        <is>
          <t>Water Tank 1</t>
        </is>
      </c>
      <c r="M30" s="1186" t="inlineStr">
        <is>
          <t>Water Tank 1</t>
        </is>
      </c>
      <c r="S30" s="1580" t="n"/>
    </row>
    <row r="31" ht="15.75" customHeight="1" s="1173" thickBot="1">
      <c r="A31" s="1182" t="inlineStr"/>
      <c r="B31" s="1182" t="inlineStr"/>
      <c r="C31" s="1182" t="inlineStr"/>
      <c r="D31" s="1577" t="n">
        <v>45657</v>
      </c>
      <c r="E31" s="1577" t="n">
        <v>45657</v>
      </c>
      <c r="F31" s="1179" t="inlineStr">
        <is>
          <t xml:space="preserve"> Beg Bal</t>
        </is>
      </c>
      <c r="G31" s="1179" t="n"/>
      <c r="H31" s="1179" t="n"/>
      <c r="I31" s="1578" t="n">
        <v>9984</v>
      </c>
      <c r="J31" s="1578" t="n">
        <v>0</v>
      </c>
      <c r="K31" s="1578" t="n">
        <v>9984</v>
      </c>
      <c r="L31" s="1578" t="n">
        <v>9984</v>
      </c>
      <c r="M31" s="1182" t="inlineStr"/>
      <c r="S31" s="1580" t="n"/>
    </row>
    <row r="32" ht="15.75" customHeight="1" s="1173" thickTop="1">
      <c r="A32" s="1181" t="inlineStr">
        <is>
          <t>Water Tank 1 Totals</t>
        </is>
      </c>
      <c r="B32" s="1181" t="inlineStr">
        <is>
          <t>Water Tank 1 Totals</t>
        </is>
      </c>
      <c r="C32" s="1181" t="inlineStr">
        <is>
          <t>Water Tank 1 Totals</t>
        </is>
      </c>
      <c r="D32" s="1181" t="inlineStr">
        <is>
          <t>Water Tank 1 Totals</t>
        </is>
      </c>
      <c r="E32" s="1181" t="inlineStr">
        <is>
          <t>Water Tank 1 Totals</t>
        </is>
      </c>
      <c r="F32" s="1181" t="inlineStr">
        <is>
          <t>Water Tank 1 Totals</t>
        </is>
      </c>
      <c r="G32" s="1181" t="inlineStr">
        <is>
          <t>Water Tank 1 Totals</t>
        </is>
      </c>
      <c r="H32" s="1181" t="inlineStr">
        <is>
          <t>Water Tank 1 Totals</t>
        </is>
      </c>
      <c r="I32" s="1579" t="n">
        <v>9984</v>
      </c>
      <c r="J32" s="1579" t="n">
        <v>0</v>
      </c>
      <c r="K32" s="1579" t="n">
        <v>9984</v>
      </c>
      <c r="L32" s="1579" t="n">
        <v>9984</v>
      </c>
      <c r="M32" s="1182" t="inlineStr"/>
      <c r="R32" s="1575" t="n">
        <v>416</v>
      </c>
      <c r="S32" s="1580" t="n">
        <v>416</v>
      </c>
    </row>
    <row r="33" ht="13.15" customHeight="1" s="1173">
      <c r="A33" s="1182" t="inlineStr"/>
      <c r="B33" s="1182" t="inlineStr"/>
      <c r="C33" s="1186" t="inlineStr">
        <is>
          <t>Water Tank 2</t>
        </is>
      </c>
      <c r="D33" s="1186" t="inlineStr">
        <is>
          <t>Water Tank 2</t>
        </is>
      </c>
      <c r="E33" s="1186" t="inlineStr">
        <is>
          <t>Water Tank 2</t>
        </is>
      </c>
      <c r="F33" s="1186" t="inlineStr">
        <is>
          <t>Water Tank 2</t>
        </is>
      </c>
      <c r="G33" s="1186" t="inlineStr">
        <is>
          <t>Water Tank 2</t>
        </is>
      </c>
      <c r="H33" s="1186" t="inlineStr">
        <is>
          <t>Water Tank 2</t>
        </is>
      </c>
      <c r="I33" s="1186" t="inlineStr">
        <is>
          <t>Water Tank 2</t>
        </is>
      </c>
      <c r="J33" s="1186" t="inlineStr">
        <is>
          <t>Water Tank 2</t>
        </is>
      </c>
      <c r="K33" s="1186" t="inlineStr">
        <is>
          <t>Water Tank 2</t>
        </is>
      </c>
      <c r="L33" s="1186" t="inlineStr">
        <is>
          <t>Water Tank 2</t>
        </is>
      </c>
      <c r="M33" s="1186" t="inlineStr">
        <is>
          <t>Water Tank 2</t>
        </is>
      </c>
      <c r="S33" s="1580" t="n"/>
    </row>
    <row r="34" ht="15.75" customHeight="1" s="1173" thickBot="1">
      <c r="A34" s="1182" t="inlineStr"/>
      <c r="B34" s="1182" t="inlineStr"/>
      <c r="C34" s="1182" t="inlineStr"/>
      <c r="D34" s="1577" t="n">
        <v>45657</v>
      </c>
      <c r="E34" s="1577" t="n">
        <v>45657</v>
      </c>
      <c r="F34" s="1179" t="inlineStr">
        <is>
          <t xml:space="preserve"> Beg Bal</t>
        </is>
      </c>
      <c r="G34" s="1179" t="n"/>
      <c r="H34" s="1179" t="n"/>
      <c r="I34" s="1578" t="n">
        <v>21216</v>
      </c>
      <c r="J34" s="1578" t="n">
        <v>0</v>
      </c>
      <c r="K34" s="1578" t="n">
        <v>21216</v>
      </c>
      <c r="L34" s="1578" t="n">
        <v>21216</v>
      </c>
      <c r="M34" s="1182" t="inlineStr"/>
      <c r="S34" s="1580" t="n"/>
    </row>
    <row r="35" ht="15.75" customHeight="1" s="1173" thickTop="1">
      <c r="A35" s="1181" t="inlineStr">
        <is>
          <t>Water Tank 2 Totals</t>
        </is>
      </c>
      <c r="B35" s="1181" t="inlineStr">
        <is>
          <t>Water Tank 2 Totals</t>
        </is>
      </c>
      <c r="C35" s="1181" t="inlineStr">
        <is>
          <t>Water Tank 2 Totals</t>
        </is>
      </c>
      <c r="D35" s="1181" t="inlineStr">
        <is>
          <t>Water Tank 2 Totals</t>
        </is>
      </c>
      <c r="E35" s="1181" t="inlineStr">
        <is>
          <t>Water Tank 2 Totals</t>
        </is>
      </c>
      <c r="F35" s="1181" t="inlineStr">
        <is>
          <t>Water Tank 2 Totals</t>
        </is>
      </c>
      <c r="G35" s="1181" t="inlineStr">
        <is>
          <t>Water Tank 2 Totals</t>
        </is>
      </c>
      <c r="H35" s="1181" t="inlineStr">
        <is>
          <t>Water Tank 2 Totals</t>
        </is>
      </c>
      <c r="I35" s="1579" t="n">
        <v>21216</v>
      </c>
      <c r="J35" s="1579" t="n">
        <v>0</v>
      </c>
      <c r="K35" s="1579" t="n">
        <v>21216</v>
      </c>
      <c r="L35" s="1579" t="n">
        <v>21216</v>
      </c>
      <c r="M35" s="1182" t="inlineStr"/>
      <c r="R35" s="1575" t="n">
        <v>884</v>
      </c>
      <c r="S35" s="1580" t="n">
        <v>884</v>
      </c>
    </row>
    <row r="36" ht="13.15" customHeight="1" s="1173">
      <c r="A36" s="1182" t="inlineStr"/>
      <c r="B36" s="1182" t="inlineStr"/>
      <c r="C36" s="1186" t="inlineStr">
        <is>
          <t>Water Tank 3</t>
        </is>
      </c>
      <c r="D36" s="1186" t="inlineStr">
        <is>
          <t>Water Tank 3</t>
        </is>
      </c>
      <c r="E36" s="1186" t="inlineStr">
        <is>
          <t>Water Tank 3</t>
        </is>
      </c>
      <c r="F36" s="1186" t="inlineStr">
        <is>
          <t>Water Tank 3</t>
        </is>
      </c>
      <c r="G36" s="1186" t="inlineStr">
        <is>
          <t>Water Tank 3</t>
        </is>
      </c>
      <c r="H36" s="1186" t="inlineStr">
        <is>
          <t>Water Tank 3</t>
        </is>
      </c>
      <c r="I36" s="1186" t="inlineStr">
        <is>
          <t>Water Tank 3</t>
        </is>
      </c>
      <c r="J36" s="1186" t="inlineStr">
        <is>
          <t>Water Tank 3</t>
        </is>
      </c>
      <c r="K36" s="1186" t="inlineStr">
        <is>
          <t>Water Tank 3</t>
        </is>
      </c>
      <c r="L36" s="1186" t="inlineStr">
        <is>
          <t>Water Tank 3</t>
        </is>
      </c>
      <c r="M36" s="1186" t="inlineStr">
        <is>
          <t>Water Tank 3</t>
        </is>
      </c>
      <c r="S36" s="1580" t="n"/>
    </row>
    <row r="37" ht="15.75" customHeight="1" s="1173" thickBot="1">
      <c r="A37" s="1182" t="inlineStr"/>
      <c r="B37" s="1182" t="inlineStr"/>
      <c r="C37" s="1182" t="inlineStr"/>
      <c r="D37" s="1577" t="n">
        <v>45657</v>
      </c>
      <c r="E37" s="1577" t="n">
        <v>45657</v>
      </c>
      <c r="F37" s="1179" t="inlineStr">
        <is>
          <t xml:space="preserve"> Beg Bal</t>
        </is>
      </c>
      <c r="G37" s="1179" t="n"/>
      <c r="H37" s="1179" t="n"/>
      <c r="I37" s="1578" t="n">
        <v>31200</v>
      </c>
      <c r="J37" s="1578" t="n">
        <v>0</v>
      </c>
      <c r="K37" s="1578" t="n">
        <v>31200</v>
      </c>
      <c r="L37" s="1578" t="n">
        <v>31200</v>
      </c>
      <c r="M37" s="1182" t="inlineStr"/>
      <c r="S37" s="1580" t="n"/>
    </row>
    <row r="38" ht="16.5" customHeight="1" s="1173" thickBot="1" thickTop="1">
      <c r="A38" s="1181" t="inlineStr">
        <is>
          <t>Water Tank 3 Totals</t>
        </is>
      </c>
      <c r="B38" s="1181" t="inlineStr">
        <is>
          <t>Water Tank 3 Totals</t>
        </is>
      </c>
      <c r="C38" s="1181" t="inlineStr">
        <is>
          <t>Water Tank 3 Totals</t>
        </is>
      </c>
      <c r="D38" s="1181" t="inlineStr">
        <is>
          <t>Water Tank 3 Totals</t>
        </is>
      </c>
      <c r="E38" s="1181" t="inlineStr">
        <is>
          <t>Water Tank 3 Totals</t>
        </is>
      </c>
      <c r="F38" s="1181" t="inlineStr">
        <is>
          <t>Water Tank 3 Totals</t>
        </is>
      </c>
      <c r="G38" s="1181" t="inlineStr">
        <is>
          <t>Water Tank 3 Totals</t>
        </is>
      </c>
      <c r="H38" s="1181" t="inlineStr">
        <is>
          <t>Water Tank 3 Totals</t>
        </is>
      </c>
      <c r="I38" s="1579" t="n">
        <v>31200</v>
      </c>
      <c r="J38" s="1579" t="n">
        <v>0</v>
      </c>
      <c r="K38" s="1579" t="n">
        <v>31200</v>
      </c>
      <c r="L38" s="1579" t="n">
        <v>31200</v>
      </c>
      <c r="M38" s="1182" t="inlineStr"/>
      <c r="R38" s="1575" t="n">
        <v>1300</v>
      </c>
      <c r="S38" s="1580" t="n">
        <v>1300</v>
      </c>
    </row>
    <row r="39" ht="15.75" customHeight="1" s="1173" thickTop="1">
      <c r="A39" s="1181" t="n"/>
      <c r="B39" s="1181" t="n"/>
      <c r="C39" s="1181" t="n"/>
      <c r="D39" s="1181" t="n"/>
      <c r="E39" s="1181" t="n"/>
      <c r="F39" s="1181" t="n"/>
      <c r="G39" s="1181" t="n"/>
      <c r="H39" s="1181" t="n"/>
      <c r="I39" s="1579" t="n"/>
      <c r="J39" s="1579" t="n"/>
      <c r="K39" s="1579" t="n"/>
      <c r="L39" s="1579" t="n"/>
      <c r="M39" s="1182" t="inlineStr"/>
    </row>
    <row r="40" ht="21.6" customHeight="1" s="1173">
      <c r="A40" s="1192" t="inlineStr">
        <is>
          <t>Machinery &amp; Equipment</t>
        </is>
      </c>
      <c r="B40" s="1192" t="inlineStr">
        <is>
          <t>Machinery &amp; Equipment</t>
        </is>
      </c>
      <c r="C40" s="1192" t="inlineStr">
        <is>
          <t>Machinery &amp; Equipment</t>
        </is>
      </c>
      <c r="D40" s="1192" t="inlineStr">
        <is>
          <t>Machinery &amp; Equipment</t>
        </is>
      </c>
      <c r="E40" s="1192" t="inlineStr">
        <is>
          <t>Machinery &amp; Equipment</t>
        </is>
      </c>
      <c r="F40" s="1192" t="inlineStr">
        <is>
          <t>Machinery &amp; Equipment</t>
        </is>
      </c>
      <c r="G40" s="1192" t="inlineStr">
        <is>
          <t>Machinery &amp; Equipment</t>
        </is>
      </c>
      <c r="H40" s="1192" t="inlineStr">
        <is>
          <t>Machinery &amp; Equipment</t>
        </is>
      </c>
      <c r="I40" s="1192" t="inlineStr">
        <is>
          <t>Machinery &amp; Equipment</t>
        </is>
      </c>
      <c r="J40" s="1192" t="inlineStr">
        <is>
          <t>Machinery &amp; Equipment</t>
        </is>
      </c>
      <c r="K40" s="1192" t="inlineStr">
        <is>
          <t>Machinery &amp; Equipment</t>
        </is>
      </c>
      <c r="L40" s="1192" t="inlineStr">
        <is>
          <t>Machinery &amp; Equipment</t>
        </is>
      </c>
      <c r="M40" s="1192" t="inlineStr">
        <is>
          <t>Machinery &amp; Equipment</t>
        </is>
      </c>
    </row>
    <row r="41" ht="14.45" customHeight="1" s="1173">
      <c r="A41" s="1182" t="inlineStr"/>
      <c r="B41" s="1193" t="inlineStr">
        <is>
          <t xml:space="preserve">Machinery and Equipment - </t>
        </is>
      </c>
      <c r="C41" s="1193" t="inlineStr">
        <is>
          <t xml:space="preserve">Machinery and Equipment - </t>
        </is>
      </c>
      <c r="D41" s="1193" t="inlineStr">
        <is>
          <t xml:space="preserve">Machinery and Equipment - </t>
        </is>
      </c>
      <c r="E41" s="1193" t="inlineStr">
        <is>
          <t xml:space="preserve">Machinery and Equipment - </t>
        </is>
      </c>
      <c r="F41" s="1193" t="inlineStr">
        <is>
          <t xml:space="preserve">Machinery and Equipment - </t>
        </is>
      </c>
      <c r="G41" s="1193" t="inlineStr">
        <is>
          <t xml:space="preserve">Machinery and Equipment - </t>
        </is>
      </c>
      <c r="H41" s="1193" t="inlineStr">
        <is>
          <t xml:space="preserve">Machinery and Equipment - </t>
        </is>
      </c>
      <c r="I41" s="1193" t="inlineStr">
        <is>
          <t xml:space="preserve">Machinery and Equipment - </t>
        </is>
      </c>
      <c r="J41" s="1193" t="inlineStr">
        <is>
          <t xml:space="preserve">Machinery and Equipment - </t>
        </is>
      </c>
      <c r="K41" s="1193" t="inlineStr">
        <is>
          <t xml:space="preserve">Machinery and Equipment - </t>
        </is>
      </c>
      <c r="L41" s="1193" t="inlineStr">
        <is>
          <t xml:space="preserve">Machinery and Equipment - </t>
        </is>
      </c>
      <c r="M41" s="1193" t="inlineStr">
        <is>
          <t xml:space="preserve">Machinery and Equipment - </t>
        </is>
      </c>
    </row>
    <row r="42" ht="13.15" customHeight="1" s="1173">
      <c r="A42" s="1182" t="inlineStr"/>
      <c r="B42" s="1182" t="inlineStr"/>
      <c r="C42" s="1186" t="inlineStr">
        <is>
          <t>2011 Honda NXR 150 KS OGW7606</t>
        </is>
      </c>
      <c r="D42" s="1186" t="inlineStr">
        <is>
          <t>2011 Honda NXR 150 KS OGW7606</t>
        </is>
      </c>
      <c r="E42" s="1186" t="inlineStr">
        <is>
          <t>2011 Honda NXR 150 KS OGW7606</t>
        </is>
      </c>
      <c r="F42" s="1186" t="inlineStr">
        <is>
          <t>2011 Honda NXR 150 KS OGW7606</t>
        </is>
      </c>
      <c r="G42" s="1186" t="inlineStr">
        <is>
          <t>2011 Honda NXR 150 KS OGW7606</t>
        </is>
      </c>
      <c r="H42" s="1186" t="inlineStr">
        <is>
          <t>2011 Honda NXR 150 KS OGW7606</t>
        </is>
      </c>
      <c r="I42" s="1186" t="inlineStr">
        <is>
          <t>2011 Honda NXR 150 KS OGW7606</t>
        </is>
      </c>
      <c r="J42" s="1186" t="inlineStr">
        <is>
          <t>2011 Honda NXR 150 KS OGW7606</t>
        </is>
      </c>
      <c r="K42" s="1186" t="inlineStr">
        <is>
          <t>2011 Honda NXR 150 KS OGW7606</t>
        </is>
      </c>
      <c r="L42" s="1186" t="inlineStr">
        <is>
          <t>2011 Honda NXR 150 KS OGW7606</t>
        </is>
      </c>
      <c r="M42" s="1186" t="inlineStr">
        <is>
          <t>2011 Honda NXR 150 KS OGW7606</t>
        </is>
      </c>
    </row>
    <row r="43" ht="15.75" customHeight="1" s="1173" thickBot="1">
      <c r="A43" s="1182" t="inlineStr"/>
      <c r="B43" s="1182" t="inlineStr"/>
      <c r="C43" s="1182" t="inlineStr"/>
      <c r="D43" s="1577" t="n">
        <v>45657</v>
      </c>
      <c r="E43" s="1577" t="n">
        <v>45657</v>
      </c>
      <c r="F43" s="1179" t="inlineStr">
        <is>
          <t xml:space="preserve"> Beg Bal</t>
        </is>
      </c>
      <c r="G43" s="1179" t="n"/>
      <c r="H43" s="1179" t="n"/>
      <c r="I43" s="1578" t="n">
        <v>800</v>
      </c>
      <c r="J43" s="1578" t="n">
        <v>0</v>
      </c>
      <c r="K43" s="1578" t="n">
        <v>800</v>
      </c>
      <c r="L43" s="1578" t="n">
        <v>800</v>
      </c>
      <c r="M43" s="1182" t="inlineStr"/>
      <c r="Q43" s="1575" t="n"/>
    </row>
    <row r="44" ht="15.75" customHeight="1" s="1173" thickTop="1">
      <c r="A44" s="1181" t="inlineStr">
        <is>
          <t>2011 Honda NXR 150 KS OGW7606 Totals</t>
        </is>
      </c>
      <c r="B44" s="1181" t="inlineStr">
        <is>
          <t>2011 Honda NXR 150 KS OGW7606 Totals</t>
        </is>
      </c>
      <c r="C44" s="1181" t="inlineStr">
        <is>
          <t>2011 Honda NXR 150 KS OGW7606 Totals</t>
        </is>
      </c>
      <c r="D44" s="1181" t="inlineStr">
        <is>
          <t>2011 Honda NXR 150 KS OGW7606 Totals</t>
        </is>
      </c>
      <c r="E44" s="1181" t="inlineStr">
        <is>
          <t>2011 Honda NXR 150 KS OGW7606 Totals</t>
        </is>
      </c>
      <c r="F44" s="1181" t="inlineStr">
        <is>
          <t>2011 Honda NXR 150 KS OGW7606 Totals</t>
        </is>
      </c>
      <c r="G44" s="1181" t="inlineStr">
        <is>
          <t>2011 Honda NXR 150 KS OGW7606 Totals</t>
        </is>
      </c>
      <c r="H44" s="1181" t="inlineStr">
        <is>
          <t>2011 Honda NXR 150 KS OGW7606 Totals</t>
        </is>
      </c>
      <c r="I44" s="1579" t="n">
        <v>800</v>
      </c>
      <c r="J44" s="1579" t="n">
        <v>0</v>
      </c>
      <c r="K44" s="1579" t="n">
        <v>800</v>
      </c>
      <c r="L44" s="1579" t="n">
        <v>800</v>
      </c>
      <c r="M44" s="1182" t="inlineStr"/>
      <c r="P44" s="1575" t="n">
        <v>800</v>
      </c>
      <c r="Q44" s="1575" t="n">
        <v>800</v>
      </c>
      <c r="R44" s="1575">
        <f>P44-Q44</f>
        <v/>
      </c>
      <c r="S44" s="1081">
        <f>K44-Q44</f>
        <v/>
      </c>
    </row>
    <row r="45" ht="13.15" customHeight="1" s="1173">
      <c r="A45" s="1182" t="inlineStr"/>
      <c r="B45" s="1182" t="inlineStr"/>
      <c r="C45" s="1186" t="inlineStr">
        <is>
          <t>2016/2017 Honda Moto PKK 1003</t>
        </is>
      </c>
      <c r="D45" s="1186" t="inlineStr">
        <is>
          <t>2016/2017 Honda Moto PKK 1003</t>
        </is>
      </c>
      <c r="E45" s="1186" t="inlineStr">
        <is>
          <t>2016/2017 Honda Moto PKK 1003</t>
        </is>
      </c>
      <c r="F45" s="1186" t="inlineStr">
        <is>
          <t>2016/2017 Honda Moto PKK 1003</t>
        </is>
      </c>
      <c r="G45" s="1186" t="inlineStr">
        <is>
          <t>2016/2017 Honda Moto PKK 1003</t>
        </is>
      </c>
      <c r="H45" s="1186" t="inlineStr">
        <is>
          <t>2016/2017 Honda Moto PKK 1003</t>
        </is>
      </c>
      <c r="I45" s="1186" t="inlineStr">
        <is>
          <t>2016/2017 Honda Moto PKK 1003</t>
        </is>
      </c>
      <c r="J45" s="1186" t="inlineStr">
        <is>
          <t>2016/2017 Honda Moto PKK 1003</t>
        </is>
      </c>
      <c r="K45" s="1186" t="inlineStr">
        <is>
          <t>2016/2017 Honda Moto PKK 1003</t>
        </is>
      </c>
      <c r="L45" s="1186" t="inlineStr">
        <is>
          <t>2016/2017 Honda Moto PKK 1003</t>
        </is>
      </c>
      <c r="M45" s="1186" t="inlineStr">
        <is>
          <t>2016/2017 Honda Moto PKK 1003</t>
        </is>
      </c>
      <c r="Q45" s="1575" t="n"/>
      <c r="S45" s="1081" t="n"/>
    </row>
    <row r="46" ht="15.75" customHeight="1" s="1173" thickBot="1">
      <c r="A46" s="1182" t="inlineStr"/>
      <c r="B46" s="1182" t="inlineStr"/>
      <c r="C46" s="1182" t="inlineStr"/>
      <c r="D46" s="1577" t="n">
        <v>45657</v>
      </c>
      <c r="E46" s="1577" t="n">
        <v>45657</v>
      </c>
      <c r="F46" s="1179" t="inlineStr">
        <is>
          <t xml:space="preserve"> Beg Bal</t>
        </is>
      </c>
      <c r="G46" s="1179" t="n"/>
      <c r="H46" s="1179" t="n"/>
      <c r="I46" s="1578" t="n">
        <v>12000</v>
      </c>
      <c r="J46" s="1578" t="n">
        <v>0</v>
      </c>
      <c r="K46" s="1578" t="n">
        <v>12000</v>
      </c>
      <c r="L46" s="1578" t="n">
        <v>12000</v>
      </c>
      <c r="M46" s="1182" t="inlineStr"/>
      <c r="Q46" s="1575" t="n"/>
      <c r="S46" s="1081" t="n"/>
    </row>
    <row r="47" ht="15.75" customHeight="1" s="1173" thickTop="1">
      <c r="A47" s="1181" t="inlineStr">
        <is>
          <t>2016/2017 Honda Moto PKK 1003 Totals</t>
        </is>
      </c>
      <c r="B47" s="1181" t="inlineStr">
        <is>
          <t>2016/2017 Honda Moto PKK 1003 Totals</t>
        </is>
      </c>
      <c r="C47" s="1181" t="inlineStr">
        <is>
          <t>2016/2017 Honda Moto PKK 1003 Totals</t>
        </is>
      </c>
      <c r="D47" s="1181" t="inlineStr">
        <is>
          <t>2016/2017 Honda Moto PKK 1003 Totals</t>
        </is>
      </c>
      <c r="E47" s="1181" t="inlineStr">
        <is>
          <t>2016/2017 Honda Moto PKK 1003 Totals</t>
        </is>
      </c>
      <c r="F47" s="1181" t="inlineStr">
        <is>
          <t>2016/2017 Honda Moto PKK 1003 Totals</t>
        </is>
      </c>
      <c r="G47" s="1181" t="inlineStr">
        <is>
          <t>2016/2017 Honda Moto PKK 1003 Totals</t>
        </is>
      </c>
      <c r="H47" s="1181" t="inlineStr">
        <is>
          <t>2016/2017 Honda Moto PKK 1003 Totals</t>
        </is>
      </c>
      <c r="I47" s="1579" t="n">
        <v>12000</v>
      </c>
      <c r="J47" s="1579" t="n">
        <v>0</v>
      </c>
      <c r="K47" s="1579" t="n">
        <v>12000</v>
      </c>
      <c r="L47" s="1579" t="n">
        <v>12000</v>
      </c>
      <c r="M47" s="1182" t="inlineStr"/>
      <c r="P47" s="1575" t="n">
        <v>12000</v>
      </c>
      <c r="Q47" s="1575" t="n">
        <v>9000</v>
      </c>
      <c r="R47" s="1575">
        <f>P47-Q47</f>
        <v/>
      </c>
      <c r="S47" s="1081">
        <f>K47-Q47</f>
        <v/>
      </c>
    </row>
    <row r="48" ht="13.15" customHeight="1" s="1173">
      <c r="A48" s="1182" t="inlineStr"/>
      <c r="B48" s="1182" t="inlineStr"/>
      <c r="C48" s="1186" t="inlineStr">
        <is>
          <t>2018 Descompactador Terrus</t>
        </is>
      </c>
      <c r="D48" s="1186" t="inlineStr">
        <is>
          <t>2018 Descompactador Terrus</t>
        </is>
      </c>
      <c r="E48" s="1186" t="inlineStr">
        <is>
          <t>2018 Descompactador Terrus</t>
        </is>
      </c>
      <c r="F48" s="1186" t="inlineStr">
        <is>
          <t>2018 Descompactador Terrus</t>
        </is>
      </c>
      <c r="G48" s="1186" t="inlineStr">
        <is>
          <t>2018 Descompactador Terrus</t>
        </is>
      </c>
      <c r="H48" s="1186" t="inlineStr">
        <is>
          <t>2018 Descompactador Terrus</t>
        </is>
      </c>
      <c r="I48" s="1186" t="inlineStr">
        <is>
          <t>2018 Descompactador Terrus</t>
        </is>
      </c>
      <c r="J48" s="1186" t="inlineStr">
        <is>
          <t>2018 Descompactador Terrus</t>
        </is>
      </c>
      <c r="K48" s="1186" t="inlineStr">
        <is>
          <t>2018 Descompactador Terrus</t>
        </is>
      </c>
      <c r="L48" s="1186" t="inlineStr">
        <is>
          <t>2018 Descompactador Terrus</t>
        </is>
      </c>
      <c r="M48" s="1186" t="inlineStr">
        <is>
          <t>2018 Descompactador Terrus</t>
        </is>
      </c>
      <c r="P48" s="1581" t="n"/>
      <c r="Q48" s="1575" t="n"/>
      <c r="S48" s="1081" t="n"/>
    </row>
    <row r="49" ht="15.75" customHeight="1" s="1173" thickBot="1">
      <c r="A49" s="1182" t="inlineStr"/>
      <c r="B49" s="1182" t="inlineStr"/>
      <c r="C49" s="1182" t="inlineStr"/>
      <c r="D49" s="1577" t="n">
        <v>45657</v>
      </c>
      <c r="E49" s="1577" t="n">
        <v>45657</v>
      </c>
      <c r="F49" s="1179" t="inlineStr">
        <is>
          <t xml:space="preserve"> Beg Bal</t>
        </is>
      </c>
      <c r="G49" s="1179" t="n"/>
      <c r="H49" s="1179" t="n"/>
      <c r="I49" s="1578" t="n">
        <v>114000</v>
      </c>
      <c r="J49" s="1578" t="n">
        <v>0</v>
      </c>
      <c r="K49" s="1578" t="n">
        <v>114000</v>
      </c>
      <c r="L49" s="1578" t="n">
        <v>114000</v>
      </c>
      <c r="M49" s="1182" t="inlineStr"/>
      <c r="P49" s="1581" t="n"/>
      <c r="Q49" s="1575" t="n"/>
      <c r="S49" s="1081" t="n"/>
    </row>
    <row r="50" ht="15.75" customHeight="1" s="1173" thickTop="1">
      <c r="A50" s="1181" t="inlineStr">
        <is>
          <t>2018 Descompactador Terrus Totals</t>
        </is>
      </c>
      <c r="B50" s="1181" t="inlineStr">
        <is>
          <t>2018 Descompactador Terrus Totals</t>
        </is>
      </c>
      <c r="C50" s="1181" t="inlineStr">
        <is>
          <t>2018 Descompactador Terrus Totals</t>
        </is>
      </c>
      <c r="D50" s="1181" t="inlineStr">
        <is>
          <t>2018 Descompactador Terrus Totals</t>
        </is>
      </c>
      <c r="E50" s="1181" t="inlineStr">
        <is>
          <t>2018 Descompactador Terrus Totals</t>
        </is>
      </c>
      <c r="F50" s="1181" t="inlineStr">
        <is>
          <t>2018 Descompactador Terrus Totals</t>
        </is>
      </c>
      <c r="G50" s="1181" t="inlineStr">
        <is>
          <t>2018 Descompactador Terrus Totals</t>
        </is>
      </c>
      <c r="H50" s="1181" t="inlineStr">
        <is>
          <t>2018 Descompactador Terrus Totals</t>
        </is>
      </c>
      <c r="I50" s="1579" t="n">
        <v>114000</v>
      </c>
      <c r="J50" s="1579" t="n">
        <v>0</v>
      </c>
      <c r="K50" s="1579" t="n">
        <v>114000</v>
      </c>
      <c r="L50" s="1579" t="n">
        <v>114000</v>
      </c>
      <c r="M50" s="1182" t="inlineStr"/>
      <c r="P50" s="1581" t="n">
        <v>114000</v>
      </c>
      <c r="Q50" s="1575" t="n">
        <v>100000</v>
      </c>
      <c r="R50" s="1575">
        <f>P50-Q50</f>
        <v/>
      </c>
      <c r="S50" s="1081">
        <f>K50-Q50</f>
        <v/>
      </c>
    </row>
    <row r="51" ht="13.15" customHeight="1" s="1173">
      <c r="A51" s="1182" t="inlineStr"/>
      <c r="B51" s="1182" t="inlineStr"/>
      <c r="C51" s="1186" t="inlineStr">
        <is>
          <t>2019 F4000</t>
        </is>
      </c>
      <c r="D51" s="1186" t="inlineStr">
        <is>
          <t>2019 F4000</t>
        </is>
      </c>
      <c r="E51" s="1186" t="inlineStr">
        <is>
          <t>2019 F4000</t>
        </is>
      </c>
      <c r="F51" s="1186" t="inlineStr">
        <is>
          <t>2019 F4000</t>
        </is>
      </c>
      <c r="G51" s="1186" t="inlineStr">
        <is>
          <t>2019 F4000</t>
        </is>
      </c>
      <c r="H51" s="1186" t="inlineStr">
        <is>
          <t>2019 F4000</t>
        </is>
      </c>
      <c r="I51" s="1186" t="inlineStr">
        <is>
          <t>2019 F4000</t>
        </is>
      </c>
      <c r="J51" s="1186" t="inlineStr">
        <is>
          <t>2019 F4000</t>
        </is>
      </c>
      <c r="K51" s="1186" t="inlineStr">
        <is>
          <t>2019 F4000</t>
        </is>
      </c>
      <c r="L51" s="1186" t="inlineStr">
        <is>
          <t>2019 F4000</t>
        </is>
      </c>
      <c r="M51" s="1186" t="inlineStr">
        <is>
          <t>2019 F4000</t>
        </is>
      </c>
      <c r="Q51" s="1575" t="n"/>
      <c r="S51" s="1081" t="n"/>
    </row>
    <row r="52" ht="15.75" customHeight="1" s="1173" thickBot="1">
      <c r="A52" s="1182" t="inlineStr"/>
      <c r="B52" s="1182" t="inlineStr"/>
      <c r="C52" s="1182" t="inlineStr"/>
      <c r="D52" s="1577" t="n">
        <v>45657</v>
      </c>
      <c r="E52" s="1577" t="n">
        <v>45657</v>
      </c>
      <c r="F52" s="1179" t="inlineStr">
        <is>
          <t xml:space="preserve"> Beg Bal</t>
        </is>
      </c>
      <c r="G52" s="1179" t="n"/>
      <c r="H52" s="1179" t="n"/>
      <c r="I52" s="1578" t="n">
        <v>195000</v>
      </c>
      <c r="J52" s="1578" t="n">
        <v>0</v>
      </c>
      <c r="K52" s="1578" t="n">
        <v>195000</v>
      </c>
      <c r="L52" s="1578" t="n">
        <v>195000</v>
      </c>
      <c r="M52" s="1182" t="inlineStr"/>
      <c r="Q52" s="1575" t="n"/>
      <c r="S52" s="1081" t="n"/>
    </row>
    <row r="53" ht="15.75" customHeight="1" s="1173" thickTop="1">
      <c r="A53" s="1181" t="inlineStr">
        <is>
          <t>2019 F4000 Totals</t>
        </is>
      </c>
      <c r="B53" s="1181" t="inlineStr">
        <is>
          <t>2019 F4000 Totals</t>
        </is>
      </c>
      <c r="C53" s="1181" t="inlineStr">
        <is>
          <t>2019 F4000 Totals</t>
        </is>
      </c>
      <c r="D53" s="1181" t="inlineStr">
        <is>
          <t>2019 F4000 Totals</t>
        </is>
      </c>
      <c r="E53" s="1181" t="inlineStr">
        <is>
          <t>2019 F4000 Totals</t>
        </is>
      </c>
      <c r="F53" s="1181" t="inlineStr">
        <is>
          <t>2019 F4000 Totals</t>
        </is>
      </c>
      <c r="G53" s="1181" t="inlineStr">
        <is>
          <t>2019 F4000 Totals</t>
        </is>
      </c>
      <c r="H53" s="1181" t="inlineStr">
        <is>
          <t>2019 F4000 Totals</t>
        </is>
      </c>
      <c r="I53" s="1579" t="n">
        <v>195000</v>
      </c>
      <c r="J53" s="1579" t="n">
        <v>0</v>
      </c>
      <c r="K53" s="1579" t="n">
        <v>195000</v>
      </c>
      <c r="L53" s="1579" t="n">
        <v>195000</v>
      </c>
      <c r="M53" s="1182" t="inlineStr"/>
      <c r="P53" s="1575" t="n">
        <v>195000</v>
      </c>
      <c r="Q53" s="1575" t="n">
        <v>170000</v>
      </c>
      <c r="R53" s="1575">
        <f>P53-Q53</f>
        <v/>
      </c>
      <c r="S53" s="1081">
        <f>K53-Q53</f>
        <v/>
      </c>
    </row>
    <row r="54" ht="13.15" customHeight="1" s="1173">
      <c r="A54" s="1182" t="inlineStr"/>
      <c r="B54" s="1182" t="inlineStr"/>
      <c r="C54" s="1186" t="inlineStr">
        <is>
          <t>2021 Drybox 4040 DN Sprayer</t>
        </is>
      </c>
      <c r="D54" s="1186" t="inlineStr">
        <is>
          <t>2021 Drybox 4040 DN Sprayer</t>
        </is>
      </c>
      <c r="E54" s="1186" t="inlineStr">
        <is>
          <t>2021 Drybox 4040 DN Sprayer</t>
        </is>
      </c>
      <c r="F54" s="1186" t="inlineStr">
        <is>
          <t>2021 Drybox 4040 DN Sprayer</t>
        </is>
      </c>
      <c r="G54" s="1186" t="inlineStr">
        <is>
          <t>2021 Drybox 4040 DN Sprayer</t>
        </is>
      </c>
      <c r="H54" s="1186" t="inlineStr">
        <is>
          <t>2021 Drybox 4040 DN Sprayer</t>
        </is>
      </c>
      <c r="I54" s="1186" t="inlineStr">
        <is>
          <t>2021 Drybox 4040 DN Sprayer</t>
        </is>
      </c>
      <c r="J54" s="1186" t="inlineStr">
        <is>
          <t>2021 Drybox 4040 DN Sprayer</t>
        </is>
      </c>
      <c r="K54" s="1186" t="inlineStr">
        <is>
          <t>2021 Drybox 4040 DN Sprayer</t>
        </is>
      </c>
      <c r="L54" s="1186" t="inlineStr">
        <is>
          <t>2021 Drybox 4040 DN Sprayer</t>
        </is>
      </c>
      <c r="M54" s="1186" t="inlineStr">
        <is>
          <t>2021 Drybox 4040 DN Sprayer</t>
        </is>
      </c>
      <c r="Q54" s="1575" t="n"/>
      <c r="S54" s="1081" t="n"/>
    </row>
    <row r="55" ht="15.75" customHeight="1" s="1173" thickBot="1">
      <c r="A55" s="1182" t="inlineStr"/>
      <c r="B55" s="1182" t="inlineStr"/>
      <c r="C55" s="1182" t="inlineStr"/>
      <c r="D55" s="1577" t="n">
        <v>45657</v>
      </c>
      <c r="E55" s="1577" t="n">
        <v>45657</v>
      </c>
      <c r="F55" s="1179" t="inlineStr">
        <is>
          <t xml:space="preserve"> Beg Bal</t>
        </is>
      </c>
      <c r="G55" s="1179" t="n"/>
      <c r="H55" s="1179" t="n"/>
      <c r="I55" s="1578" t="n">
        <v>1150000</v>
      </c>
      <c r="J55" s="1578" t="n">
        <v>0</v>
      </c>
      <c r="K55" s="1578" t="n">
        <v>1150000</v>
      </c>
      <c r="L55" s="1578" t="n">
        <v>1150000</v>
      </c>
      <c r="M55" s="1182" t="inlineStr"/>
      <c r="Q55" s="1575" t="n"/>
      <c r="S55" s="1081" t="n"/>
    </row>
    <row r="56" ht="15.75" customHeight="1" s="1173" thickTop="1">
      <c r="A56" s="1181" t="inlineStr">
        <is>
          <t>2021 Drybox 4040 DN Sprayer Totals</t>
        </is>
      </c>
      <c r="B56" s="1181" t="inlineStr">
        <is>
          <t>2021 Drybox 4040 DN Sprayer Totals</t>
        </is>
      </c>
      <c r="C56" s="1181" t="inlineStr">
        <is>
          <t>2021 Drybox 4040 DN Sprayer Totals</t>
        </is>
      </c>
      <c r="D56" s="1181" t="inlineStr">
        <is>
          <t>2021 Drybox 4040 DN Sprayer Totals</t>
        </is>
      </c>
      <c r="E56" s="1181" t="inlineStr">
        <is>
          <t>2021 Drybox 4040 DN Sprayer Totals</t>
        </is>
      </c>
      <c r="F56" s="1181" t="inlineStr">
        <is>
          <t>2021 Drybox 4040 DN Sprayer Totals</t>
        </is>
      </c>
      <c r="G56" s="1181" t="inlineStr">
        <is>
          <t>2021 Drybox 4040 DN Sprayer Totals</t>
        </is>
      </c>
      <c r="H56" s="1181" t="inlineStr">
        <is>
          <t>2021 Drybox 4040 DN Sprayer Totals</t>
        </is>
      </c>
      <c r="I56" s="1579" t="n">
        <v>1150000</v>
      </c>
      <c r="J56" s="1579" t="n">
        <v>0</v>
      </c>
      <c r="K56" s="1579" t="n">
        <v>1150000</v>
      </c>
      <c r="L56" s="1579" t="n">
        <v>1150000</v>
      </c>
      <c r="M56" s="1182" t="inlineStr"/>
      <c r="P56" s="1575" t="n">
        <v>1150000</v>
      </c>
      <c r="Q56" s="1575" t="n">
        <v>1000000</v>
      </c>
      <c r="R56" s="1575">
        <f>P56-Q56</f>
        <v/>
      </c>
      <c r="S56" s="1081">
        <f>K56-Q56</f>
        <v/>
      </c>
    </row>
    <row r="57" ht="13.15" customHeight="1" s="1173">
      <c r="A57" s="1182" t="inlineStr"/>
      <c r="B57" s="1182" t="inlineStr"/>
      <c r="C57" s="1186" t="inlineStr">
        <is>
          <t>2021 Leveling Disk Starplan</t>
        </is>
      </c>
      <c r="D57" s="1186" t="inlineStr">
        <is>
          <t>2021 Leveling Disk Starplan</t>
        </is>
      </c>
      <c r="E57" s="1186" t="inlineStr">
        <is>
          <t>2021 Leveling Disk Starplan</t>
        </is>
      </c>
      <c r="F57" s="1186" t="inlineStr">
        <is>
          <t>2021 Leveling Disk Starplan</t>
        </is>
      </c>
      <c r="G57" s="1186" t="inlineStr">
        <is>
          <t>2021 Leveling Disk Starplan</t>
        </is>
      </c>
      <c r="H57" s="1186" t="inlineStr">
        <is>
          <t>2021 Leveling Disk Starplan</t>
        </is>
      </c>
      <c r="I57" s="1186" t="inlineStr">
        <is>
          <t>2021 Leveling Disk Starplan</t>
        </is>
      </c>
      <c r="J57" s="1186" t="inlineStr">
        <is>
          <t>2021 Leveling Disk Starplan</t>
        </is>
      </c>
      <c r="K57" s="1186" t="inlineStr">
        <is>
          <t>2021 Leveling Disk Starplan</t>
        </is>
      </c>
      <c r="L57" s="1186" t="inlineStr">
        <is>
          <t>2021 Leveling Disk Starplan</t>
        </is>
      </c>
      <c r="M57" s="1186" t="inlineStr">
        <is>
          <t>2021 Leveling Disk Starplan</t>
        </is>
      </c>
      <c r="Q57" s="1575" t="n"/>
      <c r="S57" s="1081" t="n"/>
    </row>
    <row r="58" ht="15.75" customHeight="1" s="1173" thickBot="1">
      <c r="A58" s="1182" t="inlineStr"/>
      <c r="B58" s="1182" t="inlineStr"/>
      <c r="C58" s="1182" t="inlineStr"/>
      <c r="D58" s="1577" t="n">
        <v>45657</v>
      </c>
      <c r="E58" s="1577" t="n">
        <v>45657</v>
      </c>
      <c r="F58" s="1179" t="inlineStr">
        <is>
          <t xml:space="preserve"> Beg Bal</t>
        </is>
      </c>
      <c r="G58" s="1179" t="n"/>
      <c r="H58" s="1179" t="n"/>
      <c r="I58" s="1578" t="n">
        <v>20000</v>
      </c>
      <c r="J58" s="1578" t="n">
        <v>0</v>
      </c>
      <c r="K58" s="1578" t="n">
        <v>20000</v>
      </c>
      <c r="L58" s="1578" t="n">
        <v>20000</v>
      </c>
      <c r="M58" s="1182" t="inlineStr"/>
      <c r="Q58" s="1575" t="n"/>
      <c r="S58" s="1081" t="n"/>
    </row>
    <row r="59" ht="15.75" customHeight="1" s="1173" thickTop="1">
      <c r="A59" s="1181" t="inlineStr">
        <is>
          <t>2021 Leveling Disk Starplan Totals</t>
        </is>
      </c>
      <c r="B59" s="1181" t="inlineStr">
        <is>
          <t>2021 Leveling Disk Starplan Totals</t>
        </is>
      </c>
      <c r="C59" s="1181" t="inlineStr">
        <is>
          <t>2021 Leveling Disk Starplan Totals</t>
        </is>
      </c>
      <c r="D59" s="1181" t="inlineStr">
        <is>
          <t>2021 Leveling Disk Starplan Totals</t>
        </is>
      </c>
      <c r="E59" s="1181" t="inlineStr">
        <is>
          <t>2021 Leveling Disk Starplan Totals</t>
        </is>
      </c>
      <c r="F59" s="1181" t="inlineStr">
        <is>
          <t>2021 Leveling Disk Starplan Totals</t>
        </is>
      </c>
      <c r="G59" s="1181" t="inlineStr">
        <is>
          <t>2021 Leveling Disk Starplan Totals</t>
        </is>
      </c>
      <c r="H59" s="1181" t="inlineStr">
        <is>
          <t>2021 Leveling Disk Starplan Totals</t>
        </is>
      </c>
      <c r="I59" s="1579" t="n">
        <v>20000</v>
      </c>
      <c r="J59" s="1579" t="n">
        <v>0</v>
      </c>
      <c r="K59" s="1579" t="n">
        <v>20000</v>
      </c>
      <c r="L59" s="1579" t="n">
        <v>20000</v>
      </c>
      <c r="M59" s="1182" t="inlineStr"/>
      <c r="P59" s="1575" t="n">
        <v>20000</v>
      </c>
      <c r="Q59" s="1575" t="n">
        <v>18000</v>
      </c>
      <c r="R59" s="1575">
        <f>P59-Q59</f>
        <v/>
      </c>
      <c r="S59" s="1081">
        <f>K59-Q59</f>
        <v/>
      </c>
    </row>
    <row r="60" ht="13.15" customHeight="1" s="1173">
      <c r="A60" s="1182" t="inlineStr"/>
      <c r="B60" s="1182" t="inlineStr"/>
      <c r="C60" s="1186" t="inlineStr">
        <is>
          <t>2023 Niveladora Tiller A30</t>
        </is>
      </c>
      <c r="D60" s="1186" t="inlineStr">
        <is>
          <t>2023 Niveladora Tiller A30</t>
        </is>
      </c>
      <c r="E60" s="1186" t="inlineStr">
        <is>
          <t>2023 Niveladora Tiller A30</t>
        </is>
      </c>
      <c r="F60" s="1186" t="inlineStr">
        <is>
          <t>2023 Niveladora Tiller A30</t>
        </is>
      </c>
      <c r="G60" s="1186" t="inlineStr">
        <is>
          <t>2023 Niveladora Tiller A30</t>
        </is>
      </c>
      <c r="H60" s="1186" t="inlineStr">
        <is>
          <t>2023 Niveladora Tiller A30</t>
        </is>
      </c>
      <c r="I60" s="1186" t="inlineStr">
        <is>
          <t>2023 Niveladora Tiller A30</t>
        </is>
      </c>
      <c r="J60" s="1186" t="inlineStr">
        <is>
          <t>2023 Niveladora Tiller A30</t>
        </is>
      </c>
      <c r="K60" s="1186" t="inlineStr">
        <is>
          <t>2023 Niveladora Tiller A30</t>
        </is>
      </c>
      <c r="L60" s="1186" t="inlineStr">
        <is>
          <t>2023 Niveladora Tiller A30</t>
        </is>
      </c>
      <c r="M60" s="1186" t="inlineStr">
        <is>
          <t>2023 Niveladora Tiller A30</t>
        </is>
      </c>
      <c r="Q60" s="1575" t="n"/>
      <c r="S60" s="1081" t="n"/>
    </row>
    <row r="61" ht="15.75" customHeight="1" s="1173" thickBot="1">
      <c r="A61" s="1182" t="inlineStr"/>
      <c r="B61" s="1182" t="inlineStr"/>
      <c r="C61" s="1182" t="inlineStr"/>
      <c r="D61" s="1577" t="n">
        <v>45657</v>
      </c>
      <c r="E61" s="1577" t="n">
        <v>45657</v>
      </c>
      <c r="F61" s="1179" t="inlineStr">
        <is>
          <t xml:space="preserve"> Beg Bal</t>
        </is>
      </c>
      <c r="G61" s="1179" t="n"/>
      <c r="H61" s="1179" t="n"/>
      <c r="I61" s="1578" t="n">
        <v>400000</v>
      </c>
      <c r="J61" s="1578" t="n">
        <v>0</v>
      </c>
      <c r="K61" s="1578" t="n">
        <v>400000</v>
      </c>
      <c r="L61" s="1578" t="n">
        <v>400000</v>
      </c>
      <c r="M61" s="1182" t="inlineStr"/>
      <c r="Q61" s="1575" t="n"/>
      <c r="S61" s="1081" t="n"/>
    </row>
    <row r="62" ht="15.75" customHeight="1" s="1173" thickTop="1">
      <c r="A62" s="1181" t="inlineStr">
        <is>
          <t>2023 Niveladora Tiller A30 Totals</t>
        </is>
      </c>
      <c r="B62" s="1181" t="inlineStr">
        <is>
          <t>2023 Niveladora Tiller A30 Totals</t>
        </is>
      </c>
      <c r="C62" s="1181" t="inlineStr">
        <is>
          <t>2023 Niveladora Tiller A30 Totals</t>
        </is>
      </c>
      <c r="D62" s="1181" t="inlineStr">
        <is>
          <t>2023 Niveladora Tiller A30 Totals</t>
        </is>
      </c>
      <c r="E62" s="1181" t="inlineStr">
        <is>
          <t>2023 Niveladora Tiller A30 Totals</t>
        </is>
      </c>
      <c r="F62" s="1181" t="inlineStr">
        <is>
          <t>2023 Niveladora Tiller A30 Totals</t>
        </is>
      </c>
      <c r="G62" s="1181" t="inlineStr">
        <is>
          <t>2023 Niveladora Tiller A30 Totals</t>
        </is>
      </c>
      <c r="H62" s="1181" t="inlineStr">
        <is>
          <t>2023 Niveladora Tiller A30 Totals</t>
        </is>
      </c>
      <c r="I62" s="1579" t="n">
        <v>400000</v>
      </c>
      <c r="J62" s="1579" t="n">
        <v>0</v>
      </c>
      <c r="K62" s="1579" t="n">
        <v>400000</v>
      </c>
      <c r="L62" s="1579" t="n">
        <v>400000</v>
      </c>
      <c r="M62" s="1182" t="inlineStr"/>
      <c r="P62" s="1575" t="n">
        <v>400000</v>
      </c>
      <c r="Q62" s="1575" t="n">
        <v>380000</v>
      </c>
      <c r="R62" s="1575">
        <f>P62-Q62</f>
        <v/>
      </c>
      <c r="S62" s="1081">
        <f>K62-Q62</f>
        <v/>
      </c>
    </row>
    <row r="63" ht="13.15" customHeight="1" s="1173">
      <c r="A63" s="1182" t="inlineStr"/>
      <c r="B63" s="1182" t="inlineStr"/>
      <c r="C63" s="1186" t="inlineStr">
        <is>
          <t>Boiler</t>
        </is>
      </c>
      <c r="D63" s="1186" t="inlineStr">
        <is>
          <t>Boiler</t>
        </is>
      </c>
      <c r="E63" s="1186" t="inlineStr">
        <is>
          <t>Boiler</t>
        </is>
      </c>
      <c r="F63" s="1186" t="inlineStr">
        <is>
          <t>Boiler</t>
        </is>
      </c>
      <c r="G63" s="1186" t="inlineStr">
        <is>
          <t>Boiler</t>
        </is>
      </c>
      <c r="H63" s="1186" t="inlineStr">
        <is>
          <t>Boiler</t>
        </is>
      </c>
      <c r="I63" s="1186" t="inlineStr">
        <is>
          <t>Boiler</t>
        </is>
      </c>
      <c r="J63" s="1186" t="inlineStr">
        <is>
          <t>Boiler</t>
        </is>
      </c>
      <c r="K63" s="1186" t="inlineStr">
        <is>
          <t>Boiler</t>
        </is>
      </c>
      <c r="L63" s="1186" t="inlineStr">
        <is>
          <t>Boiler</t>
        </is>
      </c>
      <c r="M63" s="1186" t="inlineStr">
        <is>
          <t>Boiler</t>
        </is>
      </c>
      <c r="Q63" s="1575" t="n"/>
    </row>
    <row r="64" ht="15.75" customHeight="1" s="1173" thickBot="1">
      <c r="A64" s="1182" t="inlineStr"/>
      <c r="B64" s="1182" t="inlineStr"/>
      <c r="C64" s="1182" t="inlineStr"/>
      <c r="D64" s="1577" t="n">
        <v>45657</v>
      </c>
      <c r="E64" s="1577" t="n">
        <v>45657</v>
      </c>
      <c r="F64" s="1179" t="inlineStr">
        <is>
          <t xml:space="preserve"> Beg Bal</t>
        </is>
      </c>
      <c r="G64" s="1179" t="n"/>
      <c r="H64" s="1179" t="n"/>
      <c r="I64" s="1578" t="n">
        <v>654077</v>
      </c>
      <c r="J64" s="1578" t="n">
        <v>0</v>
      </c>
      <c r="K64" s="1578" t="n">
        <v>654077</v>
      </c>
      <c r="L64" s="1578" t="n">
        <v>654077</v>
      </c>
      <c r="M64" s="1182" t="inlineStr"/>
      <c r="Q64" s="1575" t="n"/>
    </row>
    <row r="65" ht="15.75" customHeight="1" s="1173" thickTop="1">
      <c r="A65" s="1181" t="inlineStr">
        <is>
          <t>Boiler Totals</t>
        </is>
      </c>
      <c r="B65" s="1181" t="inlineStr">
        <is>
          <t>Boiler Totals</t>
        </is>
      </c>
      <c r="C65" s="1181" t="inlineStr">
        <is>
          <t>Boiler Totals</t>
        </is>
      </c>
      <c r="D65" s="1181" t="inlineStr">
        <is>
          <t>Boiler Totals</t>
        </is>
      </c>
      <c r="E65" s="1181" t="inlineStr">
        <is>
          <t>Boiler Totals</t>
        </is>
      </c>
      <c r="F65" s="1181" t="inlineStr">
        <is>
          <t>Boiler Totals</t>
        </is>
      </c>
      <c r="G65" s="1181" t="inlineStr">
        <is>
          <t>Boiler Totals</t>
        </is>
      </c>
      <c r="H65" s="1181" t="inlineStr">
        <is>
          <t>Boiler Totals</t>
        </is>
      </c>
      <c r="I65" s="1579" t="n">
        <v>654077</v>
      </c>
      <c r="J65" s="1579" t="n">
        <v>0</v>
      </c>
      <c r="K65" s="1579" t="n">
        <v>654077</v>
      </c>
      <c r="L65" s="1579" t="n">
        <v>654077</v>
      </c>
      <c r="M65" s="1182" t="inlineStr"/>
      <c r="Q65" s="1575" t="n"/>
      <c r="R65" s="1575" t="n">
        <v>27253</v>
      </c>
      <c r="S65" s="1180" t="n">
        <v>27253</v>
      </c>
    </row>
    <row r="66" ht="13.15" customHeight="1" s="1173">
      <c r="A66" s="1182" t="inlineStr"/>
      <c r="B66" s="1182" t="inlineStr"/>
      <c r="C66" s="1186" t="inlineStr">
        <is>
          <t>Chevrolet S10 18/19 QOK8422</t>
        </is>
      </c>
      <c r="D66" s="1186" t="inlineStr">
        <is>
          <t>Chevrolet S10 18/19 QOK8422</t>
        </is>
      </c>
      <c r="E66" s="1186" t="inlineStr">
        <is>
          <t>Chevrolet S10 18/19 QOK8422</t>
        </is>
      </c>
      <c r="F66" s="1186" t="inlineStr">
        <is>
          <t>Chevrolet S10 18/19 QOK8422</t>
        </is>
      </c>
      <c r="G66" s="1186" t="inlineStr">
        <is>
          <t>Chevrolet S10 18/19 QOK8422</t>
        </is>
      </c>
      <c r="H66" s="1186" t="inlineStr">
        <is>
          <t>Chevrolet S10 18/19 QOK8422</t>
        </is>
      </c>
      <c r="I66" s="1186" t="inlineStr">
        <is>
          <t>Chevrolet S10 18/19 QOK8422</t>
        </is>
      </c>
      <c r="J66" s="1186" t="inlineStr">
        <is>
          <t>Chevrolet S10 18/19 QOK8422</t>
        </is>
      </c>
      <c r="K66" s="1186" t="inlineStr">
        <is>
          <t>Chevrolet S10 18/19 QOK8422</t>
        </is>
      </c>
      <c r="L66" s="1186" t="inlineStr">
        <is>
          <t>Chevrolet S10 18/19 QOK8422</t>
        </is>
      </c>
      <c r="M66" s="1186" t="inlineStr">
        <is>
          <t>Chevrolet S10 18/19 QOK8422</t>
        </is>
      </c>
      <c r="Q66" s="1575" t="n"/>
    </row>
    <row r="67" ht="15.75" customHeight="1" s="1173" thickBot="1">
      <c r="A67" s="1182" t="inlineStr"/>
      <c r="B67" s="1182" t="inlineStr"/>
      <c r="C67" s="1182" t="inlineStr"/>
      <c r="D67" s="1577" t="n">
        <v>45657</v>
      </c>
      <c r="E67" s="1577" t="n">
        <v>45657</v>
      </c>
      <c r="F67" s="1179" t="inlineStr">
        <is>
          <t xml:space="preserve"> Beg Bal</t>
        </is>
      </c>
      <c r="G67" s="1179" t="n"/>
      <c r="H67" s="1179" t="n"/>
      <c r="I67" s="1578" t="n">
        <v>98000</v>
      </c>
      <c r="J67" s="1578" t="n">
        <v>0</v>
      </c>
      <c r="K67" s="1578" t="n">
        <v>98000</v>
      </c>
      <c r="L67" s="1578" t="n">
        <v>98000</v>
      </c>
      <c r="M67" s="1182" t="inlineStr"/>
      <c r="Q67" s="1575" t="n"/>
    </row>
    <row r="68" ht="15.75" customHeight="1" s="1173" thickTop="1">
      <c r="A68" s="1181" t="inlineStr">
        <is>
          <t>Chevrolet S10 18/19 QOK8422 Totals</t>
        </is>
      </c>
      <c r="B68" s="1181" t="inlineStr">
        <is>
          <t>Chevrolet S10 18/19 QOK8422 Totals</t>
        </is>
      </c>
      <c r="C68" s="1181" t="inlineStr">
        <is>
          <t>Chevrolet S10 18/19 QOK8422 Totals</t>
        </is>
      </c>
      <c r="D68" s="1181" t="inlineStr">
        <is>
          <t>Chevrolet S10 18/19 QOK8422 Totals</t>
        </is>
      </c>
      <c r="E68" s="1181" t="inlineStr">
        <is>
          <t>Chevrolet S10 18/19 QOK8422 Totals</t>
        </is>
      </c>
      <c r="F68" s="1181" t="inlineStr">
        <is>
          <t>Chevrolet S10 18/19 QOK8422 Totals</t>
        </is>
      </c>
      <c r="G68" s="1181" t="inlineStr">
        <is>
          <t>Chevrolet S10 18/19 QOK8422 Totals</t>
        </is>
      </c>
      <c r="H68" s="1181" t="inlineStr">
        <is>
          <t>Chevrolet S10 18/19 QOK8422 Totals</t>
        </is>
      </c>
      <c r="I68" s="1579" t="n">
        <v>98000</v>
      </c>
      <c r="J68" s="1579" t="n">
        <v>0</v>
      </c>
      <c r="K68" s="1579" t="n">
        <v>98000</v>
      </c>
      <c r="L68" s="1579" t="n">
        <v>98000</v>
      </c>
      <c r="M68" s="1182" t="inlineStr"/>
      <c r="P68" s="1575" t="n">
        <v>100000</v>
      </c>
      <c r="Q68" s="1575" t="n">
        <v>90000</v>
      </c>
      <c r="R68" s="1575">
        <f>P68-Q68</f>
        <v/>
      </c>
      <c r="S68" s="1081">
        <f>K68-Q68</f>
        <v/>
      </c>
    </row>
    <row r="69" ht="13.15" customHeight="1" s="1173">
      <c r="A69" s="1182" t="inlineStr"/>
      <c r="B69" s="1182" t="inlineStr"/>
      <c r="C69" s="1186" t="inlineStr">
        <is>
          <t>DB Planter Com Taxa Variavel</t>
        </is>
      </c>
      <c r="D69" s="1186" t="inlineStr">
        <is>
          <t>DB Planter Com Taxa Variavel</t>
        </is>
      </c>
      <c r="E69" s="1186" t="inlineStr">
        <is>
          <t>DB Planter Com Taxa Variavel</t>
        </is>
      </c>
      <c r="F69" s="1186" t="inlineStr">
        <is>
          <t>DB Planter Com Taxa Variavel</t>
        </is>
      </c>
      <c r="G69" s="1186" t="inlineStr">
        <is>
          <t>DB Planter Com Taxa Variavel</t>
        </is>
      </c>
      <c r="H69" s="1186" t="inlineStr">
        <is>
          <t>DB Planter Com Taxa Variavel</t>
        </is>
      </c>
      <c r="I69" s="1186" t="inlineStr">
        <is>
          <t>DB Planter Com Taxa Variavel</t>
        </is>
      </c>
      <c r="J69" s="1186" t="inlineStr">
        <is>
          <t>DB Planter Com Taxa Variavel</t>
        </is>
      </c>
      <c r="K69" s="1186" t="inlineStr">
        <is>
          <t>DB Planter Com Taxa Variavel</t>
        </is>
      </c>
      <c r="L69" s="1186" t="inlineStr">
        <is>
          <t>DB Planter Com Taxa Variavel</t>
        </is>
      </c>
      <c r="M69" s="1186" t="inlineStr">
        <is>
          <t>DB Planter Com Taxa Variavel</t>
        </is>
      </c>
      <c r="Q69" s="1575" t="n"/>
    </row>
    <row r="70" ht="15.75" customHeight="1" s="1173" thickBot="1">
      <c r="A70" s="1182" t="inlineStr"/>
      <c r="B70" s="1182" t="inlineStr"/>
      <c r="C70" s="1182" t="inlineStr"/>
      <c r="D70" s="1577" t="n">
        <v>45657</v>
      </c>
      <c r="E70" s="1577" t="n">
        <v>45657</v>
      </c>
      <c r="F70" s="1179" t="inlineStr">
        <is>
          <t xml:space="preserve"> Beg Bal</t>
        </is>
      </c>
      <c r="G70" s="1179" t="n"/>
      <c r="H70" s="1179" t="n"/>
      <c r="I70" s="1578" t="n">
        <v>240000</v>
      </c>
      <c r="J70" s="1578" t="n">
        <v>0</v>
      </c>
      <c r="K70" s="1578" t="n">
        <v>240000</v>
      </c>
      <c r="L70" s="1578" t="n">
        <v>240000</v>
      </c>
      <c r="M70" s="1182" t="inlineStr"/>
      <c r="Q70" s="1575" t="n"/>
    </row>
    <row r="71" ht="15.75" customHeight="1" s="1173" thickTop="1">
      <c r="A71" s="1181" t="inlineStr">
        <is>
          <t>DB Planter Com Taxa Variavel Totals</t>
        </is>
      </c>
      <c r="B71" s="1181" t="inlineStr">
        <is>
          <t>DB Planter Com Taxa Variavel Totals</t>
        </is>
      </c>
      <c r="C71" s="1181" t="inlineStr">
        <is>
          <t>DB Planter Com Taxa Variavel Totals</t>
        </is>
      </c>
      <c r="D71" s="1181" t="inlineStr">
        <is>
          <t>DB Planter Com Taxa Variavel Totals</t>
        </is>
      </c>
      <c r="E71" s="1181" t="inlineStr">
        <is>
          <t>DB Planter Com Taxa Variavel Totals</t>
        </is>
      </c>
      <c r="F71" s="1181" t="inlineStr">
        <is>
          <t>DB Planter Com Taxa Variavel Totals</t>
        </is>
      </c>
      <c r="G71" s="1181" t="inlineStr">
        <is>
          <t>DB Planter Com Taxa Variavel Totals</t>
        </is>
      </c>
      <c r="H71" s="1181" t="inlineStr">
        <is>
          <t>DB Planter Com Taxa Variavel Totals</t>
        </is>
      </c>
      <c r="I71" s="1579" t="n">
        <v>240000</v>
      </c>
      <c r="J71" s="1579" t="n">
        <v>0</v>
      </c>
      <c r="K71" s="1579" t="n">
        <v>240000</v>
      </c>
      <c r="L71" s="1579" t="n">
        <v>240000</v>
      </c>
      <c r="M71" s="1182" t="inlineStr"/>
      <c r="P71" s="1575" t="n">
        <v>240000</v>
      </c>
      <c r="Q71" s="1575" t="n">
        <v>216000</v>
      </c>
      <c r="R71" s="1575">
        <f>P71-Q71</f>
        <v/>
      </c>
      <c r="S71" s="1081">
        <f>K71-Q71</f>
        <v/>
      </c>
    </row>
    <row r="72" ht="13.15" customHeight="1" s="1173">
      <c r="A72" s="1182" t="inlineStr"/>
      <c r="B72" s="1182" t="inlineStr"/>
      <c r="C72" s="1186" t="inlineStr">
        <is>
          <t>Diesel Tank</t>
        </is>
      </c>
      <c r="D72" s="1186" t="inlineStr">
        <is>
          <t>Diesel Tank</t>
        </is>
      </c>
      <c r="E72" s="1186" t="inlineStr">
        <is>
          <t>Diesel Tank</t>
        </is>
      </c>
      <c r="F72" s="1186" t="inlineStr">
        <is>
          <t>Diesel Tank</t>
        </is>
      </c>
      <c r="G72" s="1186" t="inlineStr">
        <is>
          <t>Diesel Tank</t>
        </is>
      </c>
      <c r="H72" s="1186" t="inlineStr">
        <is>
          <t>Diesel Tank</t>
        </is>
      </c>
      <c r="I72" s="1186" t="inlineStr">
        <is>
          <t>Diesel Tank</t>
        </is>
      </c>
      <c r="J72" s="1186" t="inlineStr">
        <is>
          <t>Diesel Tank</t>
        </is>
      </c>
      <c r="K72" s="1186" t="inlineStr">
        <is>
          <t>Diesel Tank</t>
        </is>
      </c>
      <c r="L72" s="1186" t="inlineStr">
        <is>
          <t>Diesel Tank</t>
        </is>
      </c>
      <c r="M72" s="1186" t="inlineStr">
        <is>
          <t>Diesel Tank</t>
        </is>
      </c>
      <c r="Q72" s="1575" t="n"/>
    </row>
    <row r="73" ht="15.75" customHeight="1" s="1173" thickBot="1">
      <c r="A73" s="1182" t="inlineStr"/>
      <c r="B73" s="1182" t="inlineStr"/>
      <c r="C73" s="1182" t="inlineStr"/>
      <c r="D73" s="1577" t="n">
        <v>45657</v>
      </c>
      <c r="E73" s="1577" t="n">
        <v>45657</v>
      </c>
      <c r="F73" s="1179" t="inlineStr">
        <is>
          <t xml:space="preserve"> Beg Bal</t>
        </is>
      </c>
      <c r="G73" s="1179" t="n"/>
      <c r="H73" s="1179" t="n"/>
      <c r="I73" s="1578" t="n">
        <v>50425.94</v>
      </c>
      <c r="J73" s="1578" t="n">
        <v>0</v>
      </c>
      <c r="K73" s="1578" t="n">
        <v>50425.94</v>
      </c>
      <c r="L73" s="1578" t="n">
        <v>50425.94</v>
      </c>
      <c r="M73" s="1182" t="inlineStr"/>
      <c r="Q73" s="1575" t="n"/>
    </row>
    <row r="74" ht="15.75" customHeight="1" s="1173" thickTop="1">
      <c r="A74" s="1181" t="inlineStr">
        <is>
          <t>Diesel Tank Totals</t>
        </is>
      </c>
      <c r="B74" s="1181" t="inlineStr">
        <is>
          <t>Diesel Tank Totals</t>
        </is>
      </c>
      <c r="C74" s="1181" t="inlineStr">
        <is>
          <t>Diesel Tank Totals</t>
        </is>
      </c>
      <c r="D74" s="1181" t="inlineStr">
        <is>
          <t>Diesel Tank Totals</t>
        </is>
      </c>
      <c r="E74" s="1181" t="inlineStr">
        <is>
          <t>Diesel Tank Totals</t>
        </is>
      </c>
      <c r="F74" s="1181" t="inlineStr">
        <is>
          <t>Diesel Tank Totals</t>
        </is>
      </c>
      <c r="G74" s="1181" t="inlineStr">
        <is>
          <t>Diesel Tank Totals</t>
        </is>
      </c>
      <c r="H74" s="1181" t="inlineStr">
        <is>
          <t>Diesel Tank Totals</t>
        </is>
      </c>
      <c r="I74" s="1579" t="n">
        <v>50425.94</v>
      </c>
      <c r="J74" s="1579" t="n">
        <v>0</v>
      </c>
      <c r="K74" s="1579" t="n">
        <v>50425.94</v>
      </c>
      <c r="L74" s="1579" t="n">
        <v>50425.94</v>
      </c>
      <c r="M74" s="1182" t="inlineStr"/>
      <c r="Q74" s="1575" t="n"/>
      <c r="R74" s="1575" t="n">
        <v>2101</v>
      </c>
      <c r="S74" s="1180" t="n">
        <v>2101</v>
      </c>
    </row>
    <row r="75" ht="13.15" customHeight="1" s="1173">
      <c r="A75" s="1182" t="inlineStr"/>
      <c r="B75" s="1182" t="inlineStr"/>
      <c r="C75" s="1186" t="inlineStr">
        <is>
          <t>Elevator Leg 1</t>
        </is>
      </c>
      <c r="D75" s="1186" t="inlineStr">
        <is>
          <t>Elevator Leg 1</t>
        </is>
      </c>
      <c r="E75" s="1186" t="inlineStr">
        <is>
          <t>Elevator Leg 1</t>
        </is>
      </c>
      <c r="F75" s="1186" t="inlineStr">
        <is>
          <t>Elevator Leg 1</t>
        </is>
      </c>
      <c r="G75" s="1186" t="inlineStr">
        <is>
          <t>Elevator Leg 1</t>
        </is>
      </c>
      <c r="H75" s="1186" t="inlineStr">
        <is>
          <t>Elevator Leg 1</t>
        </is>
      </c>
      <c r="I75" s="1186" t="inlineStr">
        <is>
          <t>Elevator Leg 1</t>
        </is>
      </c>
      <c r="J75" s="1186" t="inlineStr">
        <is>
          <t>Elevator Leg 1</t>
        </is>
      </c>
      <c r="K75" s="1186" t="inlineStr">
        <is>
          <t>Elevator Leg 1</t>
        </is>
      </c>
      <c r="L75" s="1186" t="inlineStr">
        <is>
          <t>Elevator Leg 1</t>
        </is>
      </c>
      <c r="M75" s="1186" t="inlineStr">
        <is>
          <t>Elevator Leg 1</t>
        </is>
      </c>
      <c r="Q75" s="1575" t="n"/>
    </row>
    <row r="76" ht="15.75" customHeight="1" s="1173" thickBot="1">
      <c r="A76" s="1182" t="inlineStr"/>
      <c r="B76" s="1182" t="inlineStr"/>
      <c r="C76" s="1182" t="inlineStr"/>
      <c r="D76" s="1577" t="n">
        <v>45657</v>
      </c>
      <c r="E76" s="1577" t="n">
        <v>45657</v>
      </c>
      <c r="F76" s="1179" t="inlineStr">
        <is>
          <t xml:space="preserve"> Beg Bal</t>
        </is>
      </c>
      <c r="G76" s="1179" t="n"/>
      <c r="H76" s="1179" t="n"/>
      <c r="I76" s="1578" t="n">
        <v>60045.28</v>
      </c>
      <c r="J76" s="1578" t="n">
        <v>0</v>
      </c>
      <c r="K76" s="1578" t="n">
        <v>60045.28</v>
      </c>
      <c r="L76" s="1578" t="n">
        <v>60045.28</v>
      </c>
      <c r="M76" s="1182" t="inlineStr"/>
      <c r="Q76" s="1575" t="n"/>
    </row>
    <row r="77" ht="15.75" customHeight="1" s="1173" thickTop="1">
      <c r="A77" s="1181" t="inlineStr">
        <is>
          <t>Elevator Leg 1 Totals</t>
        </is>
      </c>
      <c r="B77" s="1181" t="inlineStr">
        <is>
          <t>Elevator Leg 1 Totals</t>
        </is>
      </c>
      <c r="C77" s="1181" t="inlineStr">
        <is>
          <t>Elevator Leg 1 Totals</t>
        </is>
      </c>
      <c r="D77" s="1181" t="inlineStr">
        <is>
          <t>Elevator Leg 1 Totals</t>
        </is>
      </c>
      <c r="E77" s="1181" t="inlineStr">
        <is>
          <t>Elevator Leg 1 Totals</t>
        </is>
      </c>
      <c r="F77" s="1181" t="inlineStr">
        <is>
          <t>Elevator Leg 1 Totals</t>
        </is>
      </c>
      <c r="G77" s="1181" t="inlineStr">
        <is>
          <t>Elevator Leg 1 Totals</t>
        </is>
      </c>
      <c r="H77" s="1181" t="inlineStr">
        <is>
          <t>Elevator Leg 1 Totals</t>
        </is>
      </c>
      <c r="I77" s="1579" t="n">
        <v>60045.28</v>
      </c>
      <c r="J77" s="1579" t="n">
        <v>0</v>
      </c>
      <c r="K77" s="1579" t="n">
        <v>60045.28</v>
      </c>
      <c r="L77" s="1579" t="n">
        <v>60045.28</v>
      </c>
      <c r="M77" s="1182" t="inlineStr"/>
      <c r="Q77" s="1575" t="n"/>
      <c r="R77" s="1575" t="n">
        <v>2502</v>
      </c>
      <c r="S77" s="1180" t="n">
        <v>2502</v>
      </c>
    </row>
    <row r="78" ht="13.15" customHeight="1" s="1173">
      <c r="A78" s="1182" t="inlineStr"/>
      <c r="B78" s="1182" t="inlineStr"/>
      <c r="C78" s="1186" t="inlineStr">
        <is>
          <t>Elevator Leg 2</t>
        </is>
      </c>
      <c r="D78" s="1186" t="inlineStr">
        <is>
          <t>Elevator Leg 2</t>
        </is>
      </c>
      <c r="E78" s="1186" t="inlineStr">
        <is>
          <t>Elevator Leg 2</t>
        </is>
      </c>
      <c r="F78" s="1186" t="inlineStr">
        <is>
          <t>Elevator Leg 2</t>
        </is>
      </c>
      <c r="G78" s="1186" t="inlineStr">
        <is>
          <t>Elevator Leg 2</t>
        </is>
      </c>
      <c r="H78" s="1186" t="inlineStr">
        <is>
          <t>Elevator Leg 2</t>
        </is>
      </c>
      <c r="I78" s="1186" t="inlineStr">
        <is>
          <t>Elevator Leg 2</t>
        </is>
      </c>
      <c r="J78" s="1186" t="inlineStr">
        <is>
          <t>Elevator Leg 2</t>
        </is>
      </c>
      <c r="K78" s="1186" t="inlineStr">
        <is>
          <t>Elevator Leg 2</t>
        </is>
      </c>
      <c r="L78" s="1186" t="inlineStr">
        <is>
          <t>Elevator Leg 2</t>
        </is>
      </c>
      <c r="M78" s="1186" t="inlineStr">
        <is>
          <t>Elevator Leg 2</t>
        </is>
      </c>
      <c r="Q78" s="1575" t="n"/>
    </row>
    <row r="79" ht="15.75" customHeight="1" s="1173" thickBot="1">
      <c r="A79" s="1182" t="inlineStr"/>
      <c r="B79" s="1182" t="inlineStr"/>
      <c r="C79" s="1182" t="inlineStr"/>
      <c r="D79" s="1577" t="n">
        <v>45657</v>
      </c>
      <c r="E79" s="1577" t="n">
        <v>45657</v>
      </c>
      <c r="F79" s="1179" t="inlineStr">
        <is>
          <t xml:space="preserve"> Beg Bal</t>
        </is>
      </c>
      <c r="G79" s="1179" t="n"/>
      <c r="H79" s="1179" t="n"/>
      <c r="I79" s="1578" t="n">
        <v>78436.10000000001</v>
      </c>
      <c r="J79" s="1578" t="n">
        <v>0</v>
      </c>
      <c r="K79" s="1578" t="n">
        <v>78436.10000000001</v>
      </c>
      <c r="L79" s="1578" t="n">
        <v>78436.10000000001</v>
      </c>
      <c r="M79" s="1182" t="inlineStr"/>
      <c r="Q79" s="1575" t="n"/>
    </row>
    <row r="80" ht="15.75" customHeight="1" s="1173" thickTop="1">
      <c r="A80" s="1181" t="inlineStr">
        <is>
          <t>Elevator Leg 2 Totals</t>
        </is>
      </c>
      <c r="B80" s="1181" t="inlineStr">
        <is>
          <t>Elevator Leg 2 Totals</t>
        </is>
      </c>
      <c r="C80" s="1181" t="inlineStr">
        <is>
          <t>Elevator Leg 2 Totals</t>
        </is>
      </c>
      <c r="D80" s="1181" t="inlineStr">
        <is>
          <t>Elevator Leg 2 Totals</t>
        </is>
      </c>
      <c r="E80" s="1181" t="inlineStr">
        <is>
          <t>Elevator Leg 2 Totals</t>
        </is>
      </c>
      <c r="F80" s="1181" t="inlineStr">
        <is>
          <t>Elevator Leg 2 Totals</t>
        </is>
      </c>
      <c r="G80" s="1181" t="inlineStr">
        <is>
          <t>Elevator Leg 2 Totals</t>
        </is>
      </c>
      <c r="H80" s="1181" t="inlineStr">
        <is>
          <t>Elevator Leg 2 Totals</t>
        </is>
      </c>
      <c r="I80" s="1579" t="n">
        <v>78436.10000000001</v>
      </c>
      <c r="J80" s="1579" t="n">
        <v>0</v>
      </c>
      <c r="K80" s="1579" t="n">
        <v>78436.10000000001</v>
      </c>
      <c r="L80" s="1579" t="n">
        <v>78436.10000000001</v>
      </c>
      <c r="M80" s="1182" t="inlineStr"/>
      <c r="Q80" s="1575" t="n"/>
      <c r="R80" s="1575" t="n">
        <v>3268</v>
      </c>
      <c r="S80" s="1180" t="n">
        <v>3268</v>
      </c>
    </row>
    <row r="81" ht="13.15" customHeight="1" s="1173">
      <c r="A81" s="1182" t="inlineStr"/>
      <c r="B81" s="1182" t="inlineStr"/>
      <c r="C81" s="1186" t="inlineStr">
        <is>
          <t>Elevator Leg 3</t>
        </is>
      </c>
      <c r="D81" s="1186" t="inlineStr">
        <is>
          <t>Elevator Leg 3</t>
        </is>
      </c>
      <c r="E81" s="1186" t="inlineStr">
        <is>
          <t>Elevator Leg 3</t>
        </is>
      </c>
      <c r="F81" s="1186" t="inlineStr">
        <is>
          <t>Elevator Leg 3</t>
        </is>
      </c>
      <c r="G81" s="1186" t="inlineStr">
        <is>
          <t>Elevator Leg 3</t>
        </is>
      </c>
      <c r="H81" s="1186" t="inlineStr">
        <is>
          <t>Elevator Leg 3</t>
        </is>
      </c>
      <c r="I81" s="1186" t="inlineStr">
        <is>
          <t>Elevator Leg 3</t>
        </is>
      </c>
      <c r="J81" s="1186" t="inlineStr">
        <is>
          <t>Elevator Leg 3</t>
        </is>
      </c>
      <c r="K81" s="1186" t="inlineStr">
        <is>
          <t>Elevator Leg 3</t>
        </is>
      </c>
      <c r="L81" s="1186" t="inlineStr">
        <is>
          <t>Elevator Leg 3</t>
        </is>
      </c>
      <c r="M81" s="1186" t="inlineStr">
        <is>
          <t>Elevator Leg 3</t>
        </is>
      </c>
      <c r="Q81" s="1575" t="n"/>
    </row>
    <row r="82" ht="15.75" customHeight="1" s="1173" thickBot="1">
      <c r="A82" s="1182" t="inlineStr"/>
      <c r="B82" s="1182" t="inlineStr"/>
      <c r="C82" s="1182" t="inlineStr"/>
      <c r="D82" s="1577" t="n">
        <v>45657</v>
      </c>
      <c r="E82" s="1577" t="n">
        <v>45657</v>
      </c>
      <c r="F82" s="1179" t="inlineStr">
        <is>
          <t xml:space="preserve"> Beg Bal</t>
        </is>
      </c>
      <c r="G82" s="1179" t="n"/>
      <c r="H82" s="1179" t="n"/>
      <c r="I82" s="1578" t="n">
        <v>91049.60000000001</v>
      </c>
      <c r="J82" s="1578" t="n">
        <v>0</v>
      </c>
      <c r="K82" s="1578" t="n">
        <v>91049.60000000001</v>
      </c>
      <c r="L82" s="1578" t="n">
        <v>91049.60000000001</v>
      </c>
      <c r="M82" s="1182" t="inlineStr"/>
      <c r="Q82" s="1575" t="n"/>
    </row>
    <row r="83" ht="15.75" customHeight="1" s="1173" thickTop="1">
      <c r="A83" s="1181" t="inlineStr">
        <is>
          <t>Elevator Leg 3 Totals</t>
        </is>
      </c>
      <c r="B83" s="1181" t="inlineStr">
        <is>
          <t>Elevator Leg 3 Totals</t>
        </is>
      </c>
      <c r="C83" s="1181" t="inlineStr">
        <is>
          <t>Elevator Leg 3 Totals</t>
        </is>
      </c>
      <c r="D83" s="1181" t="inlineStr">
        <is>
          <t>Elevator Leg 3 Totals</t>
        </is>
      </c>
      <c r="E83" s="1181" t="inlineStr">
        <is>
          <t>Elevator Leg 3 Totals</t>
        </is>
      </c>
      <c r="F83" s="1181" t="inlineStr">
        <is>
          <t>Elevator Leg 3 Totals</t>
        </is>
      </c>
      <c r="G83" s="1181" t="inlineStr">
        <is>
          <t>Elevator Leg 3 Totals</t>
        </is>
      </c>
      <c r="H83" s="1181" t="inlineStr">
        <is>
          <t>Elevator Leg 3 Totals</t>
        </is>
      </c>
      <c r="I83" s="1579" t="n">
        <v>91049.60000000001</v>
      </c>
      <c r="J83" s="1579" t="n">
        <v>0</v>
      </c>
      <c r="K83" s="1579" t="n">
        <v>91049.60000000001</v>
      </c>
      <c r="L83" s="1579" t="n">
        <v>91049.60000000001</v>
      </c>
      <c r="M83" s="1182" t="inlineStr"/>
      <c r="Q83" s="1575" t="n"/>
      <c r="R83" s="1575" t="n">
        <v>3794</v>
      </c>
      <c r="S83" s="1180" t="n">
        <v>3794</v>
      </c>
    </row>
    <row r="84" ht="13.15" customHeight="1" s="1173">
      <c r="A84" s="1182" t="inlineStr"/>
      <c r="B84" s="1182" t="inlineStr"/>
      <c r="C84" s="1186" t="inlineStr">
        <is>
          <t>Elevator Leg 4</t>
        </is>
      </c>
      <c r="D84" s="1186" t="inlineStr">
        <is>
          <t>Elevator Leg 4</t>
        </is>
      </c>
      <c r="E84" s="1186" t="inlineStr">
        <is>
          <t>Elevator Leg 4</t>
        </is>
      </c>
      <c r="F84" s="1186" t="inlineStr">
        <is>
          <t>Elevator Leg 4</t>
        </is>
      </c>
      <c r="G84" s="1186" t="inlineStr">
        <is>
          <t>Elevator Leg 4</t>
        </is>
      </c>
      <c r="H84" s="1186" t="inlineStr">
        <is>
          <t>Elevator Leg 4</t>
        </is>
      </c>
      <c r="I84" s="1186" t="inlineStr">
        <is>
          <t>Elevator Leg 4</t>
        </is>
      </c>
      <c r="J84" s="1186" t="inlineStr">
        <is>
          <t>Elevator Leg 4</t>
        </is>
      </c>
      <c r="K84" s="1186" t="inlineStr">
        <is>
          <t>Elevator Leg 4</t>
        </is>
      </c>
      <c r="L84" s="1186" t="inlineStr">
        <is>
          <t>Elevator Leg 4</t>
        </is>
      </c>
      <c r="M84" s="1186" t="inlineStr">
        <is>
          <t>Elevator Leg 4</t>
        </is>
      </c>
      <c r="Q84" s="1575" t="n"/>
    </row>
    <row r="85" ht="15.75" customHeight="1" s="1173" thickBot="1">
      <c r="A85" s="1182" t="inlineStr"/>
      <c r="B85" s="1182" t="inlineStr"/>
      <c r="C85" s="1182" t="inlineStr"/>
      <c r="D85" s="1577" t="n">
        <v>45657</v>
      </c>
      <c r="E85" s="1577" t="n">
        <v>45657</v>
      </c>
      <c r="F85" s="1179" t="inlineStr">
        <is>
          <t xml:space="preserve"> Beg Bal</t>
        </is>
      </c>
      <c r="G85" s="1179" t="n"/>
      <c r="H85" s="1179" t="n"/>
      <c r="I85" s="1578" t="n">
        <v>84090.58</v>
      </c>
      <c r="J85" s="1578" t="n">
        <v>0</v>
      </c>
      <c r="K85" s="1578" t="n">
        <v>84090.58</v>
      </c>
      <c r="L85" s="1578" t="n">
        <v>84090.58</v>
      </c>
      <c r="M85" s="1182" t="inlineStr"/>
      <c r="Q85" s="1575" t="n"/>
    </row>
    <row r="86" ht="15.75" customHeight="1" s="1173" thickTop="1">
      <c r="A86" s="1181" t="inlineStr">
        <is>
          <t>Elevator Leg 4 Totals</t>
        </is>
      </c>
      <c r="B86" s="1181" t="inlineStr">
        <is>
          <t>Elevator Leg 4 Totals</t>
        </is>
      </c>
      <c r="C86" s="1181" t="inlineStr">
        <is>
          <t>Elevator Leg 4 Totals</t>
        </is>
      </c>
      <c r="D86" s="1181" t="inlineStr">
        <is>
          <t>Elevator Leg 4 Totals</t>
        </is>
      </c>
      <c r="E86" s="1181" t="inlineStr">
        <is>
          <t>Elevator Leg 4 Totals</t>
        </is>
      </c>
      <c r="F86" s="1181" t="inlineStr">
        <is>
          <t>Elevator Leg 4 Totals</t>
        </is>
      </c>
      <c r="G86" s="1181" t="inlineStr">
        <is>
          <t>Elevator Leg 4 Totals</t>
        </is>
      </c>
      <c r="H86" s="1181" t="inlineStr">
        <is>
          <t>Elevator Leg 4 Totals</t>
        </is>
      </c>
      <c r="I86" s="1579" t="n">
        <v>84090.58</v>
      </c>
      <c r="J86" s="1579" t="n">
        <v>0</v>
      </c>
      <c r="K86" s="1579" t="n">
        <v>84090.58</v>
      </c>
      <c r="L86" s="1579" t="n">
        <v>84090.58</v>
      </c>
      <c r="M86" s="1182" t="inlineStr"/>
      <c r="Q86" s="1575" t="n"/>
      <c r="R86" s="1575" t="n">
        <v>3504</v>
      </c>
      <c r="S86" s="1180" t="n">
        <v>3504</v>
      </c>
    </row>
    <row r="87" ht="13.15" customHeight="1" s="1173">
      <c r="A87" s="1182" t="inlineStr"/>
      <c r="B87" s="1182" t="inlineStr"/>
      <c r="C87" s="1186" t="inlineStr">
        <is>
          <t>Embutidora de Graos</t>
        </is>
      </c>
      <c r="D87" s="1186" t="inlineStr">
        <is>
          <t>Embutidora de Graos</t>
        </is>
      </c>
      <c r="E87" s="1186" t="inlineStr">
        <is>
          <t>Embutidora de Graos</t>
        </is>
      </c>
      <c r="F87" s="1186" t="inlineStr">
        <is>
          <t>Embutidora de Graos</t>
        </is>
      </c>
      <c r="G87" s="1186" t="inlineStr">
        <is>
          <t>Embutidora de Graos</t>
        </is>
      </c>
      <c r="H87" s="1186" t="inlineStr">
        <is>
          <t>Embutidora de Graos</t>
        </is>
      </c>
      <c r="I87" s="1186" t="inlineStr">
        <is>
          <t>Embutidora de Graos</t>
        </is>
      </c>
      <c r="J87" s="1186" t="inlineStr">
        <is>
          <t>Embutidora de Graos</t>
        </is>
      </c>
      <c r="K87" s="1186" t="inlineStr">
        <is>
          <t>Embutidora de Graos</t>
        </is>
      </c>
      <c r="L87" s="1186" t="inlineStr">
        <is>
          <t>Embutidora de Graos</t>
        </is>
      </c>
      <c r="M87" s="1186" t="inlineStr">
        <is>
          <t>Embutidora de Graos</t>
        </is>
      </c>
      <c r="Q87" s="1575" t="n"/>
    </row>
    <row r="88" ht="15.75" customHeight="1" s="1173" thickBot="1">
      <c r="A88" s="1182" t="inlineStr"/>
      <c r="B88" s="1182" t="inlineStr"/>
      <c r="C88" s="1182" t="inlineStr"/>
      <c r="D88" s="1577" t="n">
        <v>45657</v>
      </c>
      <c r="E88" s="1577" t="n">
        <v>45657</v>
      </c>
      <c r="F88" s="1179" t="inlineStr">
        <is>
          <t xml:space="preserve"> Beg Bal</t>
        </is>
      </c>
      <c r="G88" s="1179" t="n"/>
      <c r="H88" s="1179" t="n"/>
      <c r="I88" s="1578" t="n">
        <v>60000</v>
      </c>
      <c r="J88" s="1578" t="n">
        <v>0</v>
      </c>
      <c r="K88" s="1578" t="n">
        <v>60000</v>
      </c>
      <c r="L88" s="1578" t="n">
        <v>60000</v>
      </c>
      <c r="M88" s="1182" t="inlineStr"/>
      <c r="Q88" s="1575" t="n"/>
    </row>
    <row r="89" ht="15.75" customHeight="1" s="1173" thickTop="1">
      <c r="A89" s="1181" t="inlineStr">
        <is>
          <t>Embutidora de Graos Totals</t>
        </is>
      </c>
      <c r="B89" s="1181" t="inlineStr">
        <is>
          <t>Embutidora de Graos Totals</t>
        </is>
      </c>
      <c r="C89" s="1181" t="inlineStr">
        <is>
          <t>Embutidora de Graos Totals</t>
        </is>
      </c>
      <c r="D89" s="1181" t="inlineStr">
        <is>
          <t>Embutidora de Graos Totals</t>
        </is>
      </c>
      <c r="E89" s="1181" t="inlineStr">
        <is>
          <t>Embutidora de Graos Totals</t>
        </is>
      </c>
      <c r="F89" s="1181" t="inlineStr">
        <is>
          <t>Embutidora de Graos Totals</t>
        </is>
      </c>
      <c r="G89" s="1181" t="inlineStr">
        <is>
          <t>Embutidora de Graos Totals</t>
        </is>
      </c>
      <c r="H89" s="1181" t="inlineStr">
        <is>
          <t>Embutidora de Graos Totals</t>
        </is>
      </c>
      <c r="I89" s="1579" t="n">
        <v>60000</v>
      </c>
      <c r="J89" s="1579" t="n">
        <v>0</v>
      </c>
      <c r="K89" s="1579" t="n">
        <v>60000</v>
      </c>
      <c r="L89" s="1579" t="n">
        <v>60000</v>
      </c>
      <c r="M89" s="1182" t="inlineStr"/>
      <c r="P89" s="1575" t="n">
        <v>60000</v>
      </c>
      <c r="Q89" s="1575" t="n">
        <v>54000</v>
      </c>
      <c r="R89" s="1575">
        <f>P89-Q89</f>
        <v/>
      </c>
      <c r="S89" s="1081">
        <f>K89-Q89</f>
        <v/>
      </c>
    </row>
    <row r="90" ht="13.15" customHeight="1" s="1173">
      <c r="A90" s="1182" t="inlineStr"/>
      <c r="B90" s="1182" t="inlineStr"/>
      <c r="C90" s="1186" t="inlineStr">
        <is>
          <t>Esteira 1</t>
        </is>
      </c>
      <c r="D90" s="1186" t="inlineStr">
        <is>
          <t>Esteira 1</t>
        </is>
      </c>
      <c r="E90" s="1186" t="inlineStr">
        <is>
          <t>Esteira 1</t>
        </is>
      </c>
      <c r="F90" s="1186" t="inlineStr">
        <is>
          <t>Esteira 1</t>
        </is>
      </c>
      <c r="G90" s="1186" t="inlineStr">
        <is>
          <t>Esteira 1</t>
        </is>
      </c>
      <c r="H90" s="1186" t="inlineStr">
        <is>
          <t>Esteira 1</t>
        </is>
      </c>
      <c r="I90" s="1186" t="inlineStr">
        <is>
          <t>Esteira 1</t>
        </is>
      </c>
      <c r="J90" s="1186" t="inlineStr">
        <is>
          <t>Esteira 1</t>
        </is>
      </c>
      <c r="K90" s="1186" t="inlineStr">
        <is>
          <t>Esteira 1</t>
        </is>
      </c>
      <c r="L90" s="1186" t="inlineStr">
        <is>
          <t>Esteira 1</t>
        </is>
      </c>
      <c r="M90" s="1186" t="inlineStr">
        <is>
          <t>Esteira 1</t>
        </is>
      </c>
      <c r="Q90" s="1575" t="n"/>
    </row>
    <row r="91" ht="15.75" customHeight="1" s="1173" thickBot="1">
      <c r="A91" s="1182" t="inlineStr"/>
      <c r="B91" s="1182" t="inlineStr"/>
      <c r="C91" s="1182" t="inlineStr"/>
      <c r="D91" s="1577" t="n">
        <v>45657</v>
      </c>
      <c r="E91" s="1577" t="n">
        <v>45657</v>
      </c>
      <c r="F91" s="1179" t="inlineStr">
        <is>
          <t xml:space="preserve"> Beg Bal</t>
        </is>
      </c>
      <c r="G91" s="1179" t="n"/>
      <c r="H91" s="1179" t="n"/>
      <c r="I91" s="1578" t="n">
        <v>27565.34</v>
      </c>
      <c r="J91" s="1578" t="n">
        <v>0</v>
      </c>
      <c r="K91" s="1578" t="n">
        <v>27565.34</v>
      </c>
      <c r="L91" s="1578" t="n">
        <v>27565.34</v>
      </c>
      <c r="M91" s="1182" t="inlineStr"/>
      <c r="Q91" s="1575" t="n"/>
    </row>
    <row r="92" ht="15.75" customHeight="1" s="1173" thickTop="1">
      <c r="A92" s="1181" t="inlineStr">
        <is>
          <t>Esteira 1 Totals</t>
        </is>
      </c>
      <c r="B92" s="1181" t="inlineStr">
        <is>
          <t>Esteira 1 Totals</t>
        </is>
      </c>
      <c r="C92" s="1181" t="inlineStr">
        <is>
          <t>Esteira 1 Totals</t>
        </is>
      </c>
      <c r="D92" s="1181" t="inlineStr">
        <is>
          <t>Esteira 1 Totals</t>
        </is>
      </c>
      <c r="E92" s="1181" t="inlineStr">
        <is>
          <t>Esteira 1 Totals</t>
        </is>
      </c>
      <c r="F92" s="1181" t="inlineStr">
        <is>
          <t>Esteira 1 Totals</t>
        </is>
      </c>
      <c r="G92" s="1181" t="inlineStr">
        <is>
          <t>Esteira 1 Totals</t>
        </is>
      </c>
      <c r="H92" s="1181" t="inlineStr">
        <is>
          <t>Esteira 1 Totals</t>
        </is>
      </c>
      <c r="I92" s="1579" t="n">
        <v>27565.34</v>
      </c>
      <c r="J92" s="1579" t="n">
        <v>0</v>
      </c>
      <c r="K92" s="1579" t="n">
        <v>27565.34</v>
      </c>
      <c r="L92" s="1579" t="n">
        <v>27565.34</v>
      </c>
      <c r="M92" s="1182" t="inlineStr"/>
      <c r="Q92" s="1575" t="n"/>
      <c r="R92" s="1575" t="n">
        <v>1149</v>
      </c>
      <c r="S92" s="1180" t="n">
        <v>1149</v>
      </c>
    </row>
    <row r="93" ht="13.15" customHeight="1" s="1173">
      <c r="A93" s="1182" t="inlineStr"/>
      <c r="B93" s="1182" t="inlineStr"/>
      <c r="C93" s="1186" t="inlineStr">
        <is>
          <t>Esteira 2</t>
        </is>
      </c>
      <c r="D93" s="1186" t="inlineStr">
        <is>
          <t>Esteira 2</t>
        </is>
      </c>
      <c r="E93" s="1186" t="inlineStr">
        <is>
          <t>Esteira 2</t>
        </is>
      </c>
      <c r="F93" s="1186" t="inlineStr">
        <is>
          <t>Esteira 2</t>
        </is>
      </c>
      <c r="G93" s="1186" t="inlineStr">
        <is>
          <t>Esteira 2</t>
        </is>
      </c>
      <c r="H93" s="1186" t="inlineStr">
        <is>
          <t>Esteira 2</t>
        </is>
      </c>
      <c r="I93" s="1186" t="inlineStr">
        <is>
          <t>Esteira 2</t>
        </is>
      </c>
      <c r="J93" s="1186" t="inlineStr">
        <is>
          <t>Esteira 2</t>
        </is>
      </c>
      <c r="K93" s="1186" t="inlineStr">
        <is>
          <t>Esteira 2</t>
        </is>
      </c>
      <c r="L93" s="1186" t="inlineStr">
        <is>
          <t>Esteira 2</t>
        </is>
      </c>
      <c r="M93" s="1186" t="inlineStr">
        <is>
          <t>Esteira 2</t>
        </is>
      </c>
      <c r="Q93" s="1575" t="n"/>
    </row>
    <row r="94" ht="15.75" customHeight="1" s="1173" thickBot="1">
      <c r="A94" s="1182" t="inlineStr"/>
      <c r="B94" s="1182" t="inlineStr"/>
      <c r="C94" s="1182" t="inlineStr"/>
      <c r="D94" s="1577" t="n">
        <v>45657</v>
      </c>
      <c r="E94" s="1577" t="n">
        <v>45657</v>
      </c>
      <c r="F94" s="1179" t="inlineStr">
        <is>
          <t xml:space="preserve"> Beg Bal</t>
        </is>
      </c>
      <c r="G94" s="1179" t="n"/>
      <c r="H94" s="1179" t="n"/>
      <c r="I94" s="1578" t="n">
        <v>45076.94</v>
      </c>
      <c r="J94" s="1578" t="n">
        <v>0</v>
      </c>
      <c r="K94" s="1578" t="n">
        <v>45076.94</v>
      </c>
      <c r="L94" s="1578" t="n">
        <v>45076.94</v>
      </c>
      <c r="M94" s="1182" t="inlineStr"/>
      <c r="Q94" s="1575" t="n"/>
    </row>
    <row r="95" ht="15.75" customHeight="1" s="1173" thickTop="1">
      <c r="A95" s="1181" t="inlineStr">
        <is>
          <t>Esteira 2 Totals</t>
        </is>
      </c>
      <c r="B95" s="1181" t="inlineStr">
        <is>
          <t>Esteira 2 Totals</t>
        </is>
      </c>
      <c r="C95" s="1181" t="inlineStr">
        <is>
          <t>Esteira 2 Totals</t>
        </is>
      </c>
      <c r="D95" s="1181" t="inlineStr">
        <is>
          <t>Esteira 2 Totals</t>
        </is>
      </c>
      <c r="E95" s="1181" t="inlineStr">
        <is>
          <t>Esteira 2 Totals</t>
        </is>
      </c>
      <c r="F95" s="1181" t="inlineStr">
        <is>
          <t>Esteira 2 Totals</t>
        </is>
      </c>
      <c r="G95" s="1181" t="inlineStr">
        <is>
          <t>Esteira 2 Totals</t>
        </is>
      </c>
      <c r="H95" s="1181" t="inlineStr">
        <is>
          <t>Esteira 2 Totals</t>
        </is>
      </c>
      <c r="I95" s="1579" t="n">
        <v>45076.94</v>
      </c>
      <c r="J95" s="1579" t="n">
        <v>0</v>
      </c>
      <c r="K95" s="1579" t="n">
        <v>45076.94</v>
      </c>
      <c r="L95" s="1579" t="n">
        <v>45076.94</v>
      </c>
      <c r="M95" s="1182" t="inlineStr"/>
      <c r="Q95" s="1575" t="n"/>
      <c r="R95" s="1575" t="n">
        <v>1878</v>
      </c>
      <c r="S95" s="1180" t="n">
        <v>1878</v>
      </c>
    </row>
    <row r="96" ht="13.15" customHeight="1" s="1173">
      <c r="A96" s="1182" t="inlineStr"/>
      <c r="B96" s="1182" t="inlineStr"/>
      <c r="C96" s="1186" t="inlineStr">
        <is>
          <t>Esteira 3</t>
        </is>
      </c>
      <c r="D96" s="1186" t="inlineStr">
        <is>
          <t>Esteira 3</t>
        </is>
      </c>
      <c r="E96" s="1186" t="inlineStr">
        <is>
          <t>Esteira 3</t>
        </is>
      </c>
      <c r="F96" s="1186" t="inlineStr">
        <is>
          <t>Esteira 3</t>
        </is>
      </c>
      <c r="G96" s="1186" t="inlineStr">
        <is>
          <t>Esteira 3</t>
        </is>
      </c>
      <c r="H96" s="1186" t="inlineStr">
        <is>
          <t>Esteira 3</t>
        </is>
      </c>
      <c r="I96" s="1186" t="inlineStr">
        <is>
          <t>Esteira 3</t>
        </is>
      </c>
      <c r="J96" s="1186" t="inlineStr">
        <is>
          <t>Esteira 3</t>
        </is>
      </c>
      <c r="K96" s="1186" t="inlineStr">
        <is>
          <t>Esteira 3</t>
        </is>
      </c>
      <c r="L96" s="1186" t="inlineStr">
        <is>
          <t>Esteira 3</t>
        </is>
      </c>
      <c r="M96" s="1186" t="inlineStr">
        <is>
          <t>Esteira 3</t>
        </is>
      </c>
      <c r="Q96" s="1575" t="n"/>
    </row>
    <row r="97" ht="15.75" customHeight="1" s="1173" thickBot="1">
      <c r="A97" s="1182" t="inlineStr"/>
      <c r="B97" s="1182" t="inlineStr"/>
      <c r="C97" s="1182" t="inlineStr"/>
      <c r="D97" s="1577" t="n">
        <v>45657</v>
      </c>
      <c r="E97" s="1577" t="n">
        <v>45657</v>
      </c>
      <c r="F97" s="1179" t="inlineStr">
        <is>
          <t xml:space="preserve"> Beg Bal</t>
        </is>
      </c>
      <c r="G97" s="1179" t="n"/>
      <c r="H97" s="1179" t="n"/>
      <c r="I97" s="1578" t="n">
        <v>3010.97</v>
      </c>
      <c r="J97" s="1578" t="n">
        <v>0</v>
      </c>
      <c r="K97" s="1578" t="n">
        <v>3010.97</v>
      </c>
      <c r="L97" s="1578" t="n">
        <v>3010.97</v>
      </c>
      <c r="M97" s="1182" t="inlineStr"/>
      <c r="Q97" s="1575" t="n"/>
    </row>
    <row r="98" ht="15.75" customHeight="1" s="1173" thickTop="1">
      <c r="A98" s="1181" t="inlineStr">
        <is>
          <t>Esteira 3 Totals</t>
        </is>
      </c>
      <c r="B98" s="1181" t="inlineStr">
        <is>
          <t>Esteira 3 Totals</t>
        </is>
      </c>
      <c r="C98" s="1181" t="inlineStr">
        <is>
          <t>Esteira 3 Totals</t>
        </is>
      </c>
      <c r="D98" s="1181" t="inlineStr">
        <is>
          <t>Esteira 3 Totals</t>
        </is>
      </c>
      <c r="E98" s="1181" t="inlineStr">
        <is>
          <t>Esteira 3 Totals</t>
        </is>
      </c>
      <c r="F98" s="1181" t="inlineStr">
        <is>
          <t>Esteira 3 Totals</t>
        </is>
      </c>
      <c r="G98" s="1181" t="inlineStr">
        <is>
          <t>Esteira 3 Totals</t>
        </is>
      </c>
      <c r="H98" s="1181" t="inlineStr">
        <is>
          <t>Esteira 3 Totals</t>
        </is>
      </c>
      <c r="I98" s="1579" t="n">
        <v>3010.97</v>
      </c>
      <c r="J98" s="1579" t="n">
        <v>0</v>
      </c>
      <c r="K98" s="1579" t="n">
        <v>3010.97</v>
      </c>
      <c r="L98" s="1579" t="n">
        <v>3010.97</v>
      </c>
      <c r="M98" s="1182" t="inlineStr"/>
      <c r="Q98" s="1575" t="n"/>
      <c r="R98" s="1575" t="n">
        <v>125</v>
      </c>
      <c r="S98" s="1180" t="n">
        <v>125</v>
      </c>
    </row>
    <row r="99" ht="13.15" customHeight="1" s="1173">
      <c r="A99" s="1182" t="inlineStr"/>
      <c r="B99" s="1182" t="inlineStr"/>
      <c r="C99" s="1186" t="inlineStr">
        <is>
          <t>Extratora Silobolsa Outgrain22</t>
        </is>
      </c>
      <c r="D99" s="1186" t="inlineStr">
        <is>
          <t>Extratora Silobolsa Outgrain22</t>
        </is>
      </c>
      <c r="E99" s="1186" t="inlineStr">
        <is>
          <t>Extratora Silobolsa Outgrain22</t>
        </is>
      </c>
      <c r="F99" s="1186" t="inlineStr">
        <is>
          <t>Extratora Silobolsa Outgrain22</t>
        </is>
      </c>
      <c r="G99" s="1186" t="inlineStr">
        <is>
          <t>Extratora Silobolsa Outgrain22</t>
        </is>
      </c>
      <c r="H99" s="1186" t="inlineStr">
        <is>
          <t>Extratora Silobolsa Outgrain22</t>
        </is>
      </c>
      <c r="I99" s="1186" t="inlineStr">
        <is>
          <t>Extratora Silobolsa Outgrain22</t>
        </is>
      </c>
      <c r="J99" s="1186" t="inlineStr">
        <is>
          <t>Extratora Silobolsa Outgrain22</t>
        </is>
      </c>
      <c r="K99" s="1186" t="inlineStr">
        <is>
          <t>Extratora Silobolsa Outgrain22</t>
        </is>
      </c>
      <c r="L99" s="1186" t="inlineStr">
        <is>
          <t>Extratora Silobolsa Outgrain22</t>
        </is>
      </c>
      <c r="M99" s="1186" t="inlineStr">
        <is>
          <t>Extratora Silobolsa Outgrain22</t>
        </is>
      </c>
      <c r="Q99" s="1575" t="n"/>
    </row>
    <row r="100" ht="15.75" customHeight="1" s="1173" thickBot="1">
      <c r="A100" s="1182" t="inlineStr"/>
      <c r="B100" s="1182" t="inlineStr"/>
      <c r="C100" s="1182" t="inlineStr"/>
      <c r="D100" s="1577" t="n">
        <v>45657</v>
      </c>
      <c r="E100" s="1577" t="n">
        <v>45657</v>
      </c>
      <c r="F100" s="1179" t="inlineStr">
        <is>
          <t xml:space="preserve"> Beg Bal</t>
        </is>
      </c>
      <c r="G100" s="1179" t="n"/>
      <c r="H100" s="1179" t="n"/>
      <c r="I100" s="1578" t="n">
        <v>100000</v>
      </c>
      <c r="J100" s="1578" t="n">
        <v>0</v>
      </c>
      <c r="K100" s="1578" t="n">
        <v>100000</v>
      </c>
      <c r="L100" s="1578" t="n">
        <v>100000</v>
      </c>
      <c r="M100" s="1182" t="inlineStr"/>
      <c r="Q100" s="1575" t="n"/>
    </row>
    <row r="101" ht="15.75" customHeight="1" s="1173" thickTop="1">
      <c r="A101" s="1181" t="inlineStr">
        <is>
          <t>Extratora Silobolsa Outgrain22 Totals</t>
        </is>
      </c>
      <c r="B101" s="1181" t="inlineStr">
        <is>
          <t>Extratora Silobolsa Outgrain22 Totals</t>
        </is>
      </c>
      <c r="C101" s="1181" t="inlineStr">
        <is>
          <t>Extratora Silobolsa Outgrain22 Totals</t>
        </is>
      </c>
      <c r="D101" s="1181" t="inlineStr">
        <is>
          <t>Extratora Silobolsa Outgrain22 Totals</t>
        </is>
      </c>
      <c r="E101" s="1181" t="inlineStr">
        <is>
          <t>Extratora Silobolsa Outgrain22 Totals</t>
        </is>
      </c>
      <c r="F101" s="1181" t="inlineStr">
        <is>
          <t>Extratora Silobolsa Outgrain22 Totals</t>
        </is>
      </c>
      <c r="G101" s="1181" t="inlineStr">
        <is>
          <t>Extratora Silobolsa Outgrain22 Totals</t>
        </is>
      </c>
      <c r="H101" s="1181" t="inlineStr">
        <is>
          <t>Extratora Silobolsa Outgrain22 Totals</t>
        </is>
      </c>
      <c r="I101" s="1579" t="n">
        <v>100000</v>
      </c>
      <c r="J101" s="1579" t="n">
        <v>0</v>
      </c>
      <c r="K101" s="1579" t="n">
        <v>100000</v>
      </c>
      <c r="L101" s="1579" t="n">
        <v>100000</v>
      </c>
      <c r="M101" s="1182" t="inlineStr"/>
      <c r="P101" s="1575" t="n">
        <v>100000</v>
      </c>
      <c r="Q101" s="1575" t="n">
        <v>90000</v>
      </c>
      <c r="R101" s="1575">
        <f>P101-Q101</f>
        <v/>
      </c>
      <c r="S101" s="1081">
        <f>K101-Q101</f>
        <v/>
      </c>
    </row>
    <row r="102" ht="13.15" customHeight="1" s="1173">
      <c r="A102" s="1182" t="inlineStr"/>
      <c r="B102" s="1182" t="inlineStr"/>
      <c r="C102" s="1186" t="inlineStr">
        <is>
          <t>F4000 2009 Branca JSA 0223</t>
        </is>
      </c>
      <c r="D102" s="1186" t="inlineStr">
        <is>
          <t>F4000 2009 Branca JSA 0223</t>
        </is>
      </c>
      <c r="E102" s="1186" t="inlineStr">
        <is>
          <t>F4000 2009 Branca JSA 0223</t>
        </is>
      </c>
      <c r="F102" s="1186" t="inlineStr">
        <is>
          <t>F4000 2009 Branca JSA 0223</t>
        </is>
      </c>
      <c r="G102" s="1186" t="inlineStr">
        <is>
          <t>F4000 2009 Branca JSA 0223</t>
        </is>
      </c>
      <c r="H102" s="1186" t="inlineStr">
        <is>
          <t>F4000 2009 Branca JSA 0223</t>
        </is>
      </c>
      <c r="I102" s="1186" t="inlineStr">
        <is>
          <t>F4000 2009 Branca JSA 0223</t>
        </is>
      </c>
      <c r="J102" s="1186" t="inlineStr">
        <is>
          <t>F4000 2009 Branca JSA 0223</t>
        </is>
      </c>
      <c r="K102" s="1186" t="inlineStr">
        <is>
          <t>F4000 2009 Branca JSA 0223</t>
        </is>
      </c>
      <c r="L102" s="1186" t="inlineStr">
        <is>
          <t>F4000 2009 Branca JSA 0223</t>
        </is>
      </c>
      <c r="M102" s="1186" t="inlineStr">
        <is>
          <t>F4000 2009 Branca JSA 0223</t>
        </is>
      </c>
      <c r="Q102" s="1575" t="n"/>
      <c r="S102" s="1081" t="n"/>
    </row>
    <row r="103" ht="15.75" customHeight="1" s="1173" thickBot="1">
      <c r="A103" s="1182" t="inlineStr"/>
      <c r="B103" s="1182" t="inlineStr"/>
      <c r="C103" s="1182" t="inlineStr"/>
      <c r="D103" s="1577" t="n">
        <v>45657</v>
      </c>
      <c r="E103" s="1577" t="n">
        <v>45657</v>
      </c>
      <c r="F103" s="1179" t="inlineStr">
        <is>
          <t xml:space="preserve"> Beg Bal</t>
        </is>
      </c>
      <c r="G103" s="1179" t="n"/>
      <c r="H103" s="1179" t="n"/>
      <c r="I103" s="1578" t="n">
        <v>30000</v>
      </c>
      <c r="J103" s="1578" t="n">
        <v>0</v>
      </c>
      <c r="K103" s="1578" t="n">
        <v>30000</v>
      </c>
      <c r="L103" s="1578" t="n">
        <v>30000</v>
      </c>
      <c r="M103" s="1182" t="inlineStr"/>
      <c r="Q103" s="1575" t="n"/>
      <c r="S103" s="1081" t="n"/>
    </row>
    <row r="104" ht="15.75" customHeight="1" s="1173" thickTop="1">
      <c r="A104" s="1181" t="inlineStr">
        <is>
          <t>F4000 2009 Branca JSA 0223 Totals</t>
        </is>
      </c>
      <c r="B104" s="1181" t="inlineStr">
        <is>
          <t>F4000 2009 Branca JSA 0223 Totals</t>
        </is>
      </c>
      <c r="C104" s="1181" t="inlineStr">
        <is>
          <t>F4000 2009 Branca JSA 0223 Totals</t>
        </is>
      </c>
      <c r="D104" s="1181" t="inlineStr">
        <is>
          <t>F4000 2009 Branca JSA 0223 Totals</t>
        </is>
      </c>
      <c r="E104" s="1181" t="inlineStr">
        <is>
          <t>F4000 2009 Branca JSA 0223 Totals</t>
        </is>
      </c>
      <c r="F104" s="1181" t="inlineStr">
        <is>
          <t>F4000 2009 Branca JSA 0223 Totals</t>
        </is>
      </c>
      <c r="G104" s="1181" t="inlineStr">
        <is>
          <t>F4000 2009 Branca JSA 0223 Totals</t>
        </is>
      </c>
      <c r="H104" s="1181" t="inlineStr">
        <is>
          <t>F4000 2009 Branca JSA 0223 Totals</t>
        </is>
      </c>
      <c r="I104" s="1579" t="n">
        <v>30000</v>
      </c>
      <c r="J104" s="1579" t="n">
        <v>0</v>
      </c>
      <c r="K104" s="1579" t="n">
        <v>30000</v>
      </c>
      <c r="L104" s="1579" t="n">
        <v>30000</v>
      </c>
      <c r="M104" s="1182" t="inlineStr"/>
      <c r="P104" s="1575" t="n">
        <v>30000</v>
      </c>
      <c r="Q104" s="1575" t="n">
        <v>30000</v>
      </c>
      <c r="R104" s="1575">
        <f>P104-Q104</f>
        <v/>
      </c>
      <c r="S104" s="1081">
        <f>K104-Q104</f>
        <v/>
      </c>
    </row>
    <row r="105" ht="13.15" customHeight="1" s="1173">
      <c r="A105" s="1182" t="inlineStr"/>
      <c r="B105" s="1182" t="inlineStr"/>
      <c r="C105" s="1186" t="inlineStr">
        <is>
          <t>Fertilizer &amp; Seed Filler</t>
        </is>
      </c>
      <c r="D105" s="1186" t="inlineStr">
        <is>
          <t>Fertilizer &amp; Seed Filler</t>
        </is>
      </c>
      <c r="E105" s="1186" t="inlineStr">
        <is>
          <t>Fertilizer &amp; Seed Filler</t>
        </is>
      </c>
      <c r="F105" s="1186" t="inlineStr">
        <is>
          <t>Fertilizer &amp; Seed Filler</t>
        </is>
      </c>
      <c r="G105" s="1186" t="inlineStr">
        <is>
          <t>Fertilizer &amp; Seed Filler</t>
        </is>
      </c>
      <c r="H105" s="1186" t="inlineStr">
        <is>
          <t>Fertilizer &amp; Seed Filler</t>
        </is>
      </c>
      <c r="I105" s="1186" t="inlineStr">
        <is>
          <t>Fertilizer &amp; Seed Filler</t>
        </is>
      </c>
      <c r="J105" s="1186" t="inlineStr">
        <is>
          <t>Fertilizer &amp; Seed Filler</t>
        </is>
      </c>
      <c r="K105" s="1186" t="inlineStr">
        <is>
          <t>Fertilizer &amp; Seed Filler</t>
        </is>
      </c>
      <c r="L105" s="1186" t="inlineStr">
        <is>
          <t>Fertilizer &amp; Seed Filler</t>
        </is>
      </c>
      <c r="M105" s="1186" t="inlineStr">
        <is>
          <t>Fertilizer &amp; Seed Filler</t>
        </is>
      </c>
      <c r="Q105" s="1575" t="n"/>
      <c r="S105" s="1081" t="n"/>
    </row>
    <row r="106" ht="15.75" customHeight="1" s="1173" thickBot="1">
      <c r="A106" s="1182" t="inlineStr"/>
      <c r="B106" s="1182" t="inlineStr"/>
      <c r="C106" s="1182" t="inlineStr"/>
      <c r="D106" s="1577" t="n">
        <v>45657</v>
      </c>
      <c r="E106" s="1577" t="n">
        <v>45657</v>
      </c>
      <c r="F106" s="1179" t="inlineStr">
        <is>
          <t xml:space="preserve"> Beg Bal</t>
        </is>
      </c>
      <c r="G106" s="1179" t="n"/>
      <c r="H106" s="1179" t="n"/>
      <c r="I106" s="1578" t="n">
        <v>22000</v>
      </c>
      <c r="J106" s="1578" t="n">
        <v>0</v>
      </c>
      <c r="K106" s="1578" t="n">
        <v>22000</v>
      </c>
      <c r="L106" s="1578" t="n">
        <v>22000</v>
      </c>
      <c r="M106" s="1182" t="inlineStr"/>
      <c r="Q106" s="1575" t="n"/>
      <c r="S106" s="1081" t="n"/>
    </row>
    <row r="107" ht="15.75" customHeight="1" s="1173" thickTop="1">
      <c r="A107" s="1181" t="inlineStr">
        <is>
          <t>Fertilizer &amp; Seed Filler Totals</t>
        </is>
      </c>
      <c r="B107" s="1181" t="inlineStr">
        <is>
          <t>Fertilizer &amp; Seed Filler Totals</t>
        </is>
      </c>
      <c r="C107" s="1181" t="inlineStr">
        <is>
          <t>Fertilizer &amp; Seed Filler Totals</t>
        </is>
      </c>
      <c r="D107" s="1181" t="inlineStr">
        <is>
          <t>Fertilizer &amp; Seed Filler Totals</t>
        </is>
      </c>
      <c r="E107" s="1181" t="inlineStr">
        <is>
          <t>Fertilizer &amp; Seed Filler Totals</t>
        </is>
      </c>
      <c r="F107" s="1181" t="inlineStr">
        <is>
          <t>Fertilizer &amp; Seed Filler Totals</t>
        </is>
      </c>
      <c r="G107" s="1181" t="inlineStr">
        <is>
          <t>Fertilizer &amp; Seed Filler Totals</t>
        </is>
      </c>
      <c r="H107" s="1181" t="inlineStr">
        <is>
          <t>Fertilizer &amp; Seed Filler Totals</t>
        </is>
      </c>
      <c r="I107" s="1579" t="n">
        <v>22000</v>
      </c>
      <c r="J107" s="1579" t="n">
        <v>0</v>
      </c>
      <c r="K107" s="1579" t="n">
        <v>22000</v>
      </c>
      <c r="L107" s="1579" t="n">
        <v>22000</v>
      </c>
      <c r="M107" s="1182" t="inlineStr"/>
      <c r="P107" s="1575" t="n">
        <v>22000</v>
      </c>
      <c r="Q107" s="1575" t="n">
        <v>20000</v>
      </c>
      <c r="R107" s="1575">
        <f>P107-Q107</f>
        <v/>
      </c>
      <c r="S107" s="1081">
        <f>K107-Q107</f>
        <v/>
      </c>
    </row>
    <row r="108" ht="13.15" customHeight="1" s="1173">
      <c r="A108" s="1182" t="inlineStr"/>
      <c r="B108" s="1182" t="inlineStr"/>
      <c r="C108" s="1186" t="inlineStr">
        <is>
          <t>Fiat Strada Hard Working 1.4</t>
        </is>
      </c>
      <c r="D108" s="1186" t="inlineStr">
        <is>
          <t>Fiat Strada Hard Working 1.4</t>
        </is>
      </c>
      <c r="E108" s="1186" t="inlineStr">
        <is>
          <t>Fiat Strada Hard Working 1.4</t>
        </is>
      </c>
      <c r="F108" s="1186" t="inlineStr">
        <is>
          <t>Fiat Strada Hard Working 1.4</t>
        </is>
      </c>
      <c r="G108" s="1186" t="inlineStr">
        <is>
          <t>Fiat Strada Hard Working 1.4</t>
        </is>
      </c>
      <c r="H108" s="1186" t="inlineStr">
        <is>
          <t>Fiat Strada Hard Working 1.4</t>
        </is>
      </c>
      <c r="I108" s="1186" t="inlineStr">
        <is>
          <t>Fiat Strada Hard Working 1.4</t>
        </is>
      </c>
      <c r="J108" s="1186" t="inlineStr">
        <is>
          <t>Fiat Strada Hard Working 1.4</t>
        </is>
      </c>
      <c r="K108" s="1186" t="inlineStr">
        <is>
          <t>Fiat Strada Hard Working 1.4</t>
        </is>
      </c>
      <c r="L108" s="1186" t="inlineStr">
        <is>
          <t>Fiat Strada Hard Working 1.4</t>
        </is>
      </c>
      <c r="M108" s="1186" t="inlineStr">
        <is>
          <t>Fiat Strada Hard Working 1.4</t>
        </is>
      </c>
      <c r="Q108" s="1575" t="n"/>
      <c r="S108" s="1081" t="n"/>
    </row>
    <row r="109" ht="15.75" customHeight="1" s="1173" thickBot="1">
      <c r="A109" s="1182" t="inlineStr"/>
      <c r="B109" s="1182" t="inlineStr"/>
      <c r="C109" s="1182" t="inlineStr"/>
      <c r="D109" s="1577" t="n">
        <v>45657</v>
      </c>
      <c r="E109" s="1577" t="n">
        <v>45657</v>
      </c>
      <c r="F109" s="1179" t="inlineStr">
        <is>
          <t xml:space="preserve"> Beg Bal</t>
        </is>
      </c>
      <c r="G109" s="1179" t="n"/>
      <c r="H109" s="1179" t="n"/>
      <c r="I109" s="1578" t="n">
        <v>33000</v>
      </c>
      <c r="J109" s="1578" t="n">
        <v>0</v>
      </c>
      <c r="K109" s="1578" t="n">
        <v>33000</v>
      </c>
      <c r="L109" s="1578" t="n">
        <v>33000</v>
      </c>
      <c r="M109" s="1182" t="inlineStr"/>
      <c r="Q109" s="1575" t="n"/>
      <c r="S109" s="1081" t="n"/>
    </row>
    <row r="110" ht="15.75" customHeight="1" s="1173" thickTop="1">
      <c r="A110" s="1181" t="inlineStr">
        <is>
          <t>Fiat Strada Hard Working 1.4 Totals</t>
        </is>
      </c>
      <c r="B110" s="1181" t="inlineStr">
        <is>
          <t>Fiat Strada Hard Working 1.4 Totals</t>
        </is>
      </c>
      <c r="C110" s="1181" t="inlineStr">
        <is>
          <t>Fiat Strada Hard Working 1.4 Totals</t>
        </is>
      </c>
      <c r="D110" s="1181" t="inlineStr">
        <is>
          <t>Fiat Strada Hard Working 1.4 Totals</t>
        </is>
      </c>
      <c r="E110" s="1181" t="inlineStr">
        <is>
          <t>Fiat Strada Hard Working 1.4 Totals</t>
        </is>
      </c>
      <c r="F110" s="1181" t="inlineStr">
        <is>
          <t>Fiat Strada Hard Working 1.4 Totals</t>
        </is>
      </c>
      <c r="G110" s="1181" t="inlineStr">
        <is>
          <t>Fiat Strada Hard Working 1.4 Totals</t>
        </is>
      </c>
      <c r="H110" s="1181" t="inlineStr">
        <is>
          <t>Fiat Strada Hard Working 1.4 Totals</t>
        </is>
      </c>
      <c r="I110" s="1579" t="n">
        <v>33000</v>
      </c>
      <c r="J110" s="1579" t="n">
        <v>0</v>
      </c>
      <c r="K110" s="1579" t="n">
        <v>33000</v>
      </c>
      <c r="L110" s="1579" t="n">
        <v>33000</v>
      </c>
      <c r="M110" s="1182" t="inlineStr"/>
      <c r="P110" s="1575" t="n">
        <v>33000</v>
      </c>
      <c r="Q110" s="1575" t="n">
        <v>30000</v>
      </c>
      <c r="R110" s="1575">
        <f>P110-Q110</f>
        <v/>
      </c>
      <c r="S110" s="1081">
        <f>K110-Q110</f>
        <v/>
      </c>
    </row>
    <row r="111" ht="13.15" customHeight="1" s="1173">
      <c r="A111" s="1182" t="inlineStr"/>
      <c r="B111" s="1182" t="inlineStr"/>
      <c r="C111" s="1186" t="inlineStr">
        <is>
          <t>Ford Cargo 2007</t>
        </is>
      </c>
      <c r="D111" s="1186" t="inlineStr">
        <is>
          <t>Ford Cargo 2007</t>
        </is>
      </c>
      <c r="E111" s="1186" t="inlineStr">
        <is>
          <t>Ford Cargo 2007</t>
        </is>
      </c>
      <c r="F111" s="1186" t="inlineStr">
        <is>
          <t>Ford Cargo 2007</t>
        </is>
      </c>
      <c r="G111" s="1186" t="inlineStr">
        <is>
          <t>Ford Cargo 2007</t>
        </is>
      </c>
      <c r="H111" s="1186" t="inlineStr">
        <is>
          <t>Ford Cargo 2007</t>
        </is>
      </c>
      <c r="I111" s="1186" t="inlineStr">
        <is>
          <t>Ford Cargo 2007</t>
        </is>
      </c>
      <c r="J111" s="1186" t="inlineStr">
        <is>
          <t>Ford Cargo 2007</t>
        </is>
      </c>
      <c r="K111" s="1186" t="inlineStr">
        <is>
          <t>Ford Cargo 2007</t>
        </is>
      </c>
      <c r="L111" s="1186" t="inlineStr">
        <is>
          <t>Ford Cargo 2007</t>
        </is>
      </c>
      <c r="M111" s="1186" t="inlineStr">
        <is>
          <t>Ford Cargo 2007</t>
        </is>
      </c>
      <c r="Q111" s="1575" t="n"/>
      <c r="S111" s="1081" t="n"/>
    </row>
    <row r="112" ht="15.75" customHeight="1" s="1173" thickBot="1">
      <c r="A112" s="1182" t="inlineStr"/>
      <c r="B112" s="1182" t="inlineStr"/>
      <c r="C112" s="1182" t="inlineStr"/>
      <c r="D112" s="1577" t="n">
        <v>45657</v>
      </c>
      <c r="E112" s="1577" t="n">
        <v>45657</v>
      </c>
      <c r="F112" s="1179" t="inlineStr">
        <is>
          <t xml:space="preserve"> Beg Bal</t>
        </is>
      </c>
      <c r="G112" s="1179" t="n"/>
      <c r="H112" s="1179" t="n"/>
      <c r="I112" s="1578" t="n">
        <v>30000</v>
      </c>
      <c r="J112" s="1578" t="n">
        <v>0</v>
      </c>
      <c r="K112" s="1578" t="n">
        <v>30000</v>
      </c>
      <c r="L112" s="1578" t="n">
        <v>30000</v>
      </c>
      <c r="M112" s="1182" t="inlineStr"/>
      <c r="Q112" s="1575" t="n"/>
      <c r="S112" s="1081" t="n"/>
    </row>
    <row r="113" ht="15.75" customHeight="1" s="1173" thickTop="1">
      <c r="A113" s="1181" t="inlineStr">
        <is>
          <t>Ford Cargo 2007 Totals</t>
        </is>
      </c>
      <c r="B113" s="1181" t="inlineStr">
        <is>
          <t>Ford Cargo 2007 Totals</t>
        </is>
      </c>
      <c r="C113" s="1181" t="inlineStr">
        <is>
          <t>Ford Cargo 2007 Totals</t>
        </is>
      </c>
      <c r="D113" s="1181" t="inlineStr">
        <is>
          <t>Ford Cargo 2007 Totals</t>
        </is>
      </c>
      <c r="E113" s="1181" t="inlineStr">
        <is>
          <t>Ford Cargo 2007 Totals</t>
        </is>
      </c>
      <c r="F113" s="1181" t="inlineStr">
        <is>
          <t>Ford Cargo 2007 Totals</t>
        </is>
      </c>
      <c r="G113" s="1181" t="inlineStr">
        <is>
          <t>Ford Cargo 2007 Totals</t>
        </is>
      </c>
      <c r="H113" s="1181" t="inlineStr">
        <is>
          <t>Ford Cargo 2007 Totals</t>
        </is>
      </c>
      <c r="I113" s="1579" t="n">
        <v>30000</v>
      </c>
      <c r="J113" s="1579" t="n">
        <v>0</v>
      </c>
      <c r="K113" s="1579" t="n">
        <v>30000</v>
      </c>
      <c r="L113" s="1579" t="n">
        <v>30000</v>
      </c>
      <c r="M113" s="1182" t="inlineStr"/>
      <c r="P113" s="1575" t="n">
        <v>30000</v>
      </c>
      <c r="Q113" s="1575" t="n">
        <v>30000</v>
      </c>
      <c r="R113" s="1575">
        <f>P113-Q113</f>
        <v/>
      </c>
      <c r="S113" s="1081">
        <f>K113-Q113</f>
        <v/>
      </c>
    </row>
    <row r="114" ht="13.15" customHeight="1" s="1173">
      <c r="A114" s="1182" t="inlineStr"/>
      <c r="B114" s="1182" t="inlineStr"/>
      <c r="C114" s="1186" t="inlineStr">
        <is>
          <t>Gerador Caterpillar</t>
        </is>
      </c>
      <c r="D114" s="1186" t="inlineStr">
        <is>
          <t>Gerador Caterpillar</t>
        </is>
      </c>
      <c r="E114" s="1186" t="inlineStr">
        <is>
          <t>Gerador Caterpillar</t>
        </is>
      </c>
      <c r="F114" s="1186" t="inlineStr">
        <is>
          <t>Gerador Caterpillar</t>
        </is>
      </c>
      <c r="G114" s="1186" t="inlineStr">
        <is>
          <t>Gerador Caterpillar</t>
        </is>
      </c>
      <c r="H114" s="1186" t="inlineStr">
        <is>
          <t>Gerador Caterpillar</t>
        </is>
      </c>
      <c r="I114" s="1186" t="inlineStr">
        <is>
          <t>Gerador Caterpillar</t>
        </is>
      </c>
      <c r="J114" s="1186" t="inlineStr">
        <is>
          <t>Gerador Caterpillar</t>
        </is>
      </c>
      <c r="K114" s="1186" t="inlineStr">
        <is>
          <t>Gerador Caterpillar</t>
        </is>
      </c>
      <c r="L114" s="1186" t="inlineStr">
        <is>
          <t>Gerador Caterpillar</t>
        </is>
      </c>
      <c r="M114" s="1186" t="inlineStr">
        <is>
          <t>Gerador Caterpillar</t>
        </is>
      </c>
      <c r="Q114" s="1575" t="n"/>
      <c r="S114" s="1081" t="n"/>
    </row>
    <row r="115" ht="15.75" customHeight="1" s="1173" thickBot="1">
      <c r="A115" s="1182" t="inlineStr"/>
      <c r="B115" s="1182" t="inlineStr"/>
      <c r="C115" s="1182" t="inlineStr"/>
      <c r="D115" s="1577" t="n">
        <v>45657</v>
      </c>
      <c r="E115" s="1577" t="n">
        <v>45657</v>
      </c>
      <c r="F115" s="1179" t="inlineStr">
        <is>
          <t xml:space="preserve"> Beg Bal</t>
        </is>
      </c>
      <c r="G115" s="1179" t="n"/>
      <c r="H115" s="1179" t="n"/>
      <c r="I115" s="1578" t="n">
        <v>38000</v>
      </c>
      <c r="J115" s="1578" t="n">
        <v>0</v>
      </c>
      <c r="K115" s="1578" t="n">
        <v>38000</v>
      </c>
      <c r="L115" s="1578" t="n">
        <v>38000</v>
      </c>
      <c r="M115" s="1182" t="inlineStr"/>
      <c r="Q115" s="1575" t="n"/>
      <c r="S115" s="1081" t="n"/>
    </row>
    <row r="116" ht="15.75" customHeight="1" s="1173" thickTop="1">
      <c r="A116" s="1181" t="inlineStr">
        <is>
          <t>Gerador Caterpillar Totals</t>
        </is>
      </c>
      <c r="B116" s="1181" t="inlineStr">
        <is>
          <t>Gerador Caterpillar Totals</t>
        </is>
      </c>
      <c r="C116" s="1181" t="inlineStr">
        <is>
          <t>Gerador Caterpillar Totals</t>
        </is>
      </c>
      <c r="D116" s="1181" t="inlineStr">
        <is>
          <t>Gerador Caterpillar Totals</t>
        </is>
      </c>
      <c r="E116" s="1181" t="inlineStr">
        <is>
          <t>Gerador Caterpillar Totals</t>
        </is>
      </c>
      <c r="F116" s="1181" t="inlineStr">
        <is>
          <t>Gerador Caterpillar Totals</t>
        </is>
      </c>
      <c r="G116" s="1181" t="inlineStr">
        <is>
          <t>Gerador Caterpillar Totals</t>
        </is>
      </c>
      <c r="H116" s="1181" t="inlineStr">
        <is>
          <t>Gerador Caterpillar Totals</t>
        </is>
      </c>
      <c r="I116" s="1579" t="n">
        <v>38000</v>
      </c>
      <c r="J116" s="1579" t="n">
        <v>0</v>
      </c>
      <c r="K116" s="1579" t="n">
        <v>38000</v>
      </c>
      <c r="L116" s="1579" t="n">
        <v>38000</v>
      </c>
      <c r="M116" s="1182" t="inlineStr"/>
      <c r="P116" s="1575" t="n">
        <v>38000</v>
      </c>
      <c r="Q116" s="1575" t="n">
        <v>35000</v>
      </c>
      <c r="R116" s="1575">
        <f>P116-Q116</f>
        <v/>
      </c>
      <c r="S116" s="1081">
        <f>K116-Q116</f>
        <v/>
      </c>
    </row>
    <row r="117" ht="13.15" customHeight="1" s="1173">
      <c r="A117" s="1182" t="inlineStr"/>
      <c r="B117" s="1182" t="inlineStr"/>
      <c r="C117" s="1186" t="inlineStr">
        <is>
          <t>Grain Bin 1</t>
        </is>
      </c>
      <c r="D117" s="1186" t="inlineStr">
        <is>
          <t>Grain Bin 1</t>
        </is>
      </c>
      <c r="E117" s="1186" t="inlineStr">
        <is>
          <t>Grain Bin 1</t>
        </is>
      </c>
      <c r="F117" s="1186" t="inlineStr">
        <is>
          <t>Grain Bin 1</t>
        </is>
      </c>
      <c r="G117" s="1186" t="inlineStr">
        <is>
          <t>Grain Bin 1</t>
        </is>
      </c>
      <c r="H117" s="1186" t="inlineStr">
        <is>
          <t>Grain Bin 1</t>
        </is>
      </c>
      <c r="I117" s="1186" t="inlineStr">
        <is>
          <t>Grain Bin 1</t>
        </is>
      </c>
      <c r="J117" s="1186" t="inlineStr">
        <is>
          <t>Grain Bin 1</t>
        </is>
      </c>
      <c r="K117" s="1186" t="inlineStr">
        <is>
          <t>Grain Bin 1</t>
        </is>
      </c>
      <c r="L117" s="1186" t="inlineStr">
        <is>
          <t>Grain Bin 1</t>
        </is>
      </c>
      <c r="M117" s="1186" t="inlineStr">
        <is>
          <t>Grain Bin 1</t>
        </is>
      </c>
      <c r="Q117" s="1575" t="n"/>
    </row>
    <row r="118" ht="15.75" customHeight="1" s="1173" thickBot="1">
      <c r="A118" s="1182" t="inlineStr"/>
      <c r="B118" s="1182" t="inlineStr"/>
      <c r="C118" s="1182" t="inlineStr"/>
      <c r="D118" s="1577" t="n">
        <v>45657</v>
      </c>
      <c r="E118" s="1577" t="n">
        <v>45657</v>
      </c>
      <c r="F118" s="1179" t="inlineStr">
        <is>
          <t xml:space="preserve"> Beg Bal</t>
        </is>
      </c>
      <c r="G118" s="1179" t="n"/>
      <c r="H118" s="1179" t="n"/>
      <c r="I118" s="1578" t="n">
        <v>570567.48</v>
      </c>
      <c r="J118" s="1578" t="n">
        <v>0</v>
      </c>
      <c r="K118" s="1578" t="n">
        <v>570567.48</v>
      </c>
      <c r="L118" s="1578" t="n">
        <v>570567.48</v>
      </c>
      <c r="M118" s="1182" t="inlineStr"/>
      <c r="Q118" s="1575" t="n"/>
    </row>
    <row r="119" ht="15.75" customHeight="1" s="1173" thickTop="1">
      <c r="A119" s="1181" t="inlineStr">
        <is>
          <t>Grain Bin 1 Totals</t>
        </is>
      </c>
      <c r="B119" s="1181" t="inlineStr">
        <is>
          <t>Grain Bin 1 Totals</t>
        </is>
      </c>
      <c r="C119" s="1181" t="inlineStr">
        <is>
          <t>Grain Bin 1 Totals</t>
        </is>
      </c>
      <c r="D119" s="1181" t="inlineStr">
        <is>
          <t>Grain Bin 1 Totals</t>
        </is>
      </c>
      <c r="E119" s="1181" t="inlineStr">
        <is>
          <t>Grain Bin 1 Totals</t>
        </is>
      </c>
      <c r="F119" s="1181" t="inlineStr">
        <is>
          <t>Grain Bin 1 Totals</t>
        </is>
      </c>
      <c r="G119" s="1181" t="inlineStr">
        <is>
          <t>Grain Bin 1 Totals</t>
        </is>
      </c>
      <c r="H119" s="1181" t="inlineStr">
        <is>
          <t>Grain Bin 1 Totals</t>
        </is>
      </c>
      <c r="I119" s="1579" t="n">
        <v>570567.48</v>
      </c>
      <c r="J119" s="1579" t="n">
        <v>0</v>
      </c>
      <c r="K119" s="1579" t="n">
        <v>570567.48</v>
      </c>
      <c r="L119" s="1579" t="n">
        <v>570567.48</v>
      </c>
      <c r="M119" s="1182" t="inlineStr"/>
      <c r="Q119" s="1575" t="n"/>
      <c r="R119" s="1575" t="n">
        <v>23774</v>
      </c>
      <c r="S119" s="1180" t="n">
        <v>23774</v>
      </c>
    </row>
    <row r="120" ht="13.15" customHeight="1" s="1173">
      <c r="A120" s="1182" t="inlineStr"/>
      <c r="B120" s="1182" t="inlineStr"/>
      <c r="C120" s="1186" t="inlineStr">
        <is>
          <t>Grain Bin 2</t>
        </is>
      </c>
      <c r="D120" s="1186" t="inlineStr">
        <is>
          <t>Grain Bin 2</t>
        </is>
      </c>
      <c r="E120" s="1186" t="inlineStr">
        <is>
          <t>Grain Bin 2</t>
        </is>
      </c>
      <c r="F120" s="1186" t="inlineStr">
        <is>
          <t>Grain Bin 2</t>
        </is>
      </c>
      <c r="G120" s="1186" t="inlineStr">
        <is>
          <t>Grain Bin 2</t>
        </is>
      </c>
      <c r="H120" s="1186" t="inlineStr">
        <is>
          <t>Grain Bin 2</t>
        </is>
      </c>
      <c r="I120" s="1186" t="inlineStr">
        <is>
          <t>Grain Bin 2</t>
        </is>
      </c>
      <c r="J120" s="1186" t="inlineStr">
        <is>
          <t>Grain Bin 2</t>
        </is>
      </c>
      <c r="K120" s="1186" t="inlineStr">
        <is>
          <t>Grain Bin 2</t>
        </is>
      </c>
      <c r="L120" s="1186" t="inlineStr">
        <is>
          <t>Grain Bin 2</t>
        </is>
      </c>
      <c r="M120" s="1186" t="inlineStr">
        <is>
          <t>Grain Bin 2</t>
        </is>
      </c>
      <c r="Q120" s="1575" t="n"/>
    </row>
    <row r="121" ht="15.75" customHeight="1" s="1173" thickBot="1">
      <c r="A121" s="1182" t="inlineStr"/>
      <c r="B121" s="1182" t="inlineStr"/>
      <c r="C121" s="1182" t="inlineStr"/>
      <c r="D121" s="1577" t="n">
        <v>45657</v>
      </c>
      <c r="E121" s="1577" t="n">
        <v>45657</v>
      </c>
      <c r="F121" s="1179" t="inlineStr">
        <is>
          <t xml:space="preserve"> Beg Bal</t>
        </is>
      </c>
      <c r="G121" s="1179" t="n"/>
      <c r="H121" s="1179" t="n"/>
      <c r="I121" s="1578" t="n">
        <v>570567.48</v>
      </c>
      <c r="J121" s="1578" t="n">
        <v>0</v>
      </c>
      <c r="K121" s="1578" t="n">
        <v>570567.48</v>
      </c>
      <c r="L121" s="1578" t="n">
        <v>570567.48</v>
      </c>
      <c r="M121" s="1182" t="inlineStr"/>
      <c r="Q121" s="1575" t="n"/>
    </row>
    <row r="122" ht="15.75" customHeight="1" s="1173" thickTop="1">
      <c r="A122" s="1181" t="inlineStr">
        <is>
          <t>Grain Bin 2 Totals</t>
        </is>
      </c>
      <c r="B122" s="1181" t="inlineStr">
        <is>
          <t>Grain Bin 2 Totals</t>
        </is>
      </c>
      <c r="C122" s="1181" t="inlineStr">
        <is>
          <t>Grain Bin 2 Totals</t>
        </is>
      </c>
      <c r="D122" s="1181" t="inlineStr">
        <is>
          <t>Grain Bin 2 Totals</t>
        </is>
      </c>
      <c r="E122" s="1181" t="inlineStr">
        <is>
          <t>Grain Bin 2 Totals</t>
        </is>
      </c>
      <c r="F122" s="1181" t="inlineStr">
        <is>
          <t>Grain Bin 2 Totals</t>
        </is>
      </c>
      <c r="G122" s="1181" t="inlineStr">
        <is>
          <t>Grain Bin 2 Totals</t>
        </is>
      </c>
      <c r="H122" s="1181" t="inlineStr">
        <is>
          <t>Grain Bin 2 Totals</t>
        </is>
      </c>
      <c r="I122" s="1579" t="n">
        <v>570567.48</v>
      </c>
      <c r="J122" s="1579" t="n">
        <v>0</v>
      </c>
      <c r="K122" s="1579" t="n">
        <v>570567.48</v>
      </c>
      <c r="L122" s="1579" t="n">
        <v>570567.48</v>
      </c>
      <c r="M122" s="1182" t="inlineStr"/>
      <c r="Q122" s="1575" t="n"/>
      <c r="R122" s="1575" t="n">
        <v>23774</v>
      </c>
      <c r="S122" s="1180" t="n">
        <v>23774</v>
      </c>
    </row>
    <row r="123" ht="13.15" customHeight="1" s="1173">
      <c r="A123" s="1182" t="inlineStr"/>
      <c r="B123" s="1182" t="inlineStr"/>
      <c r="C123" s="1186" t="inlineStr">
        <is>
          <t>Grain Cleaner</t>
        </is>
      </c>
      <c r="D123" s="1186" t="inlineStr">
        <is>
          <t>Grain Cleaner</t>
        </is>
      </c>
      <c r="E123" s="1186" t="inlineStr">
        <is>
          <t>Grain Cleaner</t>
        </is>
      </c>
      <c r="F123" s="1186" t="inlineStr">
        <is>
          <t>Grain Cleaner</t>
        </is>
      </c>
      <c r="G123" s="1186" t="inlineStr">
        <is>
          <t>Grain Cleaner</t>
        </is>
      </c>
      <c r="H123" s="1186" t="inlineStr">
        <is>
          <t>Grain Cleaner</t>
        </is>
      </c>
      <c r="I123" s="1186" t="inlineStr">
        <is>
          <t>Grain Cleaner</t>
        </is>
      </c>
      <c r="J123" s="1186" t="inlineStr">
        <is>
          <t>Grain Cleaner</t>
        </is>
      </c>
      <c r="K123" s="1186" t="inlineStr">
        <is>
          <t>Grain Cleaner</t>
        </is>
      </c>
      <c r="L123" s="1186" t="inlineStr">
        <is>
          <t>Grain Cleaner</t>
        </is>
      </c>
      <c r="M123" s="1186" t="inlineStr">
        <is>
          <t>Grain Cleaner</t>
        </is>
      </c>
      <c r="Q123" s="1575" t="n"/>
    </row>
    <row r="124" ht="15.75" customHeight="1" s="1173" thickBot="1">
      <c r="A124" s="1182" t="inlineStr"/>
      <c r="B124" s="1182" t="inlineStr"/>
      <c r="C124" s="1182" t="inlineStr"/>
      <c r="D124" s="1577" t="n">
        <v>45657</v>
      </c>
      <c r="E124" s="1577" t="n">
        <v>45657</v>
      </c>
      <c r="F124" s="1179" t="inlineStr">
        <is>
          <t xml:space="preserve"> Beg Bal</t>
        </is>
      </c>
      <c r="G124" s="1179" t="n"/>
      <c r="H124" s="1179" t="n"/>
      <c r="I124" s="1578" t="n">
        <v>121118.78</v>
      </c>
      <c r="J124" s="1578" t="n">
        <v>0</v>
      </c>
      <c r="K124" s="1578" t="n">
        <v>121118.78</v>
      </c>
      <c r="L124" s="1578" t="n">
        <v>121118.78</v>
      </c>
      <c r="M124" s="1182" t="inlineStr"/>
      <c r="Q124" s="1575" t="n"/>
    </row>
    <row r="125" ht="15.75" customHeight="1" s="1173" thickTop="1">
      <c r="A125" s="1181" t="inlineStr">
        <is>
          <t>Grain Cleaner Totals</t>
        </is>
      </c>
      <c r="B125" s="1181" t="inlineStr">
        <is>
          <t>Grain Cleaner Totals</t>
        </is>
      </c>
      <c r="C125" s="1181" t="inlineStr">
        <is>
          <t>Grain Cleaner Totals</t>
        </is>
      </c>
      <c r="D125" s="1181" t="inlineStr">
        <is>
          <t>Grain Cleaner Totals</t>
        </is>
      </c>
      <c r="E125" s="1181" t="inlineStr">
        <is>
          <t>Grain Cleaner Totals</t>
        </is>
      </c>
      <c r="F125" s="1181" t="inlineStr">
        <is>
          <t>Grain Cleaner Totals</t>
        </is>
      </c>
      <c r="G125" s="1181" t="inlineStr">
        <is>
          <t>Grain Cleaner Totals</t>
        </is>
      </c>
      <c r="H125" s="1181" t="inlineStr">
        <is>
          <t>Grain Cleaner Totals</t>
        </is>
      </c>
      <c r="I125" s="1579" t="n">
        <v>121118.78</v>
      </c>
      <c r="J125" s="1579" t="n">
        <v>0</v>
      </c>
      <c r="K125" s="1579" t="n">
        <v>121118.78</v>
      </c>
      <c r="L125" s="1579" t="n">
        <v>121118.78</v>
      </c>
      <c r="M125" s="1182" t="inlineStr"/>
      <c r="Q125" s="1575" t="n"/>
      <c r="R125" s="1575" t="n">
        <v>5047</v>
      </c>
      <c r="S125" s="1180" t="n">
        <v>5047</v>
      </c>
    </row>
    <row r="126" ht="13.15" customHeight="1" s="1173">
      <c r="A126" s="1182" t="inlineStr"/>
      <c r="B126" s="1182" t="inlineStr"/>
      <c r="C126" s="1186" t="inlineStr">
        <is>
          <t>Grain Dryer</t>
        </is>
      </c>
      <c r="D126" s="1186" t="inlineStr">
        <is>
          <t>Grain Dryer</t>
        </is>
      </c>
      <c r="E126" s="1186" t="inlineStr">
        <is>
          <t>Grain Dryer</t>
        </is>
      </c>
      <c r="F126" s="1186" t="inlineStr">
        <is>
          <t>Grain Dryer</t>
        </is>
      </c>
      <c r="G126" s="1186" t="inlineStr">
        <is>
          <t>Grain Dryer</t>
        </is>
      </c>
      <c r="H126" s="1186" t="inlineStr">
        <is>
          <t>Grain Dryer</t>
        </is>
      </c>
      <c r="I126" s="1186" t="inlineStr">
        <is>
          <t>Grain Dryer</t>
        </is>
      </c>
      <c r="J126" s="1186" t="inlineStr">
        <is>
          <t>Grain Dryer</t>
        </is>
      </c>
      <c r="K126" s="1186" t="inlineStr">
        <is>
          <t>Grain Dryer</t>
        </is>
      </c>
      <c r="L126" s="1186" t="inlineStr">
        <is>
          <t>Grain Dryer</t>
        </is>
      </c>
      <c r="M126" s="1186" t="inlineStr">
        <is>
          <t>Grain Dryer</t>
        </is>
      </c>
      <c r="Q126" s="1575" t="n"/>
    </row>
    <row r="127" ht="15.75" customHeight="1" s="1173" thickBot="1">
      <c r="A127" s="1182" t="inlineStr"/>
      <c r="B127" s="1182" t="inlineStr"/>
      <c r="C127" s="1182" t="inlineStr"/>
      <c r="D127" s="1577" t="n">
        <v>45657</v>
      </c>
      <c r="E127" s="1577" t="n">
        <v>45657</v>
      </c>
      <c r="F127" s="1179" t="inlineStr">
        <is>
          <t xml:space="preserve"> Beg Bal</t>
        </is>
      </c>
      <c r="G127" s="1179" t="n"/>
      <c r="H127" s="1179" t="n"/>
      <c r="I127" s="1578" t="n">
        <v>253923.36</v>
      </c>
      <c r="J127" s="1578" t="n">
        <v>0</v>
      </c>
      <c r="K127" s="1578" t="n">
        <v>253923.36</v>
      </c>
      <c r="L127" s="1578" t="n">
        <v>253923.36</v>
      </c>
      <c r="M127" s="1182" t="inlineStr"/>
      <c r="Q127" s="1575" t="n"/>
    </row>
    <row r="128" ht="15.75" customHeight="1" s="1173" thickTop="1">
      <c r="A128" s="1181" t="inlineStr">
        <is>
          <t>Grain Dryer Totals</t>
        </is>
      </c>
      <c r="B128" s="1181" t="inlineStr">
        <is>
          <t>Grain Dryer Totals</t>
        </is>
      </c>
      <c r="C128" s="1181" t="inlineStr">
        <is>
          <t>Grain Dryer Totals</t>
        </is>
      </c>
      <c r="D128" s="1181" t="inlineStr">
        <is>
          <t>Grain Dryer Totals</t>
        </is>
      </c>
      <c r="E128" s="1181" t="inlineStr">
        <is>
          <t>Grain Dryer Totals</t>
        </is>
      </c>
      <c r="F128" s="1181" t="inlineStr">
        <is>
          <t>Grain Dryer Totals</t>
        </is>
      </c>
      <c r="G128" s="1181" t="inlineStr">
        <is>
          <t>Grain Dryer Totals</t>
        </is>
      </c>
      <c r="H128" s="1181" t="inlineStr">
        <is>
          <t>Grain Dryer Totals</t>
        </is>
      </c>
      <c r="I128" s="1579" t="n">
        <v>253923.36</v>
      </c>
      <c r="J128" s="1579" t="n">
        <v>0</v>
      </c>
      <c r="K128" s="1579" t="n">
        <v>253923.36</v>
      </c>
      <c r="L128" s="1579" t="n">
        <v>253923.36</v>
      </c>
      <c r="M128" s="1182" t="inlineStr"/>
      <c r="Q128" s="1575" t="n"/>
      <c r="R128" s="1575" t="n">
        <v>10580</v>
      </c>
      <c r="S128" s="1180" t="n">
        <v>10580</v>
      </c>
    </row>
    <row r="129" ht="13.15" customHeight="1" s="1173">
      <c r="A129" s="1182" t="inlineStr"/>
      <c r="B129" s="1182" t="inlineStr"/>
      <c r="C129" s="1186" t="inlineStr">
        <is>
          <t>JD 4030 ano 2021</t>
        </is>
      </c>
      <c r="D129" s="1186" t="inlineStr">
        <is>
          <t>JD 4030 ano 2021</t>
        </is>
      </c>
      <c r="E129" s="1186" t="inlineStr">
        <is>
          <t>JD 4030 ano 2021</t>
        </is>
      </c>
      <c r="F129" s="1186" t="inlineStr">
        <is>
          <t>JD 4030 ano 2021</t>
        </is>
      </c>
      <c r="G129" s="1186" t="inlineStr">
        <is>
          <t>JD 4030 ano 2021</t>
        </is>
      </c>
      <c r="H129" s="1186" t="inlineStr">
        <is>
          <t>JD 4030 ano 2021</t>
        </is>
      </c>
      <c r="I129" s="1186" t="inlineStr">
        <is>
          <t>JD 4030 ano 2021</t>
        </is>
      </c>
      <c r="J129" s="1186" t="inlineStr">
        <is>
          <t>JD 4030 ano 2021</t>
        </is>
      </c>
      <c r="K129" s="1186" t="inlineStr">
        <is>
          <t>JD 4030 ano 2021</t>
        </is>
      </c>
      <c r="L129" s="1186" t="inlineStr">
        <is>
          <t>JD 4030 ano 2021</t>
        </is>
      </c>
      <c r="M129" s="1186" t="inlineStr">
        <is>
          <t>JD 4030 ano 2021</t>
        </is>
      </c>
      <c r="Q129" s="1575" t="n"/>
    </row>
    <row r="130" ht="15.75" customHeight="1" s="1173" thickBot="1">
      <c r="A130" s="1182" t="inlineStr"/>
      <c r="B130" s="1182" t="inlineStr"/>
      <c r="C130" s="1182" t="inlineStr"/>
      <c r="D130" s="1577" t="n">
        <v>45657</v>
      </c>
      <c r="E130" s="1577" t="n">
        <v>45657</v>
      </c>
      <c r="F130" s="1179" t="inlineStr">
        <is>
          <t xml:space="preserve"> Beg Bal</t>
        </is>
      </c>
      <c r="G130" s="1179" t="n"/>
      <c r="H130" s="1179" t="n"/>
      <c r="I130" s="1578" t="n">
        <v>1200000</v>
      </c>
      <c r="J130" s="1578" t="n">
        <v>0</v>
      </c>
      <c r="K130" s="1578" t="n">
        <v>1200000</v>
      </c>
      <c r="L130" s="1578" t="n">
        <v>1200000</v>
      </c>
      <c r="M130" s="1182" t="inlineStr"/>
      <c r="Q130" s="1575" t="n"/>
    </row>
    <row r="131" ht="15.75" customHeight="1" s="1173" thickTop="1">
      <c r="A131" s="1181" t="inlineStr">
        <is>
          <t>JD 4030 ano 2021 Totals</t>
        </is>
      </c>
      <c r="B131" s="1181" t="inlineStr">
        <is>
          <t>JD 4030 ano 2021 Totals</t>
        </is>
      </c>
      <c r="C131" s="1181" t="inlineStr">
        <is>
          <t>JD 4030 ano 2021 Totals</t>
        </is>
      </c>
      <c r="D131" s="1181" t="inlineStr">
        <is>
          <t>JD 4030 ano 2021 Totals</t>
        </is>
      </c>
      <c r="E131" s="1181" t="inlineStr">
        <is>
          <t>JD 4030 ano 2021 Totals</t>
        </is>
      </c>
      <c r="F131" s="1181" t="inlineStr">
        <is>
          <t>JD 4030 ano 2021 Totals</t>
        </is>
      </c>
      <c r="G131" s="1181" t="inlineStr">
        <is>
          <t>JD 4030 ano 2021 Totals</t>
        </is>
      </c>
      <c r="H131" s="1181" t="inlineStr">
        <is>
          <t>JD 4030 ano 2021 Totals</t>
        </is>
      </c>
      <c r="I131" s="1579" t="n">
        <v>1200000</v>
      </c>
      <c r="J131" s="1579" t="n">
        <v>0</v>
      </c>
      <c r="K131" s="1579" t="n">
        <v>1200000</v>
      </c>
      <c r="L131" s="1579" t="n">
        <v>1200000</v>
      </c>
      <c r="M131" s="1182" t="inlineStr"/>
      <c r="P131" s="1575" t="n">
        <v>1200000</v>
      </c>
      <c r="Q131" s="1575" t="n">
        <v>900000</v>
      </c>
      <c r="R131" s="1575">
        <f>P131-Q131</f>
        <v/>
      </c>
      <c r="S131" s="1081">
        <f>K131-Q131</f>
        <v/>
      </c>
    </row>
    <row r="132" ht="13.15" customHeight="1" s="1173">
      <c r="A132" s="1182" t="inlineStr"/>
      <c r="B132" s="1182" t="inlineStr"/>
      <c r="C132" s="1186" t="inlineStr">
        <is>
          <t>JD 5403 ano 2008</t>
        </is>
      </c>
      <c r="D132" s="1186" t="inlineStr">
        <is>
          <t>JD 5403 ano 2008</t>
        </is>
      </c>
      <c r="E132" s="1186" t="inlineStr">
        <is>
          <t>JD 5403 ano 2008</t>
        </is>
      </c>
      <c r="F132" s="1186" t="inlineStr">
        <is>
          <t>JD 5403 ano 2008</t>
        </is>
      </c>
      <c r="G132" s="1186" t="inlineStr">
        <is>
          <t>JD 5403 ano 2008</t>
        </is>
      </c>
      <c r="H132" s="1186" t="inlineStr">
        <is>
          <t>JD 5403 ano 2008</t>
        </is>
      </c>
      <c r="I132" s="1186" t="inlineStr">
        <is>
          <t>JD 5403 ano 2008</t>
        </is>
      </c>
      <c r="J132" s="1186" t="inlineStr">
        <is>
          <t>JD 5403 ano 2008</t>
        </is>
      </c>
      <c r="K132" s="1186" t="inlineStr">
        <is>
          <t>JD 5403 ano 2008</t>
        </is>
      </c>
      <c r="L132" s="1186" t="inlineStr">
        <is>
          <t>JD 5403 ano 2008</t>
        </is>
      </c>
      <c r="M132" s="1186" t="inlineStr">
        <is>
          <t>JD 5403 ano 2008</t>
        </is>
      </c>
      <c r="Q132" s="1575" t="n"/>
      <c r="S132" s="1081" t="n"/>
    </row>
    <row r="133" ht="15.75" customHeight="1" s="1173" thickBot="1">
      <c r="A133" s="1182" t="inlineStr"/>
      <c r="B133" s="1182" t="inlineStr"/>
      <c r="C133" s="1182" t="inlineStr"/>
      <c r="D133" s="1577" t="n">
        <v>45657</v>
      </c>
      <c r="E133" s="1577" t="n">
        <v>45657</v>
      </c>
      <c r="F133" s="1179" t="inlineStr">
        <is>
          <t xml:space="preserve"> Beg Bal</t>
        </is>
      </c>
      <c r="G133" s="1179" t="n"/>
      <c r="H133" s="1179" t="n"/>
      <c r="I133" s="1578" t="n">
        <v>25000</v>
      </c>
      <c r="J133" s="1578" t="n">
        <v>0</v>
      </c>
      <c r="K133" s="1578" t="n">
        <v>25000</v>
      </c>
      <c r="L133" s="1578" t="n">
        <v>25000</v>
      </c>
      <c r="M133" s="1182" t="inlineStr"/>
      <c r="Q133" s="1575" t="n"/>
      <c r="S133" s="1081" t="n"/>
    </row>
    <row r="134" ht="15.75" customHeight="1" s="1173" thickTop="1">
      <c r="A134" s="1181" t="inlineStr">
        <is>
          <t>JD 5403 ano 2008 Totals</t>
        </is>
      </c>
      <c r="B134" s="1181" t="inlineStr">
        <is>
          <t>JD 5403 ano 2008 Totals</t>
        </is>
      </c>
      <c r="C134" s="1181" t="inlineStr">
        <is>
          <t>JD 5403 ano 2008 Totals</t>
        </is>
      </c>
      <c r="D134" s="1181" t="inlineStr">
        <is>
          <t>JD 5403 ano 2008 Totals</t>
        </is>
      </c>
      <c r="E134" s="1181" t="inlineStr">
        <is>
          <t>JD 5403 ano 2008 Totals</t>
        </is>
      </c>
      <c r="F134" s="1181" t="inlineStr">
        <is>
          <t>JD 5403 ano 2008 Totals</t>
        </is>
      </c>
      <c r="G134" s="1181" t="inlineStr">
        <is>
          <t>JD 5403 ano 2008 Totals</t>
        </is>
      </c>
      <c r="H134" s="1181" t="inlineStr">
        <is>
          <t>JD 5403 ano 2008 Totals</t>
        </is>
      </c>
      <c r="I134" s="1579" t="n">
        <v>25000</v>
      </c>
      <c r="J134" s="1579" t="n">
        <v>0</v>
      </c>
      <c r="K134" s="1579" t="n">
        <v>25000</v>
      </c>
      <c r="L134" s="1579" t="n">
        <v>25000</v>
      </c>
      <c r="M134" s="1182" t="inlineStr"/>
      <c r="P134" s="1575" t="n">
        <v>25000</v>
      </c>
      <c r="Q134" s="1575" t="n">
        <v>25000</v>
      </c>
      <c r="R134" s="1575">
        <f>P134-Q134</f>
        <v/>
      </c>
      <c r="S134" s="1081">
        <f>K134-Q134</f>
        <v/>
      </c>
    </row>
    <row r="135" ht="13.15" customHeight="1" s="1173">
      <c r="A135" s="1182" t="inlineStr"/>
      <c r="B135" s="1182" t="inlineStr"/>
      <c r="C135" s="1186" t="inlineStr">
        <is>
          <t>JD 8335R ano 2014</t>
        </is>
      </c>
      <c r="D135" s="1186" t="inlineStr">
        <is>
          <t>JD 8335R ano 2014</t>
        </is>
      </c>
      <c r="E135" s="1186" t="inlineStr">
        <is>
          <t>JD 8335R ano 2014</t>
        </is>
      </c>
      <c r="F135" s="1186" t="inlineStr">
        <is>
          <t>JD 8335R ano 2014</t>
        </is>
      </c>
      <c r="G135" s="1186" t="inlineStr">
        <is>
          <t>JD 8335R ano 2014</t>
        </is>
      </c>
      <c r="H135" s="1186" t="inlineStr">
        <is>
          <t>JD 8335R ano 2014</t>
        </is>
      </c>
      <c r="I135" s="1186" t="inlineStr">
        <is>
          <t>JD 8335R ano 2014</t>
        </is>
      </c>
      <c r="J135" s="1186" t="inlineStr">
        <is>
          <t>JD 8335R ano 2014</t>
        </is>
      </c>
      <c r="K135" s="1186" t="inlineStr">
        <is>
          <t>JD 8335R ano 2014</t>
        </is>
      </c>
      <c r="L135" s="1186" t="inlineStr">
        <is>
          <t>JD 8335R ano 2014</t>
        </is>
      </c>
      <c r="M135" s="1186" t="inlineStr">
        <is>
          <t>JD 8335R ano 2014</t>
        </is>
      </c>
      <c r="Q135" s="1575" t="n"/>
      <c r="S135" s="1081" t="n"/>
    </row>
    <row r="136" ht="15.75" customHeight="1" s="1173" thickBot="1">
      <c r="A136" s="1182" t="inlineStr"/>
      <c r="B136" s="1182" t="inlineStr"/>
      <c r="C136" s="1182" t="inlineStr"/>
      <c r="D136" s="1577" t="n">
        <v>45657</v>
      </c>
      <c r="E136" s="1577" t="n">
        <v>45657</v>
      </c>
      <c r="F136" s="1179" t="inlineStr">
        <is>
          <t xml:space="preserve"> Beg Bal</t>
        </is>
      </c>
      <c r="G136" s="1179" t="n"/>
      <c r="H136" s="1179" t="n"/>
      <c r="I136" s="1578" t="n">
        <v>380000</v>
      </c>
      <c r="J136" s="1578" t="n">
        <v>0</v>
      </c>
      <c r="K136" s="1578" t="n">
        <v>380000</v>
      </c>
      <c r="L136" s="1578" t="n">
        <v>380000</v>
      </c>
      <c r="M136" s="1182" t="inlineStr"/>
      <c r="Q136" s="1575" t="n"/>
      <c r="S136" s="1081" t="n"/>
    </row>
    <row r="137" ht="15.75" customHeight="1" s="1173" thickTop="1">
      <c r="A137" s="1181" t="inlineStr">
        <is>
          <t>JD 8335R ano 2014 Totals</t>
        </is>
      </c>
      <c r="B137" s="1181" t="inlineStr">
        <is>
          <t>JD 8335R ano 2014 Totals</t>
        </is>
      </c>
      <c r="C137" s="1181" t="inlineStr">
        <is>
          <t>JD 8335R ano 2014 Totals</t>
        </is>
      </c>
      <c r="D137" s="1181" t="inlineStr">
        <is>
          <t>JD 8335R ano 2014 Totals</t>
        </is>
      </c>
      <c r="E137" s="1181" t="inlineStr">
        <is>
          <t>JD 8335R ano 2014 Totals</t>
        </is>
      </c>
      <c r="F137" s="1181" t="inlineStr">
        <is>
          <t>JD 8335R ano 2014 Totals</t>
        </is>
      </c>
      <c r="G137" s="1181" t="inlineStr">
        <is>
          <t>JD 8335R ano 2014 Totals</t>
        </is>
      </c>
      <c r="H137" s="1181" t="inlineStr">
        <is>
          <t>JD 8335R ano 2014 Totals</t>
        </is>
      </c>
      <c r="I137" s="1579" t="n">
        <v>380000</v>
      </c>
      <c r="J137" s="1579" t="n">
        <v>0</v>
      </c>
      <c r="K137" s="1579" t="n">
        <v>380000</v>
      </c>
      <c r="L137" s="1579" t="n">
        <v>380000</v>
      </c>
      <c r="M137" s="1182" t="inlineStr"/>
      <c r="P137" s="1575" t="n">
        <v>380000</v>
      </c>
      <c r="Q137" s="1575" t="n">
        <v>380000</v>
      </c>
      <c r="R137" s="1575">
        <f>P137-Q137</f>
        <v/>
      </c>
      <c r="S137" s="1081">
        <f>K137-Q137</f>
        <v/>
      </c>
    </row>
    <row r="138" ht="13.15" customHeight="1" s="1173">
      <c r="A138" s="1182" t="inlineStr"/>
      <c r="B138" s="1182" t="inlineStr"/>
      <c r="C138" s="1186" t="inlineStr">
        <is>
          <t>JD 8370R ano 2019</t>
        </is>
      </c>
      <c r="D138" s="1186" t="inlineStr">
        <is>
          <t>JD 8370R ano 2019</t>
        </is>
      </c>
      <c r="E138" s="1186" t="inlineStr">
        <is>
          <t>JD 8370R ano 2019</t>
        </is>
      </c>
      <c r="F138" s="1186" t="inlineStr">
        <is>
          <t>JD 8370R ano 2019</t>
        </is>
      </c>
      <c r="G138" s="1186" t="inlineStr">
        <is>
          <t>JD 8370R ano 2019</t>
        </is>
      </c>
      <c r="H138" s="1186" t="inlineStr">
        <is>
          <t>JD 8370R ano 2019</t>
        </is>
      </c>
      <c r="I138" s="1186" t="inlineStr">
        <is>
          <t>JD 8370R ano 2019</t>
        </is>
      </c>
      <c r="J138" s="1186" t="inlineStr">
        <is>
          <t>JD 8370R ano 2019</t>
        </is>
      </c>
      <c r="K138" s="1186" t="inlineStr">
        <is>
          <t>JD 8370R ano 2019</t>
        </is>
      </c>
      <c r="L138" s="1186" t="inlineStr">
        <is>
          <t>JD 8370R ano 2019</t>
        </is>
      </c>
      <c r="M138" s="1186" t="inlineStr">
        <is>
          <t>JD 8370R ano 2019</t>
        </is>
      </c>
      <c r="Q138" s="1575" t="n"/>
      <c r="S138" s="1081" t="n"/>
    </row>
    <row r="139" ht="15.75" customHeight="1" s="1173" thickBot="1">
      <c r="A139" s="1182" t="inlineStr"/>
      <c r="B139" s="1182" t="inlineStr"/>
      <c r="C139" s="1182" t="inlineStr"/>
      <c r="D139" s="1577" t="n">
        <v>45657</v>
      </c>
      <c r="E139" s="1577" t="n">
        <v>45657</v>
      </c>
      <c r="F139" s="1179" t="inlineStr">
        <is>
          <t xml:space="preserve"> Beg Bal</t>
        </is>
      </c>
      <c r="G139" s="1179" t="n"/>
      <c r="H139" s="1179" t="n"/>
      <c r="I139" s="1578" t="n">
        <v>970000</v>
      </c>
      <c r="J139" s="1578" t="n">
        <v>0</v>
      </c>
      <c r="K139" s="1578" t="n">
        <v>970000</v>
      </c>
      <c r="L139" s="1578" t="n">
        <v>970000</v>
      </c>
      <c r="M139" s="1182" t="inlineStr"/>
      <c r="Q139" s="1575" t="n"/>
      <c r="S139" s="1081" t="n"/>
    </row>
    <row r="140" ht="15.75" customHeight="1" s="1173" thickTop="1">
      <c r="A140" s="1181" t="inlineStr">
        <is>
          <t>JD 8370R ano 2019 Totals</t>
        </is>
      </c>
      <c r="B140" s="1181" t="inlineStr">
        <is>
          <t>JD 8370R ano 2019 Totals</t>
        </is>
      </c>
      <c r="C140" s="1181" t="inlineStr">
        <is>
          <t>JD 8370R ano 2019 Totals</t>
        </is>
      </c>
      <c r="D140" s="1181" t="inlineStr">
        <is>
          <t>JD 8370R ano 2019 Totals</t>
        </is>
      </c>
      <c r="E140" s="1181" t="inlineStr">
        <is>
          <t>JD 8370R ano 2019 Totals</t>
        </is>
      </c>
      <c r="F140" s="1181" t="inlineStr">
        <is>
          <t>JD 8370R ano 2019 Totals</t>
        </is>
      </c>
      <c r="G140" s="1181" t="inlineStr">
        <is>
          <t>JD 8370R ano 2019 Totals</t>
        </is>
      </c>
      <c r="H140" s="1181" t="inlineStr">
        <is>
          <t>JD 8370R ano 2019 Totals</t>
        </is>
      </c>
      <c r="I140" s="1579" t="n">
        <v>970000</v>
      </c>
      <c r="J140" s="1579" t="n">
        <v>0</v>
      </c>
      <c r="K140" s="1579" t="n">
        <v>970000</v>
      </c>
      <c r="L140" s="1579" t="n">
        <v>970000</v>
      </c>
      <c r="M140" s="1182" t="inlineStr"/>
      <c r="P140" s="1575" t="n">
        <v>970000</v>
      </c>
      <c r="Q140" s="1575" t="n">
        <v>970000</v>
      </c>
      <c r="R140" s="1575">
        <f>P140-Q140</f>
        <v/>
      </c>
      <c r="S140" s="1081">
        <f>K140-Q140</f>
        <v/>
      </c>
    </row>
    <row r="141" ht="13.15" customHeight="1" s="1173">
      <c r="A141" s="1182" t="inlineStr"/>
      <c r="B141" s="1182" t="inlineStr"/>
      <c r="C141" s="1186" t="inlineStr">
        <is>
          <t>JD Plantadeira 20 Linhas C Kit</t>
        </is>
      </c>
      <c r="D141" s="1186" t="inlineStr">
        <is>
          <t>JD Plantadeira 20 Linhas C Kit</t>
        </is>
      </c>
      <c r="E141" s="1186" t="inlineStr">
        <is>
          <t>JD Plantadeira 20 Linhas C Kit</t>
        </is>
      </c>
      <c r="F141" s="1186" t="inlineStr">
        <is>
          <t>JD Plantadeira 20 Linhas C Kit</t>
        </is>
      </c>
      <c r="G141" s="1186" t="inlineStr">
        <is>
          <t>JD Plantadeira 20 Linhas C Kit</t>
        </is>
      </c>
      <c r="H141" s="1186" t="inlineStr">
        <is>
          <t>JD Plantadeira 20 Linhas C Kit</t>
        </is>
      </c>
      <c r="I141" s="1186" t="inlineStr">
        <is>
          <t>JD Plantadeira 20 Linhas C Kit</t>
        </is>
      </c>
      <c r="J141" s="1186" t="inlineStr">
        <is>
          <t>JD Plantadeira 20 Linhas C Kit</t>
        </is>
      </c>
      <c r="K141" s="1186" t="inlineStr">
        <is>
          <t>JD Plantadeira 20 Linhas C Kit</t>
        </is>
      </c>
      <c r="L141" s="1186" t="inlineStr">
        <is>
          <t>JD Plantadeira 20 Linhas C Kit</t>
        </is>
      </c>
      <c r="M141" s="1186" t="inlineStr">
        <is>
          <t>JD Plantadeira 20 Linhas C Kit</t>
        </is>
      </c>
      <c r="Q141" s="1575" t="n"/>
      <c r="S141" s="1081" t="n"/>
    </row>
    <row r="142" ht="15.75" customHeight="1" s="1173" thickBot="1">
      <c r="A142" s="1182" t="inlineStr"/>
      <c r="B142" s="1182" t="inlineStr"/>
      <c r="C142" s="1182" t="inlineStr"/>
      <c r="D142" s="1577" t="n">
        <v>45657</v>
      </c>
      <c r="E142" s="1577" t="n">
        <v>45657</v>
      </c>
      <c r="F142" s="1179" t="inlineStr">
        <is>
          <t xml:space="preserve"> Beg Bal</t>
        </is>
      </c>
      <c r="G142" s="1179" t="n"/>
      <c r="H142" s="1179" t="n"/>
      <c r="I142" s="1578" t="n">
        <v>689480.2</v>
      </c>
      <c r="J142" s="1578" t="n">
        <v>0</v>
      </c>
      <c r="K142" s="1578" t="n">
        <v>689480.2</v>
      </c>
      <c r="L142" s="1578" t="n">
        <v>689480.2</v>
      </c>
      <c r="M142" s="1182" t="inlineStr"/>
      <c r="Q142" s="1575" t="n"/>
      <c r="S142" s="1081" t="n"/>
    </row>
    <row r="143" ht="15.75" customHeight="1" s="1173" thickTop="1">
      <c r="A143" s="1181" t="inlineStr">
        <is>
          <t>JD Plantadeira 20 Linhas C Kit Totals</t>
        </is>
      </c>
      <c r="B143" s="1181" t="inlineStr">
        <is>
          <t>JD Plantadeira 20 Linhas C Kit Totals</t>
        </is>
      </c>
      <c r="C143" s="1181" t="inlineStr">
        <is>
          <t>JD Plantadeira 20 Linhas C Kit Totals</t>
        </is>
      </c>
      <c r="D143" s="1181" t="inlineStr">
        <is>
          <t>JD Plantadeira 20 Linhas C Kit Totals</t>
        </is>
      </c>
      <c r="E143" s="1181" t="inlineStr">
        <is>
          <t>JD Plantadeira 20 Linhas C Kit Totals</t>
        </is>
      </c>
      <c r="F143" s="1181" t="inlineStr">
        <is>
          <t>JD Plantadeira 20 Linhas C Kit Totals</t>
        </is>
      </c>
      <c r="G143" s="1181" t="inlineStr">
        <is>
          <t>JD Plantadeira 20 Linhas C Kit Totals</t>
        </is>
      </c>
      <c r="H143" s="1181" t="inlineStr">
        <is>
          <t>JD Plantadeira 20 Linhas C Kit Totals</t>
        </is>
      </c>
      <c r="I143" s="1579" t="n">
        <v>689480.2</v>
      </c>
      <c r="J143" s="1579" t="n">
        <v>0</v>
      </c>
      <c r="K143" s="1579" t="n">
        <v>689480.2</v>
      </c>
      <c r="L143" s="1579" t="n">
        <v>689480.2</v>
      </c>
      <c r="M143" s="1182" t="inlineStr"/>
      <c r="P143" s="1575" t="n">
        <v>732720.55</v>
      </c>
      <c r="Q143" s="1575" t="n">
        <v>700000</v>
      </c>
      <c r="R143" s="1575">
        <f>P143-Q143</f>
        <v/>
      </c>
      <c r="S143" s="1081">
        <f>K143-Q143</f>
        <v/>
      </c>
    </row>
    <row r="144" ht="13.15" customHeight="1" s="1173">
      <c r="A144" s="1182" t="inlineStr"/>
      <c r="B144" s="1182" t="inlineStr"/>
      <c r="C144" s="1186" t="inlineStr">
        <is>
          <t>Mobile Cafeteria</t>
        </is>
      </c>
      <c r="D144" s="1186" t="inlineStr">
        <is>
          <t>Mobile Cafeteria</t>
        </is>
      </c>
      <c r="E144" s="1186" t="inlineStr">
        <is>
          <t>Mobile Cafeteria</t>
        </is>
      </c>
      <c r="F144" s="1186" t="inlineStr">
        <is>
          <t>Mobile Cafeteria</t>
        </is>
      </c>
      <c r="G144" s="1186" t="inlineStr">
        <is>
          <t>Mobile Cafeteria</t>
        </is>
      </c>
      <c r="H144" s="1186" t="inlineStr">
        <is>
          <t>Mobile Cafeteria</t>
        </is>
      </c>
      <c r="I144" s="1186" t="inlineStr">
        <is>
          <t>Mobile Cafeteria</t>
        </is>
      </c>
      <c r="J144" s="1186" t="inlineStr">
        <is>
          <t>Mobile Cafeteria</t>
        </is>
      </c>
      <c r="K144" s="1186" t="inlineStr">
        <is>
          <t>Mobile Cafeteria</t>
        </is>
      </c>
      <c r="L144" s="1186" t="inlineStr">
        <is>
          <t>Mobile Cafeteria</t>
        </is>
      </c>
      <c r="M144" s="1186" t="inlineStr">
        <is>
          <t>Mobile Cafeteria</t>
        </is>
      </c>
      <c r="Q144" s="1575" t="n"/>
      <c r="S144" s="1081" t="n"/>
    </row>
    <row r="145" ht="15.75" customHeight="1" s="1173" thickBot="1">
      <c r="A145" s="1182" t="inlineStr"/>
      <c r="B145" s="1182" t="inlineStr"/>
      <c r="C145" s="1182" t="inlineStr"/>
      <c r="D145" s="1577" t="n">
        <v>45657</v>
      </c>
      <c r="E145" s="1577" t="n">
        <v>45657</v>
      </c>
      <c r="F145" s="1179" t="inlineStr">
        <is>
          <t xml:space="preserve"> Beg Bal</t>
        </is>
      </c>
      <c r="G145" s="1179" t="n"/>
      <c r="H145" s="1179" t="n"/>
      <c r="I145" s="1578" t="n">
        <v>15000</v>
      </c>
      <c r="J145" s="1578" t="n">
        <v>0</v>
      </c>
      <c r="K145" s="1578" t="n">
        <v>15000</v>
      </c>
      <c r="L145" s="1578" t="n">
        <v>15000</v>
      </c>
      <c r="M145" s="1182" t="inlineStr"/>
      <c r="Q145" s="1575" t="n"/>
      <c r="S145" s="1081" t="n"/>
    </row>
    <row r="146" ht="15.75" customHeight="1" s="1173" thickTop="1">
      <c r="A146" s="1181" t="inlineStr">
        <is>
          <t>Mobile Cafeteria Totals</t>
        </is>
      </c>
      <c r="B146" s="1181" t="inlineStr">
        <is>
          <t>Mobile Cafeteria Totals</t>
        </is>
      </c>
      <c r="C146" s="1181" t="inlineStr">
        <is>
          <t>Mobile Cafeteria Totals</t>
        </is>
      </c>
      <c r="D146" s="1181" t="inlineStr">
        <is>
          <t>Mobile Cafeteria Totals</t>
        </is>
      </c>
      <c r="E146" s="1181" t="inlineStr">
        <is>
          <t>Mobile Cafeteria Totals</t>
        </is>
      </c>
      <c r="F146" s="1181" t="inlineStr">
        <is>
          <t>Mobile Cafeteria Totals</t>
        </is>
      </c>
      <c r="G146" s="1181" t="inlineStr">
        <is>
          <t>Mobile Cafeteria Totals</t>
        </is>
      </c>
      <c r="H146" s="1181" t="inlineStr">
        <is>
          <t>Mobile Cafeteria Totals</t>
        </is>
      </c>
      <c r="I146" s="1579" t="n">
        <v>15000</v>
      </c>
      <c r="J146" s="1579" t="n">
        <v>0</v>
      </c>
      <c r="K146" s="1579" t="n">
        <v>15000</v>
      </c>
      <c r="L146" s="1579" t="n">
        <v>15000</v>
      </c>
      <c r="M146" s="1182" t="inlineStr"/>
      <c r="P146" s="1575" t="n">
        <v>15000</v>
      </c>
      <c r="Q146" s="1575" t="n">
        <v>13500</v>
      </c>
      <c r="R146" s="1575">
        <f>P146-Q146</f>
        <v/>
      </c>
      <c r="S146" s="1081">
        <f>K146-Q146</f>
        <v/>
      </c>
    </row>
    <row r="147" ht="13.15" customHeight="1" s="1173">
      <c r="A147" s="1182" t="inlineStr"/>
      <c r="B147" s="1182" t="inlineStr"/>
      <c r="C147" s="1186" t="inlineStr">
        <is>
          <t>Mobile Generator</t>
        </is>
      </c>
      <c r="D147" s="1186" t="inlineStr">
        <is>
          <t>Mobile Generator</t>
        </is>
      </c>
      <c r="E147" s="1186" t="inlineStr">
        <is>
          <t>Mobile Generator</t>
        </is>
      </c>
      <c r="F147" s="1186" t="inlineStr">
        <is>
          <t>Mobile Generator</t>
        </is>
      </c>
      <c r="G147" s="1186" t="inlineStr">
        <is>
          <t>Mobile Generator</t>
        </is>
      </c>
      <c r="H147" s="1186" t="inlineStr">
        <is>
          <t>Mobile Generator</t>
        </is>
      </c>
      <c r="I147" s="1186" t="inlineStr">
        <is>
          <t>Mobile Generator</t>
        </is>
      </c>
      <c r="J147" s="1186" t="inlineStr">
        <is>
          <t>Mobile Generator</t>
        </is>
      </c>
      <c r="K147" s="1186" t="inlineStr">
        <is>
          <t>Mobile Generator</t>
        </is>
      </c>
      <c r="L147" s="1186" t="inlineStr">
        <is>
          <t>Mobile Generator</t>
        </is>
      </c>
      <c r="M147" s="1186" t="inlineStr">
        <is>
          <t>Mobile Generator</t>
        </is>
      </c>
      <c r="Q147" s="1575" t="n"/>
      <c r="S147" s="1081" t="n"/>
    </row>
    <row r="148" ht="15.75" customHeight="1" s="1173" thickBot="1">
      <c r="A148" s="1182" t="inlineStr"/>
      <c r="B148" s="1182" t="inlineStr"/>
      <c r="C148" s="1182" t="inlineStr"/>
      <c r="D148" s="1577" t="n">
        <v>45657</v>
      </c>
      <c r="E148" s="1577" t="n">
        <v>45657</v>
      </c>
      <c r="F148" s="1179" t="inlineStr">
        <is>
          <t xml:space="preserve"> Beg Bal</t>
        </is>
      </c>
      <c r="G148" s="1179" t="n"/>
      <c r="H148" s="1179" t="n"/>
      <c r="I148" s="1578" t="n">
        <v>12000</v>
      </c>
      <c r="J148" s="1578" t="n">
        <v>0</v>
      </c>
      <c r="K148" s="1578" t="n">
        <v>12000</v>
      </c>
      <c r="L148" s="1578" t="n">
        <v>12000</v>
      </c>
      <c r="M148" s="1182" t="inlineStr"/>
      <c r="Q148" s="1575" t="n"/>
      <c r="S148" s="1081" t="n"/>
    </row>
    <row r="149" ht="15.75" customHeight="1" s="1173" thickTop="1">
      <c r="A149" s="1181" t="inlineStr">
        <is>
          <t>Mobile Generator Totals</t>
        </is>
      </c>
      <c r="B149" s="1181" t="inlineStr">
        <is>
          <t>Mobile Generator Totals</t>
        </is>
      </c>
      <c r="C149" s="1181" t="inlineStr">
        <is>
          <t>Mobile Generator Totals</t>
        </is>
      </c>
      <c r="D149" s="1181" t="inlineStr">
        <is>
          <t>Mobile Generator Totals</t>
        </is>
      </c>
      <c r="E149" s="1181" t="inlineStr">
        <is>
          <t>Mobile Generator Totals</t>
        </is>
      </c>
      <c r="F149" s="1181" t="inlineStr">
        <is>
          <t>Mobile Generator Totals</t>
        </is>
      </c>
      <c r="G149" s="1181" t="inlineStr">
        <is>
          <t>Mobile Generator Totals</t>
        </is>
      </c>
      <c r="H149" s="1181" t="inlineStr">
        <is>
          <t>Mobile Generator Totals</t>
        </is>
      </c>
      <c r="I149" s="1579" t="n">
        <v>12000</v>
      </c>
      <c r="J149" s="1579" t="n">
        <v>0</v>
      </c>
      <c r="K149" s="1579" t="n">
        <v>12000</v>
      </c>
      <c r="L149" s="1579" t="n">
        <v>12000</v>
      </c>
      <c r="M149" s="1182" t="inlineStr"/>
      <c r="P149" s="1575" t="n">
        <v>12000</v>
      </c>
      <c r="Q149" s="1575" t="n">
        <v>12000</v>
      </c>
      <c r="R149" s="1575">
        <f>P149-Q149</f>
        <v/>
      </c>
      <c r="S149" s="1081">
        <f>K149-Q149</f>
        <v/>
      </c>
    </row>
    <row r="150" ht="13.15" customHeight="1" s="1173">
      <c r="A150" s="1182" t="inlineStr"/>
      <c r="B150" s="1182" t="inlineStr"/>
      <c r="C150" s="1186" t="inlineStr">
        <is>
          <t>Overhead Walkway</t>
        </is>
      </c>
      <c r="D150" s="1186" t="inlineStr">
        <is>
          <t>Overhead Walkway</t>
        </is>
      </c>
      <c r="E150" s="1186" t="inlineStr">
        <is>
          <t>Overhead Walkway</t>
        </is>
      </c>
      <c r="F150" s="1186" t="inlineStr">
        <is>
          <t>Overhead Walkway</t>
        </is>
      </c>
      <c r="G150" s="1186" t="inlineStr">
        <is>
          <t>Overhead Walkway</t>
        </is>
      </c>
      <c r="H150" s="1186" t="inlineStr">
        <is>
          <t>Overhead Walkway</t>
        </is>
      </c>
      <c r="I150" s="1186" t="inlineStr">
        <is>
          <t>Overhead Walkway</t>
        </is>
      </c>
      <c r="J150" s="1186" t="inlineStr">
        <is>
          <t>Overhead Walkway</t>
        </is>
      </c>
      <c r="K150" s="1186" t="inlineStr">
        <is>
          <t>Overhead Walkway</t>
        </is>
      </c>
      <c r="L150" s="1186" t="inlineStr">
        <is>
          <t>Overhead Walkway</t>
        </is>
      </c>
      <c r="M150" s="1186" t="inlineStr">
        <is>
          <t>Overhead Walkway</t>
        </is>
      </c>
      <c r="Q150" s="1575" t="n"/>
      <c r="S150" s="1081" t="n"/>
    </row>
    <row r="151" ht="15.75" customHeight="1" s="1173" thickBot="1">
      <c r="A151" s="1182" t="inlineStr"/>
      <c r="B151" s="1182" t="inlineStr"/>
      <c r="C151" s="1182" t="inlineStr"/>
      <c r="D151" s="1577" t="n">
        <v>45657</v>
      </c>
      <c r="E151" s="1577" t="n">
        <v>45657</v>
      </c>
      <c r="F151" s="1179" t="inlineStr">
        <is>
          <t xml:space="preserve"> Beg Bal</t>
        </is>
      </c>
      <c r="G151" s="1179" t="n"/>
      <c r="H151" s="1179" t="n"/>
      <c r="I151" s="1578" t="n">
        <v>30443.54</v>
      </c>
      <c r="J151" s="1578" t="n">
        <v>0</v>
      </c>
      <c r="K151" s="1578" t="n">
        <v>30443.54</v>
      </c>
      <c r="L151" s="1578" t="n">
        <v>30443.54</v>
      </c>
      <c r="M151" s="1182" t="inlineStr"/>
      <c r="Q151" s="1575" t="n"/>
      <c r="S151" s="1081" t="n"/>
    </row>
    <row r="152" ht="15.75" customHeight="1" s="1173" thickTop="1">
      <c r="A152" s="1181" t="inlineStr">
        <is>
          <t>Overhead Walkway Totals</t>
        </is>
      </c>
      <c r="B152" s="1181" t="inlineStr">
        <is>
          <t>Overhead Walkway Totals</t>
        </is>
      </c>
      <c r="C152" s="1181" t="inlineStr">
        <is>
          <t>Overhead Walkway Totals</t>
        </is>
      </c>
      <c r="D152" s="1181" t="inlineStr">
        <is>
          <t>Overhead Walkway Totals</t>
        </is>
      </c>
      <c r="E152" s="1181" t="inlineStr">
        <is>
          <t>Overhead Walkway Totals</t>
        </is>
      </c>
      <c r="F152" s="1181" t="inlineStr">
        <is>
          <t>Overhead Walkway Totals</t>
        </is>
      </c>
      <c r="G152" s="1181" t="inlineStr">
        <is>
          <t>Overhead Walkway Totals</t>
        </is>
      </c>
      <c r="H152" s="1181" t="inlineStr">
        <is>
          <t>Overhead Walkway Totals</t>
        </is>
      </c>
      <c r="I152" s="1579" t="n">
        <v>30443.54</v>
      </c>
      <c r="J152" s="1579" t="n">
        <v>0</v>
      </c>
      <c r="K152" s="1579" t="n">
        <v>30443.54</v>
      </c>
      <c r="L152" s="1579" t="n">
        <v>30443.54</v>
      </c>
      <c r="M152" s="1182" t="inlineStr"/>
      <c r="Q152" s="1575" t="n"/>
      <c r="R152" s="1575" t="n">
        <v>1269</v>
      </c>
      <c r="S152" s="1081" t="n">
        <v>1269</v>
      </c>
    </row>
    <row r="153" ht="13.15" customHeight="1" s="1173">
      <c r="A153" s="1182" t="inlineStr"/>
      <c r="B153" s="1182" t="inlineStr"/>
      <c r="C153" s="1186" t="inlineStr">
        <is>
          <t>Pá Carregadeira XCMG 2024</t>
        </is>
      </c>
      <c r="D153" s="1186" t="inlineStr">
        <is>
          <t>Pá Carregadeira XCMG 2024</t>
        </is>
      </c>
      <c r="E153" s="1186" t="inlineStr">
        <is>
          <t>Pá Carregadeira XCMG 2024</t>
        </is>
      </c>
      <c r="F153" s="1186" t="inlineStr">
        <is>
          <t>Pá Carregadeira XCMG 2024</t>
        </is>
      </c>
      <c r="G153" s="1186" t="inlineStr">
        <is>
          <t>Pá Carregadeira XCMG 2024</t>
        </is>
      </c>
      <c r="H153" s="1186" t="inlineStr">
        <is>
          <t>Pá Carregadeira XCMG 2024</t>
        </is>
      </c>
      <c r="I153" s="1186" t="inlineStr">
        <is>
          <t>Pá Carregadeira XCMG 2024</t>
        </is>
      </c>
      <c r="J153" s="1186" t="inlineStr">
        <is>
          <t>Pá Carregadeira XCMG 2024</t>
        </is>
      </c>
      <c r="K153" s="1186" t="inlineStr">
        <is>
          <t>Pá Carregadeira XCMG 2024</t>
        </is>
      </c>
      <c r="L153" s="1186" t="inlineStr">
        <is>
          <t>Pá Carregadeira XCMG 2024</t>
        </is>
      </c>
      <c r="M153" s="1186" t="inlineStr">
        <is>
          <t>Pá Carregadeira XCMG 2024</t>
        </is>
      </c>
      <c r="Q153" s="1575" t="n"/>
      <c r="S153" s="1081" t="n"/>
    </row>
    <row r="154" ht="15.75" customHeight="1" s="1173" thickBot="1">
      <c r="A154" s="1182" t="inlineStr"/>
      <c r="B154" s="1182" t="inlineStr"/>
      <c r="C154" s="1182" t="inlineStr"/>
      <c r="D154" s="1577" t="n">
        <v>45657</v>
      </c>
      <c r="E154" s="1577" t="n">
        <v>45657</v>
      </c>
      <c r="F154" s="1179" t="inlineStr">
        <is>
          <t xml:space="preserve"> Beg Bal</t>
        </is>
      </c>
      <c r="G154" s="1179" t="n"/>
      <c r="H154" s="1179" t="n"/>
      <c r="I154" s="1578" t="n">
        <v>460000</v>
      </c>
      <c r="J154" s="1578" t="n">
        <v>0</v>
      </c>
      <c r="K154" s="1582" t="n">
        <v>460000</v>
      </c>
      <c r="L154" s="1582" t="n">
        <v>460000</v>
      </c>
      <c r="M154" s="1182" t="inlineStr"/>
      <c r="Q154" s="1575" t="n"/>
      <c r="S154" s="1081" t="n"/>
    </row>
    <row r="155" ht="15.75" customHeight="1" s="1173" thickTop="1">
      <c r="A155" s="1181" t="inlineStr">
        <is>
          <t>Pá Carregadeira XCMG 2024 Totals</t>
        </is>
      </c>
      <c r="B155" s="1181" t="inlineStr">
        <is>
          <t>Pá Carregadeira XCMG 2024 Totals</t>
        </is>
      </c>
      <c r="C155" s="1181" t="inlineStr">
        <is>
          <t>Pá Carregadeira XCMG 2024 Totals</t>
        </is>
      </c>
      <c r="D155" s="1181" t="inlineStr">
        <is>
          <t>Pá Carregadeira XCMG 2024 Totals</t>
        </is>
      </c>
      <c r="E155" s="1181" t="inlineStr">
        <is>
          <t>Pá Carregadeira XCMG 2024 Totals</t>
        </is>
      </c>
      <c r="F155" s="1181" t="inlineStr">
        <is>
          <t>Pá Carregadeira XCMG 2024 Totals</t>
        </is>
      </c>
      <c r="G155" s="1181" t="inlineStr">
        <is>
          <t>Pá Carregadeira XCMG 2024 Totals</t>
        </is>
      </c>
      <c r="H155" s="1181" t="inlineStr">
        <is>
          <t>Pá Carregadeira XCMG 2024 Totals</t>
        </is>
      </c>
      <c r="I155" s="1579" t="n">
        <v>460000</v>
      </c>
      <c r="J155" s="1579" t="n">
        <v>0</v>
      </c>
      <c r="K155" s="1579" t="n">
        <v>460000</v>
      </c>
      <c r="L155" s="1579" t="n">
        <v>460000</v>
      </c>
      <c r="M155" s="1182" t="inlineStr"/>
      <c r="P155" s="1575" t="n">
        <v>460000</v>
      </c>
      <c r="Q155" s="1575" t="n">
        <v>420000</v>
      </c>
      <c r="R155" s="1575">
        <f>P155-Q155</f>
        <v/>
      </c>
      <c r="S155" s="1081">
        <f>K155-Q155</f>
        <v/>
      </c>
    </row>
    <row r="156" ht="13.15" customHeight="1" s="1173">
      <c r="A156" s="1182" t="inlineStr"/>
      <c r="B156" s="1182" t="inlineStr"/>
      <c r="C156" s="1186" t="inlineStr">
        <is>
          <t>Pulverizador SafraJet Hidrauli</t>
        </is>
      </c>
      <c r="D156" s="1186" t="inlineStr">
        <is>
          <t>Pulverizador SafraJet Hidrauli</t>
        </is>
      </c>
      <c r="E156" s="1186" t="inlineStr">
        <is>
          <t>Pulverizador SafraJet Hidrauli</t>
        </is>
      </c>
      <c r="F156" s="1186" t="inlineStr">
        <is>
          <t>Pulverizador SafraJet Hidrauli</t>
        </is>
      </c>
      <c r="G156" s="1186" t="inlineStr">
        <is>
          <t>Pulverizador SafraJet Hidrauli</t>
        </is>
      </c>
      <c r="H156" s="1186" t="inlineStr">
        <is>
          <t>Pulverizador SafraJet Hidrauli</t>
        </is>
      </c>
      <c r="I156" s="1186" t="inlineStr">
        <is>
          <t>Pulverizador SafraJet Hidrauli</t>
        </is>
      </c>
      <c r="J156" s="1186" t="inlineStr">
        <is>
          <t>Pulverizador SafraJet Hidrauli</t>
        </is>
      </c>
      <c r="K156" s="1186" t="inlineStr">
        <is>
          <t>Pulverizador SafraJet Hidrauli</t>
        </is>
      </c>
      <c r="L156" s="1186" t="inlineStr">
        <is>
          <t>Pulverizador SafraJet Hidrauli</t>
        </is>
      </c>
      <c r="M156" s="1186" t="inlineStr">
        <is>
          <t>Pulverizador SafraJet Hidrauli</t>
        </is>
      </c>
      <c r="Q156" s="1575" t="n"/>
      <c r="S156" s="1081" t="n"/>
    </row>
    <row r="157" ht="15.75" customHeight="1" s="1173" thickBot="1">
      <c r="A157" s="1182" t="inlineStr"/>
      <c r="B157" s="1182" t="inlineStr"/>
      <c r="C157" s="1182" t="inlineStr"/>
      <c r="D157" s="1577" t="n">
        <v>45657</v>
      </c>
      <c r="E157" s="1577" t="n">
        <v>45657</v>
      </c>
      <c r="F157" s="1179" t="inlineStr">
        <is>
          <t xml:space="preserve"> Beg Bal</t>
        </is>
      </c>
      <c r="G157" s="1179" t="n"/>
      <c r="H157" s="1179" t="n"/>
      <c r="I157" s="1578" t="n">
        <v>70000</v>
      </c>
      <c r="J157" s="1578" t="n">
        <v>0</v>
      </c>
      <c r="K157" s="1578" t="n">
        <v>70000</v>
      </c>
      <c r="L157" s="1578" t="n">
        <v>70000</v>
      </c>
      <c r="M157" s="1182" t="inlineStr"/>
      <c r="Q157" s="1575" t="n"/>
      <c r="S157" s="1081" t="n"/>
    </row>
    <row r="158" ht="15.75" customHeight="1" s="1173" thickTop="1">
      <c r="A158" s="1181" t="inlineStr">
        <is>
          <t>Pulverizador SafraJet Hidrauli Totals</t>
        </is>
      </c>
      <c r="B158" s="1181" t="inlineStr">
        <is>
          <t>Pulverizador SafraJet Hidrauli Totals</t>
        </is>
      </c>
      <c r="C158" s="1181" t="inlineStr">
        <is>
          <t>Pulverizador SafraJet Hidrauli Totals</t>
        </is>
      </c>
      <c r="D158" s="1181" t="inlineStr">
        <is>
          <t>Pulverizador SafraJet Hidrauli Totals</t>
        </is>
      </c>
      <c r="E158" s="1181" t="inlineStr">
        <is>
          <t>Pulverizador SafraJet Hidrauli Totals</t>
        </is>
      </c>
      <c r="F158" s="1181" t="inlineStr">
        <is>
          <t>Pulverizador SafraJet Hidrauli Totals</t>
        </is>
      </c>
      <c r="G158" s="1181" t="inlineStr">
        <is>
          <t>Pulverizador SafraJet Hidrauli Totals</t>
        </is>
      </c>
      <c r="H158" s="1181" t="inlineStr">
        <is>
          <t>Pulverizador SafraJet Hidrauli Totals</t>
        </is>
      </c>
      <c r="I158" s="1579" t="n">
        <v>70000</v>
      </c>
      <c r="J158" s="1579" t="n">
        <v>0</v>
      </c>
      <c r="K158" s="1579" t="n">
        <v>70000</v>
      </c>
      <c r="L158" s="1579" t="n">
        <v>70000</v>
      </c>
      <c r="M158" s="1182" t="inlineStr"/>
      <c r="P158" s="1575" t="n">
        <v>70000</v>
      </c>
      <c r="Q158" s="1575" t="n">
        <v>63000</v>
      </c>
      <c r="R158" s="1575">
        <f>P158-Q158</f>
        <v/>
      </c>
      <c r="S158" s="1081">
        <f>K158-Q158</f>
        <v/>
      </c>
    </row>
    <row r="159" ht="13.15" customHeight="1" s="1173">
      <c r="A159" s="1182" t="inlineStr"/>
      <c r="B159" s="1182" t="inlineStr"/>
      <c r="C159" s="1186" t="inlineStr">
        <is>
          <t>Scale 18 m</t>
        </is>
      </c>
      <c r="D159" s="1186" t="inlineStr">
        <is>
          <t>Scale 18 m</t>
        </is>
      </c>
      <c r="E159" s="1186" t="inlineStr">
        <is>
          <t>Scale 18 m</t>
        </is>
      </c>
      <c r="F159" s="1186" t="inlineStr">
        <is>
          <t>Scale 18 m</t>
        </is>
      </c>
      <c r="G159" s="1186" t="inlineStr">
        <is>
          <t>Scale 18 m</t>
        </is>
      </c>
      <c r="H159" s="1186" t="inlineStr">
        <is>
          <t>Scale 18 m</t>
        </is>
      </c>
      <c r="I159" s="1186" t="inlineStr">
        <is>
          <t>Scale 18 m</t>
        </is>
      </c>
      <c r="J159" s="1186" t="inlineStr">
        <is>
          <t>Scale 18 m</t>
        </is>
      </c>
      <c r="K159" s="1186" t="inlineStr">
        <is>
          <t>Scale 18 m</t>
        </is>
      </c>
      <c r="L159" s="1186" t="inlineStr">
        <is>
          <t>Scale 18 m</t>
        </is>
      </c>
      <c r="M159" s="1186" t="inlineStr">
        <is>
          <t>Scale 18 m</t>
        </is>
      </c>
      <c r="Q159" s="1575" t="n"/>
    </row>
    <row r="160" ht="15.75" customHeight="1" s="1173" thickBot="1">
      <c r="A160" s="1182" t="inlineStr"/>
      <c r="B160" s="1182" t="inlineStr"/>
      <c r="C160" s="1182" t="inlineStr"/>
      <c r="D160" s="1577" t="n">
        <v>45657</v>
      </c>
      <c r="E160" s="1577" t="n">
        <v>45657</v>
      </c>
      <c r="F160" s="1179" t="inlineStr">
        <is>
          <t xml:space="preserve"> Beg Bal</t>
        </is>
      </c>
      <c r="G160" s="1179" t="n"/>
      <c r="H160" s="1179" t="n"/>
      <c r="I160" s="1578" t="n">
        <v>76800</v>
      </c>
      <c r="J160" s="1578" t="n">
        <v>0</v>
      </c>
      <c r="K160" s="1578" t="n">
        <v>76800</v>
      </c>
      <c r="L160" s="1578" t="n">
        <v>76800</v>
      </c>
      <c r="M160" s="1182" t="inlineStr"/>
      <c r="Q160" s="1575" t="n"/>
    </row>
    <row r="161" ht="15.75" customHeight="1" s="1173" thickTop="1">
      <c r="A161" s="1181" t="inlineStr">
        <is>
          <t>Scale 18 m Totals</t>
        </is>
      </c>
      <c r="B161" s="1181" t="inlineStr">
        <is>
          <t>Scale 18 m Totals</t>
        </is>
      </c>
      <c r="C161" s="1181" t="inlineStr">
        <is>
          <t>Scale 18 m Totals</t>
        </is>
      </c>
      <c r="D161" s="1181" t="inlineStr">
        <is>
          <t>Scale 18 m Totals</t>
        </is>
      </c>
      <c r="E161" s="1181" t="inlineStr">
        <is>
          <t>Scale 18 m Totals</t>
        </is>
      </c>
      <c r="F161" s="1181" t="inlineStr">
        <is>
          <t>Scale 18 m Totals</t>
        </is>
      </c>
      <c r="G161" s="1181" t="inlineStr">
        <is>
          <t>Scale 18 m Totals</t>
        </is>
      </c>
      <c r="H161" s="1181" t="inlineStr">
        <is>
          <t>Scale 18 m Totals</t>
        </is>
      </c>
      <c r="I161" s="1579" t="n">
        <v>76800</v>
      </c>
      <c r="J161" s="1579" t="n">
        <v>0</v>
      </c>
      <c r="K161" s="1579" t="n">
        <v>76800</v>
      </c>
      <c r="L161" s="1579" t="n">
        <v>76800</v>
      </c>
      <c r="M161" s="1182" t="inlineStr"/>
      <c r="Q161" s="1575" t="n"/>
      <c r="R161" s="1575" t="n">
        <v>3200</v>
      </c>
      <c r="S161" s="1180" t="n">
        <v>3200</v>
      </c>
    </row>
    <row r="162" ht="13.15" customHeight="1" s="1173">
      <c r="A162" s="1182" t="inlineStr"/>
      <c r="B162" s="1182" t="inlineStr"/>
      <c r="C162" s="1186" t="inlineStr">
        <is>
          <t>Scale 30 m</t>
        </is>
      </c>
      <c r="D162" s="1186" t="inlineStr">
        <is>
          <t>Scale 30 m</t>
        </is>
      </c>
      <c r="E162" s="1186" t="inlineStr">
        <is>
          <t>Scale 30 m</t>
        </is>
      </c>
      <c r="F162" s="1186" t="inlineStr">
        <is>
          <t>Scale 30 m</t>
        </is>
      </c>
      <c r="G162" s="1186" t="inlineStr">
        <is>
          <t>Scale 30 m</t>
        </is>
      </c>
      <c r="H162" s="1186" t="inlineStr">
        <is>
          <t>Scale 30 m</t>
        </is>
      </c>
      <c r="I162" s="1186" t="inlineStr">
        <is>
          <t>Scale 30 m</t>
        </is>
      </c>
      <c r="J162" s="1186" t="inlineStr">
        <is>
          <t>Scale 30 m</t>
        </is>
      </c>
      <c r="K162" s="1186" t="inlineStr">
        <is>
          <t>Scale 30 m</t>
        </is>
      </c>
      <c r="L162" s="1186" t="inlineStr">
        <is>
          <t>Scale 30 m</t>
        </is>
      </c>
      <c r="M162" s="1186" t="inlineStr">
        <is>
          <t>Scale 30 m</t>
        </is>
      </c>
      <c r="Q162" s="1575" t="n"/>
    </row>
    <row r="163" ht="15.75" customHeight="1" s="1173" thickBot="1">
      <c r="A163" s="1182" t="inlineStr"/>
      <c r="B163" s="1182" t="inlineStr"/>
      <c r="C163" s="1182" t="inlineStr"/>
      <c r="D163" s="1577" t="n">
        <v>45657</v>
      </c>
      <c r="E163" s="1577" t="n">
        <v>45657</v>
      </c>
      <c r="F163" s="1179" t="inlineStr">
        <is>
          <t xml:space="preserve"> Beg Bal</t>
        </is>
      </c>
      <c r="G163" s="1179" t="n"/>
      <c r="H163" s="1179" t="n"/>
      <c r="I163" s="1578" t="n">
        <v>144000</v>
      </c>
      <c r="J163" s="1578" t="n">
        <v>0</v>
      </c>
      <c r="K163" s="1578" t="n">
        <v>144000</v>
      </c>
      <c r="L163" s="1578" t="n">
        <v>144000</v>
      </c>
      <c r="M163" s="1182" t="inlineStr"/>
      <c r="Q163" s="1575" t="n"/>
    </row>
    <row r="164" ht="15.75" customHeight="1" s="1173" thickTop="1">
      <c r="A164" s="1181" t="inlineStr">
        <is>
          <t>Scale 30 m Totals</t>
        </is>
      </c>
      <c r="B164" s="1181" t="inlineStr">
        <is>
          <t>Scale 30 m Totals</t>
        </is>
      </c>
      <c r="C164" s="1181" t="inlineStr">
        <is>
          <t>Scale 30 m Totals</t>
        </is>
      </c>
      <c r="D164" s="1181" t="inlineStr">
        <is>
          <t>Scale 30 m Totals</t>
        </is>
      </c>
      <c r="E164" s="1181" t="inlineStr">
        <is>
          <t>Scale 30 m Totals</t>
        </is>
      </c>
      <c r="F164" s="1181" t="inlineStr">
        <is>
          <t>Scale 30 m Totals</t>
        </is>
      </c>
      <c r="G164" s="1181" t="inlineStr">
        <is>
          <t>Scale 30 m Totals</t>
        </is>
      </c>
      <c r="H164" s="1181" t="inlineStr">
        <is>
          <t>Scale 30 m Totals</t>
        </is>
      </c>
      <c r="I164" s="1579" t="n">
        <v>144000</v>
      </c>
      <c r="J164" s="1579" t="n">
        <v>0</v>
      </c>
      <c r="K164" s="1579" t="n">
        <v>144000</v>
      </c>
      <c r="L164" s="1579" t="n">
        <v>144000</v>
      </c>
      <c r="M164" s="1182" t="inlineStr"/>
      <c r="Q164" s="1575" t="n"/>
      <c r="R164" s="1575" t="n">
        <v>6000</v>
      </c>
      <c r="S164" s="1180" t="n">
        <v>6000</v>
      </c>
    </row>
    <row r="165" ht="13.15" customHeight="1" s="1173">
      <c r="A165" s="1182" t="inlineStr"/>
      <c r="B165" s="1182" t="inlineStr"/>
      <c r="C165" s="1186" t="inlineStr">
        <is>
          <t>Seed Treatment Machine</t>
        </is>
      </c>
      <c r="D165" s="1186" t="inlineStr">
        <is>
          <t>Seed Treatment Machine</t>
        </is>
      </c>
      <c r="E165" s="1186" t="inlineStr">
        <is>
          <t>Seed Treatment Machine</t>
        </is>
      </c>
      <c r="F165" s="1186" t="inlineStr">
        <is>
          <t>Seed Treatment Machine</t>
        </is>
      </c>
      <c r="G165" s="1186" t="inlineStr">
        <is>
          <t>Seed Treatment Machine</t>
        </is>
      </c>
      <c r="H165" s="1186" t="inlineStr">
        <is>
          <t>Seed Treatment Machine</t>
        </is>
      </c>
      <c r="I165" s="1186" t="inlineStr">
        <is>
          <t>Seed Treatment Machine</t>
        </is>
      </c>
      <c r="J165" s="1186" t="inlineStr">
        <is>
          <t>Seed Treatment Machine</t>
        </is>
      </c>
      <c r="K165" s="1186" t="inlineStr">
        <is>
          <t>Seed Treatment Machine</t>
        </is>
      </c>
      <c r="L165" s="1186" t="inlineStr">
        <is>
          <t>Seed Treatment Machine</t>
        </is>
      </c>
      <c r="M165" s="1186" t="inlineStr">
        <is>
          <t>Seed Treatment Machine</t>
        </is>
      </c>
      <c r="Q165" s="1575" t="n"/>
    </row>
    <row r="166" ht="15.75" customHeight="1" s="1173" thickBot="1">
      <c r="A166" s="1182" t="inlineStr"/>
      <c r="B166" s="1182" t="inlineStr"/>
      <c r="C166" s="1182" t="inlineStr"/>
      <c r="D166" s="1577" t="n">
        <v>45657</v>
      </c>
      <c r="E166" s="1577" t="n">
        <v>45657</v>
      </c>
      <c r="F166" s="1179" t="inlineStr">
        <is>
          <t xml:space="preserve"> Beg Bal</t>
        </is>
      </c>
      <c r="G166" s="1179" t="n"/>
      <c r="H166" s="1179" t="n"/>
      <c r="I166" s="1578" t="n">
        <v>50000</v>
      </c>
      <c r="J166" s="1578" t="n">
        <v>0</v>
      </c>
      <c r="K166" s="1578" t="n">
        <v>50000</v>
      </c>
      <c r="L166" s="1578" t="n">
        <v>50000</v>
      </c>
      <c r="M166" s="1182" t="inlineStr"/>
      <c r="Q166" s="1575" t="n"/>
    </row>
    <row r="167" ht="15.75" customHeight="1" s="1173" thickTop="1">
      <c r="A167" s="1181" t="inlineStr">
        <is>
          <t>Seed Treatment Machine Totals</t>
        </is>
      </c>
      <c r="B167" s="1181" t="inlineStr">
        <is>
          <t>Seed Treatment Machine Totals</t>
        </is>
      </c>
      <c r="C167" s="1181" t="inlineStr">
        <is>
          <t>Seed Treatment Machine Totals</t>
        </is>
      </c>
      <c r="D167" s="1181" t="inlineStr">
        <is>
          <t>Seed Treatment Machine Totals</t>
        </is>
      </c>
      <c r="E167" s="1181" t="inlineStr">
        <is>
          <t>Seed Treatment Machine Totals</t>
        </is>
      </c>
      <c r="F167" s="1181" t="inlineStr">
        <is>
          <t>Seed Treatment Machine Totals</t>
        </is>
      </c>
      <c r="G167" s="1181" t="inlineStr">
        <is>
          <t>Seed Treatment Machine Totals</t>
        </is>
      </c>
      <c r="H167" s="1181" t="inlineStr">
        <is>
          <t>Seed Treatment Machine Totals</t>
        </is>
      </c>
      <c r="I167" s="1579" t="n">
        <v>50000</v>
      </c>
      <c r="J167" s="1579" t="n">
        <v>0</v>
      </c>
      <c r="K167" s="1579" t="n">
        <v>50000</v>
      </c>
      <c r="L167" s="1579" t="n">
        <v>50000</v>
      </c>
      <c r="M167" s="1182" t="inlineStr"/>
      <c r="P167" s="1575" t="n">
        <v>50000</v>
      </c>
      <c r="Q167" s="1575" t="n">
        <v>45000</v>
      </c>
      <c r="R167" s="1575">
        <f>P167-Q167</f>
        <v/>
      </c>
      <c r="S167" s="1081">
        <f>K167-Q167</f>
        <v/>
      </c>
    </row>
    <row r="168" ht="15.75" customHeight="1" s="1173" thickBot="1">
      <c r="A168" s="1181" t="n"/>
      <c r="B168" s="1181" t="n"/>
      <c r="C168" s="1181" t="n"/>
      <c r="D168" s="1181" t="n"/>
      <c r="E168" s="1181" t="n"/>
      <c r="F168" s="1181" t="n"/>
      <c r="G168" s="1181" t="n"/>
      <c r="H168" s="1181" t="n"/>
      <c r="I168" s="1583" t="n"/>
      <c r="J168" s="1583" t="n"/>
      <c r="K168" s="1583" t="n"/>
      <c r="L168" s="1583" t="n"/>
      <c r="M168" s="1182" t="n"/>
    </row>
    <row r="169" ht="15.75" customHeight="1" s="1173" thickBot="1">
      <c r="A169" s="1181" t="n"/>
      <c r="B169" s="1181" t="n"/>
      <c r="C169" s="1181" t="n"/>
      <c r="D169" s="1181" t="n"/>
      <c r="E169" s="1181" t="n"/>
      <c r="F169" s="1181" t="n"/>
      <c r="G169" s="1181" t="n"/>
      <c r="H169" s="1181" t="n"/>
      <c r="I169" s="1583" t="n"/>
      <c r="J169" s="1583" t="n"/>
      <c r="K169" s="1583" t="n"/>
      <c r="L169" s="1583" t="n"/>
      <c r="M169" s="1182" t="n"/>
      <c r="S169" s="1584">
        <f>SUM(S10:S167)</f>
        <v/>
      </c>
      <c r="T169" s="1085" t="inlineStr">
        <is>
          <t>total Centerpoint</t>
        </is>
      </c>
      <c r="U169" s="1086" t="n"/>
    </row>
    <row r="170">
      <c r="A170" s="1181" t="n"/>
      <c r="B170" s="1181" t="n"/>
      <c r="C170" s="1181" t="n"/>
      <c r="D170" s="1181" t="n"/>
      <c r="E170" s="1181" t="n"/>
      <c r="F170" s="1181" t="n"/>
      <c r="G170" s="1181" t="n"/>
      <c r="H170" s="1181" t="n"/>
      <c r="I170" s="1583" t="n"/>
      <c r="J170" s="1583" t="n"/>
      <c r="K170" s="1583" t="n"/>
      <c r="L170" s="1583" t="n"/>
      <c r="M170" s="1182" t="n"/>
      <c r="P170" s="1585" t="inlineStr">
        <is>
          <t>Depr. Orçamento 25-26</t>
        </is>
      </c>
      <c r="Q170" s="1586" t="n"/>
    </row>
    <row r="171" ht="11.85" customHeight="1" s="1173">
      <c r="A171" s="1181" t="n"/>
      <c r="B171" s="1181" t="n"/>
      <c r="C171" s="1181" t="n"/>
      <c r="D171" s="1181" t="n"/>
      <c r="E171" s="1181" t="n"/>
      <c r="F171" s="1181" t="n"/>
      <c r="G171" s="1181" t="n"/>
      <c r="H171" s="1181" t="n"/>
      <c r="I171" s="1182" t="n"/>
      <c r="J171" s="1182" t="n"/>
      <c r="K171" s="1182" t="n"/>
      <c r="L171" s="1182" t="n"/>
      <c r="M171" s="1182" t="n"/>
      <c r="P171" s="1587" t="inlineStr">
        <is>
          <t>Estruturas</t>
        </is>
      </c>
      <c r="Q171" s="1576">
        <f>SUM(R14:R38)</f>
        <v/>
      </c>
    </row>
    <row r="172" ht="23.85" customHeight="1" s="1173">
      <c r="A172" s="1183" t="inlineStr">
        <is>
          <t>Report Options</t>
        </is>
      </c>
      <c r="B172" s="1183" t="inlineStr">
        <is>
          <t>Report Options</t>
        </is>
      </c>
      <c r="C172" s="1183" t="inlineStr">
        <is>
          <t>Report Options</t>
        </is>
      </c>
      <c r="D172" s="1183" t="inlineStr">
        <is>
          <t>Report Options</t>
        </is>
      </c>
      <c r="E172" s="1183" t="inlineStr">
        <is>
          <t>Report Options</t>
        </is>
      </c>
      <c r="F172" s="1183" t="inlineStr">
        <is>
          <t>Report Options</t>
        </is>
      </c>
      <c r="G172" s="1183" t="inlineStr">
        <is>
          <t>Report Options</t>
        </is>
      </c>
      <c r="H172" s="1183" t="inlineStr">
        <is>
          <t>Report Options</t>
        </is>
      </c>
      <c r="I172" s="1183" t="inlineStr">
        <is>
          <t>Report Options</t>
        </is>
      </c>
      <c r="J172" s="1183" t="inlineStr">
        <is>
          <t>Report Options</t>
        </is>
      </c>
      <c r="K172" s="1183" t="inlineStr">
        <is>
          <t>Report Options</t>
        </is>
      </c>
      <c r="L172" s="1183" t="inlineStr">
        <is>
          <t>Report Options</t>
        </is>
      </c>
      <c r="M172" s="1183" t="inlineStr">
        <is>
          <t>Report Options</t>
        </is>
      </c>
      <c r="P172" s="1576" t="inlineStr">
        <is>
          <t>Equipamentos com taxa fixa</t>
        </is>
      </c>
      <c r="Q172" s="1576">
        <f>R65+SUM(R74:R86)+SUM(R92:R98)+SUM(R119:R128)+SUM(R161:R164)+R152</f>
        <v/>
      </c>
    </row>
    <row r="173" ht="11.85" customHeight="1" s="1173">
      <c r="A173" s="1179" t="inlineStr">
        <is>
          <t>Company: Agroinvest Ltda</t>
        </is>
      </c>
      <c r="B173" s="1179" t="inlineStr">
        <is>
          <t>Company: Agroinvest Ltda</t>
        </is>
      </c>
      <c r="C173" s="1179" t="inlineStr">
        <is>
          <t>Company: Agroinvest Ltda</t>
        </is>
      </c>
      <c r="D173" s="1179" t="inlineStr">
        <is>
          <t>Company: Agroinvest Ltda</t>
        </is>
      </c>
      <c r="E173" s="1179" t="inlineStr">
        <is>
          <t>Company: Agroinvest Ltda</t>
        </is>
      </c>
      <c r="F173" s="1179" t="inlineStr">
        <is>
          <t>Company: Agroinvest Ltda</t>
        </is>
      </c>
      <c r="G173" s="1179" t="inlineStr">
        <is>
          <t>Company: Agroinvest Ltda</t>
        </is>
      </c>
      <c r="H173" s="1179" t="inlineStr">
        <is>
          <t>Company: Agroinvest Ltda</t>
        </is>
      </c>
      <c r="I173" s="1179" t="inlineStr">
        <is>
          <t>Company: Agroinvest Ltda</t>
        </is>
      </c>
      <c r="J173" s="1179" t="inlineStr">
        <is>
          <t>Company: Agroinvest Ltda</t>
        </is>
      </c>
      <c r="K173" s="1179" t="inlineStr">
        <is>
          <t>Company: Agroinvest Ltda</t>
        </is>
      </c>
      <c r="L173" s="1179" t="inlineStr">
        <is>
          <t>Company: Agroinvest Ltda</t>
        </is>
      </c>
      <c r="M173" s="1179" t="inlineStr">
        <is>
          <t>Company: Agroinvest Ltda</t>
        </is>
      </c>
      <c r="P173" s="1576" t="inlineStr">
        <is>
          <t>Equipamento valor mercado</t>
        </is>
      </c>
      <c r="Q173" s="1576">
        <f>SUM(Q44:Q167)*10%</f>
        <v/>
      </c>
    </row>
    <row r="174" ht="11.85" customHeight="1" s="1173">
      <c r="A174" s="1179" t="inlineStr">
        <is>
          <t>Trans Date: 1/1/2025 to 12/31/2025</t>
        </is>
      </c>
      <c r="B174" s="1179" t="inlineStr">
        <is>
          <t>Trans Date: 1/1/2025 to 12/31/2025</t>
        </is>
      </c>
      <c r="C174" s="1179" t="inlineStr">
        <is>
          <t>Trans Date: 1/1/2025 to 12/31/2025</t>
        </is>
      </c>
      <c r="D174" s="1179" t="inlineStr">
        <is>
          <t>Trans Date: 1/1/2025 to 12/31/2025</t>
        </is>
      </c>
      <c r="E174" s="1179" t="inlineStr">
        <is>
          <t>Trans Date: 1/1/2025 to 12/31/2025</t>
        </is>
      </c>
      <c r="F174" s="1179" t="inlineStr">
        <is>
          <t>Trans Date: 1/1/2025 to 12/31/2025</t>
        </is>
      </c>
      <c r="G174" s="1179" t="inlineStr">
        <is>
          <t>Trans Date: 1/1/2025 to 12/31/2025</t>
        </is>
      </c>
      <c r="H174" s="1179" t="inlineStr">
        <is>
          <t>Trans Date: 1/1/2025 to 12/31/2025</t>
        </is>
      </c>
      <c r="I174" s="1179" t="inlineStr">
        <is>
          <t>Trans Date: 1/1/2025 to 12/31/2025</t>
        </is>
      </c>
      <c r="J174" s="1179" t="inlineStr">
        <is>
          <t>Trans Date: 1/1/2025 to 12/31/2025</t>
        </is>
      </c>
      <c r="K174" s="1179" t="inlineStr">
        <is>
          <t>Trans Date: 1/1/2025 to 12/31/2025</t>
        </is>
      </c>
      <c r="L174" s="1179" t="inlineStr">
        <is>
          <t>Trans Date: 1/1/2025 to 12/31/2025</t>
        </is>
      </c>
      <c r="M174" s="1179" t="inlineStr">
        <is>
          <t>Trans Date: 1/1/2025 to 12/31/2025</t>
        </is>
      </c>
      <c r="P174" s="1588" t="inlineStr">
        <is>
          <t>TOTAL</t>
        </is>
      </c>
      <c r="Q174" s="1588">
        <f>SUM(Q171:Q173)</f>
        <v/>
      </c>
    </row>
    <row r="175" ht="12" customHeight="1" s="1173">
      <c r="A175" s="1179" t="inlineStr">
        <is>
          <t>Display Beginning Balances: Yes</t>
        </is>
      </c>
      <c r="B175" s="1179" t="inlineStr">
        <is>
          <t>Display Beginning Balances: Yes</t>
        </is>
      </c>
      <c r="C175" s="1179" t="inlineStr">
        <is>
          <t>Display Beginning Balances: Yes</t>
        </is>
      </c>
      <c r="D175" s="1179" t="inlineStr">
        <is>
          <t>Display Beginning Balances: Yes</t>
        </is>
      </c>
      <c r="E175" s="1179" t="inlineStr">
        <is>
          <t>Display Beginning Balances: Yes</t>
        </is>
      </c>
      <c r="F175" s="1179" t="inlineStr">
        <is>
          <t>Display Beginning Balances: Yes</t>
        </is>
      </c>
      <c r="G175" s="1179" t="inlineStr">
        <is>
          <t>Display Beginning Balances: Yes</t>
        </is>
      </c>
      <c r="H175" s="1179" t="inlineStr">
        <is>
          <t>Display Beginning Balances: Yes</t>
        </is>
      </c>
      <c r="I175" s="1179" t="inlineStr">
        <is>
          <t>Display Beginning Balances: Yes</t>
        </is>
      </c>
      <c r="J175" s="1179" t="inlineStr">
        <is>
          <t>Display Beginning Balances: Yes</t>
        </is>
      </c>
      <c r="K175" s="1179" t="inlineStr">
        <is>
          <t>Display Beginning Balances: Yes</t>
        </is>
      </c>
      <c r="L175" s="1179" t="inlineStr">
        <is>
          <t>Display Beginning Balances: Yes</t>
        </is>
      </c>
      <c r="M175" s="1179" t="inlineStr">
        <is>
          <t>Display Beginning Balances: Yes</t>
        </is>
      </c>
    </row>
    <row r="176" ht="11.85" customHeight="1" s="1173">
      <c r="A176" s="1179" t="inlineStr">
        <is>
          <t>Display Depreciation: Yes</t>
        </is>
      </c>
      <c r="B176" s="1179" t="inlineStr">
        <is>
          <t>Display Depreciation: Yes</t>
        </is>
      </c>
      <c r="C176" s="1179" t="inlineStr">
        <is>
          <t>Display Depreciation: Yes</t>
        </is>
      </c>
      <c r="D176" s="1179" t="inlineStr">
        <is>
          <t>Display Depreciation: Yes</t>
        </is>
      </c>
      <c r="E176" s="1179" t="inlineStr">
        <is>
          <t>Display Depreciation: Yes</t>
        </is>
      </c>
      <c r="F176" s="1179" t="inlineStr">
        <is>
          <t>Display Depreciation: Yes</t>
        </is>
      </c>
      <c r="G176" s="1179" t="inlineStr">
        <is>
          <t>Display Depreciation: Yes</t>
        </is>
      </c>
      <c r="H176" s="1179" t="inlineStr">
        <is>
          <t>Display Depreciation: Yes</t>
        </is>
      </c>
      <c r="I176" s="1179" t="inlineStr">
        <is>
          <t>Display Depreciation: Yes</t>
        </is>
      </c>
      <c r="J176" s="1179" t="inlineStr">
        <is>
          <t>Display Depreciation: Yes</t>
        </is>
      </c>
      <c r="K176" s="1179" t="inlineStr">
        <is>
          <t>Display Depreciation: Yes</t>
        </is>
      </c>
      <c r="L176" s="1179" t="inlineStr">
        <is>
          <t>Display Depreciation: Yes</t>
        </is>
      </c>
      <c r="M176" s="1179" t="inlineStr">
        <is>
          <t>Display Depreciation: Yes</t>
        </is>
      </c>
    </row>
    <row r="177" hidden="1" customHeight="1" s="1173"/>
    <row r="180">
      <c r="P180" s="1576" t="inlineStr">
        <is>
          <t>Depr. Orçamento 24-25 ATUAL</t>
        </is>
      </c>
      <c r="Q180" s="1576" t="n"/>
    </row>
    <row r="181">
      <c r="P181" s="1576" t="inlineStr">
        <is>
          <t>Estruturas</t>
        </is>
      </c>
      <c r="Q181" s="1576" t="n">
        <v>517299</v>
      </c>
    </row>
    <row r="182">
      <c r="P182" s="1576" t="inlineStr">
        <is>
          <t>Equipamentos com taxa fixa</t>
        </is>
      </c>
      <c r="Q182" s="1576" t="n">
        <v>119217</v>
      </c>
    </row>
    <row r="183">
      <c r="P183" s="1576" t="inlineStr">
        <is>
          <t>Equipamentos valor mercado</t>
        </is>
      </c>
      <c r="Q183" s="1576">
        <f>SUM(R44:R62)+R68+R71+R89+SUM(R101:R116)+SUM(R131:R149)+SUM(R155+R158+R167)</f>
        <v/>
      </c>
    </row>
    <row r="184">
      <c r="P184" s="1589" t="inlineStr">
        <is>
          <t>total atual 24-25</t>
        </is>
      </c>
      <c r="Q184" s="1589">
        <f>SUM(Q181:Q183)</f>
        <v/>
      </c>
    </row>
  </sheetData>
  <pageMargins left="0.511811024" right="0.511811024" top="0.787401575" bottom="0.787401575" header="0.31496062" footer="0.31496062"/>
</worksheet>
</file>

<file path=xl/worksheets/sheet13.xml><?xml version="1.0" encoding="utf-8"?>
<worksheet xmlns="http://schemas.openxmlformats.org/spreadsheetml/2006/main">
  <sheetPr>
    <tabColor rgb="FFFFFF00"/>
    <outlinePr summaryBelow="1" summaryRight="1"/>
    <pageSetUpPr/>
  </sheetPr>
  <dimension ref="A1:N31"/>
  <sheetViews>
    <sheetView topLeftCell="A16" workbookViewId="0">
      <selection activeCell="E23" sqref="E23"/>
    </sheetView>
  </sheetViews>
  <sheetFormatPr baseColWidth="8" defaultRowHeight="15"/>
  <cols>
    <col width="44.140625" customWidth="1" style="1173" min="1" max="1"/>
    <col width="11.42578125" customWidth="1" style="1173" min="2" max="2"/>
    <col width="14.28515625" customWidth="1" style="1173" min="3" max="3"/>
    <col width="12.85546875" customWidth="1" style="1471" min="4" max="4"/>
    <col width="21.42578125" customWidth="1" style="1471" min="5" max="5"/>
    <col width="13.42578125" customWidth="1" style="1471" min="6" max="6"/>
    <col width="14.140625" customWidth="1" style="1173" min="7" max="7"/>
    <col width="12.85546875" bestFit="1" customWidth="1" style="1173" min="8" max="8"/>
  </cols>
  <sheetData>
    <row r="1">
      <c r="A1" s="908" t="inlineStr">
        <is>
          <t>Material de Escritório</t>
        </is>
      </c>
      <c r="B1" s="908" t="inlineStr">
        <is>
          <t>Unidade</t>
        </is>
      </c>
      <c r="C1" s="908" t="inlineStr">
        <is>
          <t>Quantidade</t>
        </is>
      </c>
      <c r="D1" s="908" t="inlineStr">
        <is>
          <t>Valor unitário</t>
        </is>
      </c>
      <c r="E1" s="908" t="inlineStr">
        <is>
          <t>Valor Subtotal</t>
        </is>
      </c>
      <c r="G1" s="419" t="n"/>
      <c r="H1" s="419" t="n"/>
      <c r="I1" s="419" t="n"/>
      <c r="J1" s="419" t="n"/>
      <c r="K1" s="419" t="n"/>
      <c r="L1" s="419" t="n"/>
    </row>
    <row r="2">
      <c r="A2" s="120" t="inlineStr">
        <is>
          <t>Papeis A4 - resma c/ 500 folhas</t>
        </is>
      </c>
      <c r="B2" s="122" t="inlineStr">
        <is>
          <t>Resma</t>
        </is>
      </c>
      <c r="C2" s="122" t="n">
        <v>10</v>
      </c>
      <c r="D2" s="1518" t="n">
        <v>25</v>
      </c>
      <c r="E2" s="1518" t="n">
        <v>250</v>
      </c>
    </row>
    <row r="3">
      <c r="A3" s="120" t="inlineStr">
        <is>
          <t xml:space="preserve">canetas Bic </t>
        </is>
      </c>
      <c r="B3" s="122" t="inlineStr">
        <is>
          <t>Und</t>
        </is>
      </c>
      <c r="C3" s="122" t="n">
        <v>6</v>
      </c>
      <c r="D3" s="1518" t="n">
        <v>1.5</v>
      </c>
      <c r="E3" s="1518" t="n">
        <v>9</v>
      </c>
    </row>
    <row r="4">
      <c r="A4" s="120" t="inlineStr">
        <is>
          <t>Marca Texto</t>
        </is>
      </c>
      <c r="B4" s="122" t="inlineStr">
        <is>
          <t>Und</t>
        </is>
      </c>
      <c r="C4" s="122" t="n">
        <v>2</v>
      </c>
      <c r="D4" s="1590" t="n">
        <v>5.5</v>
      </c>
      <c r="E4" s="1590" t="n">
        <v>11</v>
      </c>
    </row>
    <row r="5">
      <c r="A5" s="120" t="inlineStr">
        <is>
          <t>calculadora</t>
        </is>
      </c>
      <c r="B5" s="122" t="inlineStr">
        <is>
          <t>Und</t>
        </is>
      </c>
      <c r="C5" s="122" t="n">
        <v>1</v>
      </c>
      <c r="D5" s="1590" t="n">
        <v>37</v>
      </c>
      <c r="E5" s="1590" t="n">
        <v>37</v>
      </c>
    </row>
    <row r="6">
      <c r="A6" s="120" t="inlineStr">
        <is>
          <t>Fita Durex - Para embalar</t>
        </is>
      </c>
      <c r="B6" s="122" t="inlineStr">
        <is>
          <t>Und</t>
        </is>
      </c>
      <c r="C6" s="122" t="n">
        <v>12</v>
      </c>
      <c r="D6" s="1590" t="n">
        <v>14</v>
      </c>
      <c r="E6" s="1590" t="n">
        <v>168</v>
      </c>
    </row>
    <row r="7">
      <c r="A7" s="120" t="inlineStr">
        <is>
          <t>Plástico Bolha - embalar p/ transporte</t>
        </is>
      </c>
      <c r="B7" s="122" t="inlineStr">
        <is>
          <t>Rolo</t>
        </is>
      </c>
      <c r="C7" s="122" t="n">
        <v>2</v>
      </c>
      <c r="D7" s="1590" t="n">
        <v>80</v>
      </c>
      <c r="E7" s="1590" t="n">
        <v>160</v>
      </c>
    </row>
    <row r="8">
      <c r="A8" s="120" t="inlineStr">
        <is>
          <t>Pincel Permanente - p/ identificação de Mercadorias</t>
        </is>
      </c>
      <c r="B8" s="122" t="inlineStr">
        <is>
          <t>Und</t>
        </is>
      </c>
      <c r="C8" s="122" t="n">
        <v>4</v>
      </c>
      <c r="D8" s="1518" t="n">
        <v>6.5</v>
      </c>
      <c r="E8" s="1518" t="n">
        <v>26</v>
      </c>
    </row>
    <row r="9">
      <c r="A9" s="120" t="n"/>
      <c r="B9" s="122" t="n"/>
      <c r="C9" s="122" t="n"/>
      <c r="D9" s="1591" t="n"/>
      <c r="E9" s="1592">
        <f>SUM(E2:E8)</f>
        <v/>
      </c>
      <c r="F9" s="1593" t="inlineStr">
        <is>
          <t>valor total podemos dividir p/ as 3 Empresas ( Matriz, Filial e Agroinvest )</t>
        </is>
      </c>
      <c r="G9" s="795" t="n"/>
      <c r="H9" s="795" t="n"/>
      <c r="I9" s="795" t="n"/>
      <c r="J9" s="795" t="n"/>
      <c r="K9" s="795" t="n"/>
    </row>
    <row r="10">
      <c r="A10" s="1199" t="inlineStr">
        <is>
          <t>Manutenção S10 DPT Compras</t>
        </is>
      </c>
      <c r="B10" s="1199" t="inlineStr">
        <is>
          <t>Manutenção S10 DPT Compras</t>
        </is>
      </c>
      <c r="C10" s="1199" t="inlineStr">
        <is>
          <t>Manutenção S10 DPT Compras</t>
        </is>
      </c>
      <c r="D10" s="1199" t="inlineStr">
        <is>
          <t>Manutenção S10 DPT Compras</t>
        </is>
      </c>
      <c r="E10" s="1199" t="inlineStr">
        <is>
          <t>Manutenção S10 DPT Compras</t>
        </is>
      </c>
    </row>
    <row r="11" customFormat="1" s="120">
      <c r="A11" s="1200" t="inlineStr">
        <is>
          <t>Peças e Serviços</t>
        </is>
      </c>
      <c r="B11" s="1200" t="inlineStr">
        <is>
          <t>Unidade</t>
        </is>
      </c>
      <c r="C11" s="1200" t="inlineStr">
        <is>
          <t>Quantidade</t>
        </is>
      </c>
      <c r="D11" s="1200" t="inlineStr">
        <is>
          <t>Valor Unitário</t>
        </is>
      </c>
      <c r="E11" s="1200" t="inlineStr">
        <is>
          <t>Valor Subtotal</t>
        </is>
      </c>
      <c r="F11" s="1518" t="n"/>
    </row>
    <row r="12">
      <c r="A12" s="416" t="inlineStr">
        <is>
          <t>Revisão Preventiva</t>
        </is>
      </c>
      <c r="B12" s="415" t="inlineStr">
        <is>
          <t>Serviço</t>
        </is>
      </c>
      <c r="C12" s="415" t="n">
        <v>6</v>
      </c>
      <c r="D12" s="1594" t="n">
        <v>450</v>
      </c>
      <c r="E12" s="1595" t="n">
        <v>4200</v>
      </c>
      <c r="F12" s="1508" t="n"/>
    </row>
    <row r="13">
      <c r="A13" s="124" t="inlineStr">
        <is>
          <t>Troca de Grade Dianteira (Acessório do para-choque)</t>
        </is>
      </c>
      <c r="B13" s="690" t="inlineStr">
        <is>
          <t>Und</t>
        </is>
      </c>
      <c r="C13" s="690" t="n">
        <v>1</v>
      </c>
      <c r="D13" s="1590" t="n">
        <v>1000</v>
      </c>
      <c r="E13" s="1590" t="n">
        <v>1000</v>
      </c>
      <c r="F13" s="1508" t="n"/>
      <c r="G13" s="29" t="n"/>
      <c r="H13" s="29" t="n"/>
      <c r="I13" s="29" t="n"/>
      <c r="J13" s="29" t="n"/>
    </row>
    <row r="14">
      <c r="A14" s="124" t="inlineStr">
        <is>
          <t xml:space="preserve">Amortecedor Traseiro </t>
        </is>
      </c>
      <c r="B14" s="690" t="inlineStr">
        <is>
          <t>pá</t>
        </is>
      </c>
      <c r="C14" s="690" t="n">
        <v>1</v>
      </c>
      <c r="D14" s="1590" t="n">
        <v>700</v>
      </c>
      <c r="E14" s="1590" t="n">
        <v>700</v>
      </c>
    </row>
    <row r="15">
      <c r="A15" s="120" t="inlineStr">
        <is>
          <t>Palheita do Parabrisa</t>
        </is>
      </c>
      <c r="B15" s="122" t="inlineStr">
        <is>
          <t>Pá</t>
        </is>
      </c>
      <c r="C15" s="122" t="n">
        <v>1</v>
      </c>
      <c r="D15" s="1518" t="n">
        <v>144</v>
      </c>
      <c r="E15" s="1590" t="n">
        <v>144</v>
      </c>
    </row>
    <row r="16">
      <c r="A16" s="822" t="inlineStr">
        <is>
          <t>pastilhas de freio ( Jogo )</t>
        </is>
      </c>
      <c r="B16" s="823" t="inlineStr">
        <is>
          <t>pá</t>
        </is>
      </c>
      <c r="C16" s="823" t="n">
        <v>1</v>
      </c>
      <c r="D16" s="1596" t="n">
        <v>220</v>
      </c>
      <c r="E16" s="1590" t="n">
        <v>220</v>
      </c>
    </row>
    <row r="17">
      <c r="A17" s="120" t="inlineStr">
        <is>
          <t>Reparos - Lonas de Freio ( Jogo )</t>
        </is>
      </c>
      <c r="B17" s="122" t="inlineStr">
        <is>
          <t>jogo</t>
        </is>
      </c>
      <c r="C17" s="122" t="n">
        <v>1</v>
      </c>
      <c r="D17" s="1518" t="n">
        <v>280</v>
      </c>
      <c r="E17" s="1590" t="n">
        <v>265</v>
      </c>
    </row>
    <row r="18">
      <c r="A18" s="120" t="inlineStr">
        <is>
          <t>alinhamento / balanceamento</t>
        </is>
      </c>
      <c r="B18" s="122" t="inlineStr">
        <is>
          <t>Serviço</t>
        </is>
      </c>
      <c r="C18" s="122" t="n">
        <v>1</v>
      </c>
      <c r="D18" s="1518" t="n">
        <v>150</v>
      </c>
      <c r="E18" s="1590" t="n">
        <v>150</v>
      </c>
    </row>
    <row r="19">
      <c r="A19" s="124" t="inlineStr">
        <is>
          <t>Óleo do motor Todos os Filtros</t>
        </is>
      </c>
      <c r="B19" s="690" t="inlineStr">
        <is>
          <t>KIT</t>
        </is>
      </c>
      <c r="C19" s="690" t="n">
        <v>6</v>
      </c>
      <c r="D19" s="1590" t="n">
        <v>600</v>
      </c>
      <c r="E19" s="1590" t="n">
        <v>3600</v>
      </c>
    </row>
    <row r="20">
      <c r="A20" s="120" t="inlineStr">
        <is>
          <t>Bieletas</t>
        </is>
      </c>
      <c r="B20" s="122" t="inlineStr">
        <is>
          <t>pá</t>
        </is>
      </c>
      <c r="C20" s="122" t="n">
        <v>1</v>
      </c>
      <c r="D20" s="1518" t="n">
        <v>100</v>
      </c>
      <c r="E20" s="1590" t="n">
        <v>100</v>
      </c>
    </row>
    <row r="21">
      <c r="A21" s="120" t="inlineStr">
        <is>
          <t>Pivô inferior</t>
        </is>
      </c>
      <c r="B21" s="122" t="inlineStr">
        <is>
          <t>pá</t>
        </is>
      </c>
      <c r="C21" s="122" t="n">
        <v>1</v>
      </c>
      <c r="D21" s="1518" t="n">
        <v>300</v>
      </c>
      <c r="E21" s="1590" t="n">
        <v>300</v>
      </c>
    </row>
    <row r="22">
      <c r="A22" s="120" t="inlineStr">
        <is>
          <t>Pivô Superior</t>
        </is>
      </c>
      <c r="B22" s="122" t="inlineStr">
        <is>
          <t>pá</t>
        </is>
      </c>
      <c r="C22" s="122" t="n">
        <v>1</v>
      </c>
      <c r="D22" s="1518" t="n">
        <v>360</v>
      </c>
      <c r="E22" s="1590" t="n">
        <v>360</v>
      </c>
    </row>
    <row r="23">
      <c r="A23" s="120" t="n"/>
      <c r="B23" s="122" t="n"/>
      <c r="C23" s="122" t="n"/>
      <c r="D23" s="1518" t="n"/>
      <c r="E23" s="1597">
        <f>SUM(E12:E22)</f>
        <v/>
      </c>
      <c r="F23" s="1593" t="inlineStr">
        <is>
          <t>valor total podemos dividir p/ as 3 Empresas ( Matriz, Filial e Agroinvest ) 2 REVISÕES PARA CADA EMPRESA.</t>
        </is>
      </c>
      <c r="G23" s="795" t="n"/>
      <c r="H23" s="795" t="n"/>
      <c r="I23" s="795" t="n"/>
      <c r="J23" s="795" t="n"/>
      <c r="K23" s="795" t="n"/>
      <c r="L23" s="795" t="n"/>
      <c r="M23" s="795" t="n"/>
      <c r="N23" s="795" t="n"/>
    </row>
    <row r="24">
      <c r="A24" s="1200" t="inlineStr">
        <is>
          <t xml:space="preserve">Combustível </t>
        </is>
      </c>
      <c r="B24" s="1200" t="inlineStr">
        <is>
          <t xml:space="preserve">Combustível </t>
        </is>
      </c>
      <c r="C24" s="1200" t="inlineStr">
        <is>
          <t xml:space="preserve">Combustível </t>
        </is>
      </c>
      <c r="D24" s="1200" t="inlineStr">
        <is>
          <t xml:space="preserve">Combustível </t>
        </is>
      </c>
      <c r="E24" s="1200" t="inlineStr">
        <is>
          <t xml:space="preserve">Combustível </t>
        </is>
      </c>
    </row>
    <row r="25">
      <c r="A25" s="120" t="inlineStr">
        <is>
          <t xml:space="preserve">Agroservice - Matriz </t>
        </is>
      </c>
      <c r="B25" s="122" t="inlineStr">
        <is>
          <t>LT</t>
        </is>
      </c>
      <c r="C25" s="914" t="n">
        <v>2000</v>
      </c>
      <c r="D25" s="1518" t="n">
        <v>6</v>
      </c>
      <c r="E25" s="1518" t="n">
        <v>12000</v>
      </c>
      <c r="F25" s="1508" t="n"/>
      <c r="G25" s="29" t="n"/>
      <c r="H25" s="29" t="n"/>
    </row>
    <row r="26">
      <c r="A26" s="120" t="inlineStr">
        <is>
          <t>Agroservice - Filial ( Granja )</t>
        </is>
      </c>
      <c r="B26" s="122" t="inlineStr">
        <is>
          <t>LT</t>
        </is>
      </c>
      <c r="C26" s="914" t="n">
        <v>2000</v>
      </c>
      <c r="D26" s="1518" t="n">
        <v>6</v>
      </c>
      <c r="E26" s="1518" t="n">
        <v>12000</v>
      </c>
      <c r="F26" s="1508" t="n"/>
      <c r="G26" s="29" t="n"/>
      <c r="H26" s="29" t="n"/>
    </row>
    <row r="27">
      <c r="A27" s="120" t="inlineStr">
        <is>
          <t>Agroinvest Ltda</t>
        </is>
      </c>
      <c r="B27" s="122" t="inlineStr">
        <is>
          <t>LT</t>
        </is>
      </c>
      <c r="C27" s="914" t="n">
        <v>1500</v>
      </c>
      <c r="D27" s="1518" t="n">
        <v>6</v>
      </c>
      <c r="E27" s="1518" t="n">
        <v>9000</v>
      </c>
    </row>
    <row r="28">
      <c r="A28" s="120" t="n"/>
      <c r="B28" s="120" t="n"/>
      <c r="C28" s="120" t="n"/>
      <c r="D28" s="1518" t="n"/>
      <c r="E28" s="1592" t="n"/>
    </row>
    <row r="29" ht="18.75" customHeight="1" s="1173">
      <c r="A29" s="915" t="n"/>
      <c r="B29" s="915" t="n"/>
      <c r="C29" s="915" t="n"/>
      <c r="D29" s="1518" t="n"/>
      <c r="E29" s="1592">
        <f>SUM(E25:E27)</f>
        <v/>
      </c>
    </row>
    <row r="30" ht="18.75" customHeight="1" s="1173">
      <c r="A30" s="916" t="n"/>
      <c r="B30" s="916" t="n"/>
      <c r="C30" s="916" t="n"/>
      <c r="D30" s="1471" t="n"/>
      <c r="E30" s="1598" t="n"/>
    </row>
    <row r="31">
      <c r="D31" s="1599" t="inlineStr">
        <is>
          <t>Total Geral</t>
        </is>
      </c>
      <c r="E31" s="1599" t="n">
        <v>44700</v>
      </c>
      <c r="F31" s="919" t="n"/>
    </row>
  </sheetData>
  <pageMargins left="0.511811024" right="0.511811024" top="0.787401575" bottom="0.787401575" header="0.31496062" footer="0.31496062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0"/>
  <sheetViews>
    <sheetView topLeftCell="A19" workbookViewId="0">
      <selection activeCell="E31" sqref="E31"/>
    </sheetView>
  </sheetViews>
  <sheetFormatPr baseColWidth="8" defaultRowHeight="15"/>
  <cols>
    <col width="14.7109375" customWidth="1" style="1173" min="1" max="1"/>
    <col width="98.140625" customWidth="1" style="1173" min="2" max="2"/>
    <col width="13" customWidth="1" style="1173" min="3" max="4"/>
    <col width="14.140625" customWidth="1" style="1173" min="5" max="5"/>
    <col width="22.5703125" customWidth="1" style="1173" min="6" max="6"/>
    <col width="11.140625" customWidth="1" style="1173" min="7" max="7"/>
    <col width="20.28515625" customWidth="1" style="1173" min="8" max="8"/>
    <col width="47.7109375" bestFit="1" customWidth="1" style="1173" min="9" max="9"/>
    <col width="10.28515625" customWidth="1" style="1173" min="10" max="10"/>
    <col width="11.85546875" bestFit="1" customWidth="1" style="1173" min="11" max="11"/>
    <col width="13.140625" bestFit="1" customWidth="1" style="1173" min="12" max="12"/>
    <col width="11.140625" customWidth="1" style="1173" min="13" max="13"/>
    <col width="30.140625" bestFit="1" customWidth="1" style="1173" min="14" max="14"/>
    <col width="12.140625" customWidth="1" style="1173" min="16" max="16"/>
    <col width="13.7109375" bestFit="1" customWidth="1" style="1173" min="17" max="17"/>
    <col width="12.140625" bestFit="1" customWidth="1" style="1173" min="20" max="20"/>
    <col width="7.85546875" customWidth="1" style="1173" min="21" max="21"/>
    <col width="14.7109375" customWidth="1" style="1173" min="22" max="23"/>
  </cols>
  <sheetData>
    <row r="1" ht="18" customHeight="1" s="1173">
      <c r="A1" s="1201" t="inlineStr">
        <is>
          <t>Orçamento câmeras agroinvest</t>
        </is>
      </c>
      <c r="B1" s="1201" t="inlineStr">
        <is>
          <t>Orçamento câmeras agroinvest</t>
        </is>
      </c>
      <c r="C1" s="1201" t="inlineStr">
        <is>
          <t>Orçamento câmeras agroinvest</t>
        </is>
      </c>
      <c r="D1" s="1201" t="inlineStr">
        <is>
          <t>Orçamento câmeras agroinvest</t>
        </is>
      </c>
      <c r="E1" s="1201" t="inlineStr">
        <is>
          <t>Orçamento câmeras agroinvest</t>
        </is>
      </c>
      <c r="F1" s="1201" t="inlineStr">
        <is>
          <t>Orçamento câmeras agroinvest</t>
        </is>
      </c>
    </row>
    <row r="2">
      <c r="A2" s="1205" t="inlineStr">
        <is>
          <t>Descrição</t>
        </is>
      </c>
      <c r="B2" s="1205" t="inlineStr">
        <is>
          <t>Descrição</t>
        </is>
      </c>
      <c r="C2" s="1205" t="inlineStr">
        <is>
          <t>Descrição</t>
        </is>
      </c>
      <c r="D2" s="1205" t="inlineStr">
        <is>
          <t>Qtd</t>
        </is>
      </c>
      <c r="E2" s="1205" t="inlineStr">
        <is>
          <t>Valor Unitario</t>
        </is>
      </c>
      <c r="F2" s="1205" t="inlineStr">
        <is>
          <t>Valor Final</t>
        </is>
      </c>
    </row>
    <row r="3">
      <c r="A3" s="840" t="n"/>
      <c r="B3" s="831" t="inlineStr">
        <is>
          <t>CPE intelbras wom5a mimo</t>
        </is>
      </c>
      <c r="C3" s="842" t="n"/>
      <c r="D3" s="829" t="n">
        <v>4</v>
      </c>
      <c r="E3" s="832" t="n">
        <v>500</v>
      </c>
      <c r="F3" s="1600">
        <f>D3*E3</f>
        <v/>
      </c>
    </row>
    <row r="4">
      <c r="A4" s="840" t="n"/>
      <c r="B4" s="831" t="inlineStr">
        <is>
          <t>Caixa organizadora</t>
        </is>
      </c>
      <c r="C4" s="842" t="n"/>
      <c r="D4" s="829" t="n">
        <v>4</v>
      </c>
      <c r="E4" s="832" t="n">
        <v>80</v>
      </c>
      <c r="F4" s="1600">
        <f>D4*E4</f>
        <v/>
      </c>
    </row>
    <row r="5">
      <c r="A5" s="840" t="n"/>
      <c r="B5" s="833" t="inlineStr">
        <is>
          <t>300 metros cabo de rede</t>
        </is>
      </c>
      <c r="C5" s="842" t="n"/>
      <c r="D5" s="829" t="n">
        <v>1</v>
      </c>
      <c r="E5" s="832" t="n">
        <v>300</v>
      </c>
      <c r="F5" s="1600">
        <f>D5*E5</f>
        <v/>
      </c>
    </row>
    <row r="6">
      <c r="A6" s="840" t="n"/>
      <c r="B6" s="831" t="inlineStr">
        <is>
          <t>Fita dupla Face</t>
        </is>
      </c>
      <c r="C6" s="842" t="n"/>
      <c r="D6" s="829" t="n">
        <v>1</v>
      </c>
      <c r="E6" s="832" t="n">
        <v>50</v>
      </c>
      <c r="F6" s="1600">
        <f>D6*E6</f>
        <v/>
      </c>
    </row>
    <row r="7">
      <c r="A7" s="840" t="n"/>
      <c r="B7" s="833" t="inlineStr">
        <is>
          <t xml:space="preserve">Switch SF 800 Q+ </t>
        </is>
      </c>
      <c r="C7" s="842" t="n"/>
      <c r="D7" s="830" t="n">
        <v>3</v>
      </c>
      <c r="E7" s="832" t="n">
        <v>90</v>
      </c>
      <c r="F7" s="1600">
        <f>D7*E7</f>
        <v/>
      </c>
    </row>
    <row r="8">
      <c r="A8" s="840" t="n"/>
      <c r="B8" s="833" t="inlineStr">
        <is>
          <t>Roteador tp link</t>
        </is>
      </c>
      <c r="C8" s="842" t="n"/>
      <c r="D8" s="830" t="n">
        <v>3</v>
      </c>
      <c r="E8" s="832" t="n">
        <v>200</v>
      </c>
      <c r="F8" s="1600">
        <f>D8*E8</f>
        <v/>
      </c>
    </row>
    <row r="9">
      <c r="A9" s="840" t="n"/>
      <c r="B9" s="833" t="inlineStr">
        <is>
          <t>Cartão de memora Sandisk</t>
        </is>
      </c>
      <c r="C9" s="842" t="n"/>
      <c r="D9" s="830" t="n">
        <v>8</v>
      </c>
      <c r="E9" s="832" t="n">
        <v>80</v>
      </c>
      <c r="F9" s="1600">
        <f>D9*E9</f>
        <v/>
      </c>
    </row>
    <row r="10">
      <c r="A10" s="840" t="n"/>
      <c r="B10" s="831" t="inlineStr">
        <is>
          <t>Câmera Yoosee IP</t>
        </is>
      </c>
      <c r="C10" s="842" t="n"/>
      <c r="D10" s="830" t="n">
        <v>8</v>
      </c>
      <c r="E10" s="832" t="n">
        <v>180</v>
      </c>
      <c r="F10" s="1600">
        <f>D10*E10</f>
        <v/>
      </c>
    </row>
    <row r="11">
      <c r="A11" s="840" t="n"/>
      <c r="B11" s="841" t="n"/>
      <c r="C11" s="842" t="n"/>
      <c r="D11" s="651" t="n"/>
      <c r="E11" s="649" t="n"/>
      <c r="F11" s="1600">
        <f>D11*E11</f>
        <v/>
      </c>
    </row>
    <row r="12">
      <c r="A12" s="1209" t="n"/>
      <c r="B12" s="1209" t="n"/>
      <c r="C12" s="1209" t="n"/>
      <c r="D12" s="652" t="n"/>
      <c r="E12" s="653" t="inlineStr">
        <is>
          <t>Total</t>
        </is>
      </c>
      <c r="F12" s="1601">
        <f>SUM(F3:F11)</f>
        <v/>
      </c>
    </row>
    <row r="13">
      <c r="A13" s="626" t="n"/>
      <c r="B13" s="626" t="n"/>
      <c r="C13" s="626" t="n"/>
      <c r="D13" s="626" t="n"/>
      <c r="E13" s="626" t="n"/>
      <c r="F13" s="626" t="n"/>
    </row>
    <row r="14" ht="18" customHeight="1" s="1173">
      <c r="A14" s="1201" t="inlineStr">
        <is>
          <t>Solinftec</t>
        </is>
      </c>
      <c r="B14" s="1201" t="inlineStr">
        <is>
          <t>Solinftec</t>
        </is>
      </c>
      <c r="C14" s="1201" t="inlineStr">
        <is>
          <t>Solinftec</t>
        </is>
      </c>
      <c r="D14" s="1201" t="inlineStr">
        <is>
          <t>Solinftec</t>
        </is>
      </c>
      <c r="E14" s="1201" t="inlineStr">
        <is>
          <t>Solinftec</t>
        </is>
      </c>
      <c r="F14" s="626" t="n"/>
    </row>
    <row r="15" ht="15.75" customHeight="1" s="1173">
      <c r="A15" s="1602" t="inlineStr">
        <is>
          <t>Agroinvest</t>
        </is>
      </c>
      <c r="B15" s="1602" t="inlineStr">
        <is>
          <t>Agroinvest</t>
        </is>
      </c>
      <c r="C15" s="1602" t="inlineStr">
        <is>
          <t>Agroinvest</t>
        </is>
      </c>
      <c r="D15" s="1602" t="inlineStr">
        <is>
          <t>Agroinvest</t>
        </is>
      </c>
      <c r="E15" s="1602" t="inlineStr">
        <is>
          <t>Agroinvest</t>
        </is>
      </c>
      <c r="F15" s="626" t="n"/>
    </row>
    <row r="16">
      <c r="A16" s="655" t="inlineStr">
        <is>
          <t>Itens</t>
        </is>
      </c>
      <c r="B16" s="655" t="inlineStr">
        <is>
          <t>Descrição</t>
        </is>
      </c>
      <c r="C16" s="655" t="inlineStr">
        <is>
          <t>Qtd</t>
        </is>
      </c>
      <c r="D16" s="655" t="inlineStr">
        <is>
          <t>Valor unit</t>
        </is>
      </c>
      <c r="E16" s="655" t="inlineStr">
        <is>
          <t>Valor</t>
        </is>
      </c>
      <c r="F16" s="626" t="n"/>
    </row>
    <row r="17">
      <c r="A17" s="834" t="n">
        <v>1</v>
      </c>
      <c r="B17" s="120" t="inlineStr">
        <is>
          <t>RK330 01A Atmospheric Temperature e Humidity Sensor</t>
        </is>
      </c>
      <c r="C17" s="835" t="n">
        <v>1</v>
      </c>
      <c r="D17" s="836" t="n">
        <v>800</v>
      </c>
      <c r="E17" s="836">
        <f>D17*C17</f>
        <v/>
      </c>
      <c r="F17" s="626" t="n"/>
    </row>
    <row r="18">
      <c r="A18" s="834">
        <f>SUM(A17+1)</f>
        <v/>
      </c>
      <c r="B18" s="122" t="inlineStr">
        <is>
          <t>Ch Power Plug Jd</t>
        </is>
      </c>
      <c r="C18" s="835" t="n">
        <v>1</v>
      </c>
      <c r="D18" s="836" t="n">
        <v>200</v>
      </c>
      <c r="E18" s="836">
        <f>D18*C18</f>
        <v/>
      </c>
      <c r="F18" s="626" t="n"/>
    </row>
    <row r="19">
      <c r="A19" s="834">
        <f>SUM(A18+1)</f>
        <v/>
      </c>
      <c r="B19" s="120" t="inlineStr">
        <is>
          <t>Bateria Selada 12v 7ah ELGIN</t>
        </is>
      </c>
      <c r="C19" s="835" t="n">
        <v>1</v>
      </c>
      <c r="D19" s="836" t="n">
        <v>120</v>
      </c>
      <c r="E19" s="836">
        <f>D19*C19</f>
        <v/>
      </c>
      <c r="F19" s="626" t="n"/>
    </row>
    <row r="20">
      <c r="A20" s="834">
        <f>SUM(A19+1)</f>
        <v/>
      </c>
      <c r="B20" s="120" t="inlineStr">
        <is>
          <t>Can Reader Cable</t>
        </is>
      </c>
      <c r="C20" s="835" t="n">
        <v>1</v>
      </c>
      <c r="D20" s="836" t="n">
        <v>320</v>
      </c>
      <c r="E20" s="836">
        <f>D20*C20</f>
        <v/>
      </c>
      <c r="F20" s="626" t="n"/>
    </row>
    <row r="21">
      <c r="A21" s="834">
        <f>SUM(A20+1)</f>
        <v/>
      </c>
      <c r="B21" s="120" t="inlineStr">
        <is>
          <t>Radio 433 V2 Weather Station</t>
        </is>
      </c>
      <c r="C21" s="837" t="n">
        <v>1</v>
      </c>
      <c r="D21" s="836" t="n">
        <v>100</v>
      </c>
      <c r="E21" s="836">
        <f>D21*C21</f>
        <v/>
      </c>
      <c r="F21" s="626" t="n"/>
    </row>
    <row r="22">
      <c r="A22" s="834">
        <f>SUM(A21+1)</f>
        <v/>
      </c>
      <c r="B22" s="120" t="inlineStr">
        <is>
          <t>Antena Zgbe Mu 35Di 900 960 Mhz Sma 1Fc</t>
        </is>
      </c>
      <c r="C22" s="835" t="n">
        <v>1</v>
      </c>
      <c r="D22" s="836" t="n">
        <v>230</v>
      </c>
      <c r="E22" s="836">
        <f>D22*C22</f>
        <v/>
      </c>
      <c r="F22" s="626" t="n"/>
    </row>
    <row r="23">
      <c r="A23" s="834">
        <f>SUM(A22+1)</f>
        <v/>
      </c>
      <c r="B23" s="120" t="inlineStr">
        <is>
          <t>Chicote Mag X Colheita Can Ver D</t>
        </is>
      </c>
      <c r="C23" s="837" t="n">
        <v>1</v>
      </c>
      <c r="D23" s="838" t="n">
        <v>305</v>
      </c>
      <c r="E23" s="838">
        <f>D23*C23</f>
        <v/>
      </c>
      <c r="F23" s="626" t="n"/>
    </row>
    <row r="24">
      <c r="A24" s="834">
        <f>SUM(A23+1)</f>
        <v/>
      </c>
      <c r="B24" s="120" t="inlineStr">
        <is>
          <t>Rain Colector Davis 6463M</t>
        </is>
      </c>
      <c r="C24" s="837" t="n">
        <v>3</v>
      </c>
      <c r="D24" s="838" t="n">
        <v>1200</v>
      </c>
      <c r="E24" s="838">
        <f>D24*C24</f>
        <v/>
      </c>
      <c r="F24" s="626" t="n"/>
    </row>
    <row r="25">
      <c r="A25" s="834">
        <f>SUM(A24+1)</f>
        <v/>
      </c>
      <c r="B25" s="120" t="inlineStr">
        <is>
          <t>Conjunto de Fixação com Base Adesiva</t>
        </is>
      </c>
      <c r="C25" s="835" t="n">
        <v>1</v>
      </c>
      <c r="D25" s="836" t="n">
        <v>390</v>
      </c>
      <c r="E25" s="838">
        <f>D25*C25</f>
        <v/>
      </c>
      <c r="F25" s="626" t="n"/>
    </row>
    <row r="26">
      <c r="A26" s="834">
        <f>SUM(A25+1)</f>
        <v/>
      </c>
      <c r="B26" s="120" t="inlineStr">
        <is>
          <t>Antena Gps At 65 V2 Sma 5M C Cabo 5 Mts</t>
        </is>
      </c>
      <c r="C26" s="839" t="n">
        <v>1</v>
      </c>
      <c r="D26" s="836" t="n">
        <v>120</v>
      </c>
      <c r="E26" s="838">
        <f>D26*C26</f>
        <v/>
      </c>
      <c r="F26" s="626" t="n"/>
    </row>
    <row r="27">
      <c r="A27" s="834">
        <f>SUM(A26+1)</f>
        <v/>
      </c>
      <c r="B27" s="120" t="inlineStr">
        <is>
          <t>RK120 01 Wind Speed e Direction Sensor</t>
        </is>
      </c>
      <c r="C27" s="835" t="n">
        <v>1</v>
      </c>
      <c r="D27" s="836" t="n">
        <v>2600</v>
      </c>
      <c r="E27" s="838">
        <f>D27*C27</f>
        <v/>
      </c>
      <c r="F27" s="626" t="n"/>
    </row>
    <row r="28">
      <c r="A28" s="834">
        <f>SUM(A27+1)</f>
        <v/>
      </c>
      <c r="B28" s="120" t="inlineStr">
        <is>
          <t>Placa Nws Pcb Smt Nwts Enig Vrd 4L 1 6MM 1P R2</t>
        </is>
      </c>
      <c r="C28" s="835" t="n">
        <v>1</v>
      </c>
      <c r="D28" s="836" t="n">
        <v>1000</v>
      </c>
      <c r="E28" s="838">
        <f>D28*C28</f>
        <v/>
      </c>
      <c r="F28" s="626" t="n"/>
    </row>
    <row r="29">
      <c r="A29" s="834">
        <f>SUM(A28+1)</f>
        <v/>
      </c>
      <c r="B29" s="120" t="inlineStr">
        <is>
          <t>Caixa Weather Station 2 0 PBL280</t>
        </is>
      </c>
      <c r="C29" s="835" t="n">
        <v>2</v>
      </c>
      <c r="D29" s="836" t="n">
        <v>160</v>
      </c>
      <c r="E29" s="838">
        <f>D29*C29</f>
        <v/>
      </c>
    </row>
    <row r="30">
      <c r="E30" s="530">
        <f>SUM(E17:E29)*0.3</f>
        <v/>
      </c>
    </row>
  </sheetData>
  <pageMargins left="0.511811024" right="0.511811024" top="0.787401575" bottom="0.787401575" header="0.31496062" footer="0.31496062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44"/>
  <sheetViews>
    <sheetView topLeftCell="C1" workbookViewId="0">
      <selection activeCell="M21" sqref="M21"/>
    </sheetView>
  </sheetViews>
  <sheetFormatPr baseColWidth="8" defaultRowHeight="15"/>
  <cols>
    <col width="41.85546875" customWidth="1" style="1173" min="1" max="1"/>
    <col width="12.140625" bestFit="1" customWidth="1" style="1173" min="2" max="2"/>
    <col width="13.140625" bestFit="1" customWidth="1" style="1173" min="3" max="3"/>
    <col width="37.5703125" bestFit="1" customWidth="1" style="1173" min="5" max="5"/>
    <col width="11.5703125" bestFit="1" customWidth="1" style="1173" min="6" max="6"/>
    <col width="13.28515625" bestFit="1" customWidth="1" style="1173" min="7" max="7"/>
    <col width="13.85546875" bestFit="1" customWidth="1" style="1173" min="8" max="8"/>
    <col width="15" bestFit="1" customWidth="1" style="1173" min="9" max="9"/>
    <col width="14.7109375" customWidth="1" style="1173" min="11" max="11"/>
    <col width="15.85546875" bestFit="1" customWidth="1" style="1173" min="12" max="12"/>
    <col width="18.28515625" bestFit="1" customWidth="1" style="1173" min="13" max="13"/>
    <col width="16" bestFit="1" customWidth="1" style="1173" min="14" max="14"/>
    <col width="11.7109375" bestFit="1" customWidth="1" style="1173" min="15" max="15"/>
    <col width="12.140625" bestFit="1" customWidth="1" style="1173" min="16" max="16"/>
    <col width="49.140625" bestFit="1" customWidth="1" style="1173" min="18" max="18"/>
    <col width="12.7109375" bestFit="1" customWidth="1" style="1173" min="19" max="19"/>
  </cols>
  <sheetData>
    <row r="1" ht="15.75" customHeight="1" s="1173" thickBot="1">
      <c r="A1" s="1220" t="inlineStr">
        <is>
          <t>Lembrancinhas e Cestas</t>
        </is>
      </c>
      <c r="B1" s="1220" t="inlineStr">
        <is>
          <t>Lembrancinhas e Cestas</t>
        </is>
      </c>
      <c r="C1" s="1220" t="inlineStr">
        <is>
          <t>Lembrancinhas e Cestas</t>
        </is>
      </c>
      <c r="E1" s="868" t="inlineStr">
        <is>
          <t>Variados</t>
        </is>
      </c>
      <c r="F1" s="868" t="inlineStr">
        <is>
          <t>Quantidade</t>
        </is>
      </c>
      <c r="G1" s="869" t="inlineStr">
        <is>
          <t>Valor</t>
        </is>
      </c>
      <c r="H1" s="870" t="inlineStr">
        <is>
          <t>Total Mensal</t>
        </is>
      </c>
      <c r="I1" s="870" t="inlineStr">
        <is>
          <t>Total Anual</t>
        </is>
      </c>
      <c r="J1" s="419" t="n"/>
      <c r="K1" s="889" t="inlineStr">
        <is>
          <t>Quantidade</t>
        </is>
      </c>
      <c r="L1" s="889" t="inlineStr">
        <is>
          <t>Função</t>
        </is>
      </c>
      <c r="M1" s="889" t="inlineStr">
        <is>
          <t>exame admissional</t>
        </is>
      </c>
      <c r="N1" s="889" t="inlineStr">
        <is>
          <t>exame periodico</t>
        </is>
      </c>
      <c r="O1" s="889" t="inlineStr">
        <is>
          <t>demissional</t>
        </is>
      </c>
      <c r="P1" s="890" t="inlineStr">
        <is>
          <t>Total</t>
        </is>
      </c>
    </row>
    <row r="2" ht="19.5" customHeight="1" s="1173" thickBot="1">
      <c r="A2" s="1015" t="inlineStr">
        <is>
          <t>Cesta de natal</t>
        </is>
      </c>
      <c r="B2" s="1603" t="n">
        <v>130</v>
      </c>
      <c r="C2" s="1603">
        <f>B2*13</f>
        <v/>
      </c>
      <c r="D2" t="inlineStr">
        <is>
          <t>OK</t>
        </is>
      </c>
      <c r="E2" s="872" t="n"/>
      <c r="F2" s="872" t="n"/>
      <c r="G2" s="1604" t="n"/>
      <c r="H2" s="1605" t="n"/>
      <c r="I2" s="1605" t="n"/>
      <c r="K2" s="891" t="n">
        <v>1</v>
      </c>
      <c r="L2" s="892" t="inlineStr">
        <is>
          <t>AUX. ADM</t>
        </is>
      </c>
      <c r="M2" s="120" t="n"/>
      <c r="N2" s="1518">
        <f>25</f>
        <v/>
      </c>
      <c r="O2" s="120" t="n"/>
      <c r="P2" s="1606">
        <f>M2+N2+O2</f>
        <v/>
      </c>
      <c r="R2" s="894" t="inlineStr">
        <is>
          <t>EXAMES - TABELA 2</t>
        </is>
      </c>
      <c r="S2" s="895" t="inlineStr">
        <is>
          <t>VALOR</t>
        </is>
      </c>
    </row>
    <row r="3" ht="18.75" customHeight="1" s="1173">
      <c r="A3" s="1015" t="inlineStr">
        <is>
          <t>Lembrança Páscoa</t>
        </is>
      </c>
      <c r="B3" s="1603" t="n">
        <v>15</v>
      </c>
      <c r="C3" s="1603">
        <f>B3*17</f>
        <v/>
      </c>
      <c r="D3" t="inlineStr">
        <is>
          <t>OK</t>
        </is>
      </c>
      <c r="E3" s="1017" t="inlineStr">
        <is>
          <t>AMB (segurança) Consultoria e treinamento</t>
        </is>
      </c>
      <c r="F3" s="1017" t="n"/>
      <c r="G3" s="1607" t="n">
        <v>2150</v>
      </c>
      <c r="H3" s="1608">
        <f>G3</f>
        <v/>
      </c>
      <c r="I3" s="1608">
        <f>H3*12</f>
        <v/>
      </c>
      <c r="J3" t="inlineStr">
        <is>
          <t>ok</t>
        </is>
      </c>
      <c r="K3" s="891" t="n">
        <v>1</v>
      </c>
      <c r="L3" s="896" t="inlineStr">
        <is>
          <t>COZINHEIRA</t>
        </is>
      </c>
      <c r="M3" s="1609" t="n"/>
      <c r="N3" s="1518" t="n">
        <v>60</v>
      </c>
      <c r="O3" s="120" t="n"/>
      <c r="P3" s="1606">
        <f>M3+N3+O3</f>
        <v/>
      </c>
      <c r="R3" s="898" t="inlineStr">
        <is>
          <t>ASO</t>
        </is>
      </c>
      <c r="S3" s="1610" t="n">
        <v>25</v>
      </c>
    </row>
    <row r="4" ht="18.75" customHeight="1" s="1173">
      <c r="A4" s="1015" t="inlineStr">
        <is>
          <t>Lembrança dia das mães</t>
        </is>
      </c>
      <c r="B4" s="1603" t="n">
        <v>50</v>
      </c>
      <c r="C4" s="1603">
        <f>B4*2</f>
        <v/>
      </c>
      <c r="D4" t="inlineStr">
        <is>
          <t>OK</t>
        </is>
      </c>
      <c r="E4" s="1017" t="inlineStr">
        <is>
          <t>SWILE</t>
        </is>
      </c>
      <c r="F4" s="1017" t="n">
        <v>11</v>
      </c>
      <c r="G4" s="1607" t="n">
        <v>250</v>
      </c>
      <c r="H4" s="1608">
        <f>F4*G4</f>
        <v/>
      </c>
      <c r="I4" s="1608">
        <f>H4*12</f>
        <v/>
      </c>
      <c r="J4" t="inlineStr">
        <is>
          <t>ok</t>
        </is>
      </c>
      <c r="K4" s="891" t="n">
        <v>1</v>
      </c>
      <c r="L4" s="896" t="inlineStr">
        <is>
          <t>AJUDANTE</t>
        </is>
      </c>
      <c r="M4" s="1609" t="n"/>
      <c r="N4" s="1518" t="n">
        <v>75</v>
      </c>
      <c r="O4" s="120" t="n"/>
      <c r="P4" s="1606">
        <f>M4+N4+O4</f>
        <v/>
      </c>
      <c r="R4" s="900" t="inlineStr">
        <is>
          <t xml:space="preserve">ESPIROMETRIA </t>
        </is>
      </c>
      <c r="S4" s="1611" t="n">
        <v>25</v>
      </c>
    </row>
    <row r="5" ht="18.75" customHeight="1" s="1173">
      <c r="A5" s="1015" t="inlineStr">
        <is>
          <t>Lembrança dia dos pais</t>
        </is>
      </c>
      <c r="B5" s="1603" t="n">
        <v>45</v>
      </c>
      <c r="C5" s="1603">
        <f>B5*5</f>
        <v/>
      </c>
      <c r="D5" t="inlineStr">
        <is>
          <t>OK</t>
        </is>
      </c>
      <c r="E5" s="872" t="inlineStr">
        <is>
          <t>SWILE TEMPORÁRIOS</t>
        </is>
      </c>
      <c r="F5" s="872" t="n">
        <v>2</v>
      </c>
      <c r="G5" s="1604" t="n">
        <v>250</v>
      </c>
      <c r="H5" s="1605">
        <f>G5*F5</f>
        <v/>
      </c>
      <c r="I5" s="1605">
        <f>H5*3</f>
        <v/>
      </c>
      <c r="J5" t="inlineStr">
        <is>
          <t>ok</t>
        </is>
      </c>
      <c r="K5" s="891" t="n">
        <v>1</v>
      </c>
      <c r="L5" s="896" t="inlineStr">
        <is>
          <t>OPERADOR DE MAQUINAS</t>
        </is>
      </c>
      <c r="M5" s="1609" t="n"/>
      <c r="N5" s="1518" t="n">
        <v>110</v>
      </c>
      <c r="O5" s="120" t="n"/>
      <c r="P5" s="1606">
        <f>M5+N5+O5</f>
        <v/>
      </c>
      <c r="R5" s="900" t="inlineStr">
        <is>
          <t>AUDIO (audiometria)</t>
        </is>
      </c>
      <c r="S5" s="1611" t="n">
        <v>25</v>
      </c>
    </row>
    <row r="6" ht="18.75" customHeight="1" s="1173">
      <c r="A6" s="1017" t="inlineStr">
        <is>
          <t>Brinde dia da mulher</t>
        </is>
      </c>
      <c r="B6" s="1612" t="n">
        <v>30</v>
      </c>
      <c r="C6" s="1612">
        <f>B6*2</f>
        <v/>
      </c>
      <c r="D6" t="inlineStr">
        <is>
          <t>OK</t>
        </is>
      </c>
      <c r="E6" s="872" t="n"/>
      <c r="F6" s="872" t="n"/>
      <c r="G6" s="1604" t="n"/>
      <c r="H6" s="1605" t="n"/>
      <c r="I6" s="1605" t="n"/>
      <c r="K6" s="891" t="n">
        <v>1</v>
      </c>
      <c r="L6" s="896" t="inlineStr">
        <is>
          <t>OPERADOR DE SILO</t>
        </is>
      </c>
      <c r="M6" s="1609" t="n"/>
      <c r="N6" s="1518" t="n">
        <v>190</v>
      </c>
      <c r="O6" s="120" t="n"/>
      <c r="P6" s="1606">
        <f>M6+N6+O6</f>
        <v/>
      </c>
      <c r="R6" s="900" t="inlineStr">
        <is>
          <t xml:space="preserve">ACUIDADE VISUAL </t>
        </is>
      </c>
      <c r="S6" s="1611" t="n">
        <v>25</v>
      </c>
    </row>
    <row r="7" ht="18.75" customHeight="1" s="1173">
      <c r="A7" s="1017" t="inlineStr">
        <is>
          <t>Brinde anos de empresa</t>
        </is>
      </c>
      <c r="B7" s="1612" t="n">
        <v>50</v>
      </c>
      <c r="C7" s="1612">
        <f>B7*12</f>
        <v/>
      </c>
      <c r="D7" t="inlineStr">
        <is>
          <t>OK</t>
        </is>
      </c>
      <c r="E7" s="1613" t="inlineStr">
        <is>
          <t>TOTAIS</t>
        </is>
      </c>
      <c r="F7" s="1613" t="inlineStr">
        <is>
          <t>TOTAIS</t>
        </is>
      </c>
      <c r="G7" s="1613" t="inlineStr">
        <is>
          <t>TOTAIS</t>
        </is>
      </c>
      <c r="H7" s="1614">
        <f>SUM(H2:H6)</f>
        <v/>
      </c>
      <c r="I7" s="1614">
        <f>SUM(I2:I6)</f>
        <v/>
      </c>
      <c r="K7" s="891" t="n">
        <v>1</v>
      </c>
      <c r="L7" s="896" t="inlineStr">
        <is>
          <t>AJUDANTE</t>
        </is>
      </c>
      <c r="M7" s="1609" t="n"/>
      <c r="N7" s="1518" t="n">
        <v>75</v>
      </c>
      <c r="O7" s="120" t="n"/>
      <c r="P7" s="1606">
        <f>M7+N7+O7</f>
        <v/>
      </c>
      <c r="R7" s="900" t="inlineStr">
        <is>
          <t>ECG - Eletrocardiograma</t>
        </is>
      </c>
      <c r="S7" s="1611" t="n">
        <v>50</v>
      </c>
    </row>
    <row r="8" ht="18.75" customHeight="1" s="1173">
      <c r="A8" s="1015" t="inlineStr">
        <is>
          <t>Lembrança colaborador novo</t>
        </is>
      </c>
      <c r="B8" s="1612" t="n">
        <v>10</v>
      </c>
      <c r="C8" s="1612">
        <f>B8*6</f>
        <v/>
      </c>
      <c r="D8" t="inlineStr">
        <is>
          <t>ok</t>
        </is>
      </c>
      <c r="E8" s="878" t="n"/>
      <c r="F8" s="878" t="n"/>
      <c r="G8" s="1615" t="n"/>
      <c r="H8" s="1616" t="n"/>
      <c r="K8" s="891" t="n">
        <v>1</v>
      </c>
      <c r="L8" s="896" t="inlineStr">
        <is>
          <t>GERENTE DE FAZENDA</t>
        </is>
      </c>
      <c r="M8" s="1609" t="n"/>
      <c r="N8" s="1518" t="n">
        <v>75</v>
      </c>
      <c r="O8" s="120" t="n"/>
      <c r="P8" s="1606">
        <f>M8+N8+O8</f>
        <v/>
      </c>
      <c r="R8" s="900" t="inlineStr">
        <is>
          <t>EEG - Eletroencefalografia</t>
        </is>
      </c>
      <c r="S8" s="1611" t="n">
        <v>100</v>
      </c>
    </row>
    <row r="9" ht="15.75" customHeight="1" s="1173">
      <c r="A9" s="1015" t="inlineStr">
        <is>
          <t>Brinde colaborador destaque</t>
        </is>
      </c>
      <c r="B9" s="1612" t="n">
        <v>30</v>
      </c>
      <c r="C9" s="1612">
        <f>B9*4</f>
        <v/>
      </c>
      <c r="E9" s="878" t="n"/>
      <c r="F9" s="878" t="n"/>
      <c r="G9" s="1615" t="n"/>
      <c r="H9" s="1616" t="n"/>
      <c r="K9" s="891" t="n">
        <v>1</v>
      </c>
      <c r="L9" s="896" t="inlineStr">
        <is>
          <t>COORDENADOR DE CAMPO</t>
        </is>
      </c>
      <c r="M9" s="120" t="n"/>
      <c r="N9" s="1518" t="n">
        <v>68</v>
      </c>
      <c r="O9" s="120" t="n"/>
      <c r="P9" s="1606">
        <f>M9+N9+O9</f>
        <v/>
      </c>
      <c r="R9" s="124" t="n"/>
      <c r="S9" s="120" t="n"/>
    </row>
    <row r="10" ht="18.75" customHeight="1" s="1173">
      <c r="A10" s="1015" t="inlineStr">
        <is>
          <t>Boné personalizado</t>
        </is>
      </c>
      <c r="B10" s="1612" t="n">
        <v>25</v>
      </c>
      <c r="C10" s="1612">
        <f>B10*22</f>
        <v/>
      </c>
      <c r="E10" s="878" t="n"/>
      <c r="F10" s="878" t="n"/>
      <c r="G10" s="1615" t="n"/>
      <c r="H10" s="1616" t="n"/>
      <c r="K10" s="891" t="n">
        <v>1</v>
      </c>
      <c r="L10" s="902" t="inlineStr">
        <is>
          <t>AJUDANTE</t>
        </is>
      </c>
      <c r="M10" s="1609" t="n"/>
      <c r="N10" s="1518" t="n">
        <v>75</v>
      </c>
      <c r="O10" s="120" t="n"/>
      <c r="P10" s="1606">
        <f>M10+N10+O10</f>
        <v/>
      </c>
      <c r="R10" s="124" t="inlineStr">
        <is>
          <t>Glicemia : 5.00</t>
        </is>
      </c>
      <c r="S10" s="1617" t="n">
        <v>5</v>
      </c>
    </row>
    <row r="11" ht="18.75" customHeight="1" s="1173">
      <c r="A11" s="1221" t="inlineStr">
        <is>
          <t>TOTAL</t>
        </is>
      </c>
      <c r="B11" s="1221" t="inlineStr">
        <is>
          <t>TOTAL</t>
        </is>
      </c>
      <c r="C11" s="1597">
        <f>SUM(C2:C10)</f>
        <v/>
      </c>
      <c r="E11" s="878" t="n"/>
      <c r="F11" s="878" t="n"/>
      <c r="G11" s="1615" t="n"/>
      <c r="H11" s="1616" t="n"/>
      <c r="K11" s="1210" t="inlineStr">
        <is>
          <t xml:space="preserve">TOTAL </t>
        </is>
      </c>
      <c r="L11" s="1210" t="inlineStr">
        <is>
          <t xml:space="preserve">TOTAL </t>
        </is>
      </c>
      <c r="M11" s="1210" t="inlineStr">
        <is>
          <t xml:space="preserve">TOTAL </t>
        </is>
      </c>
      <c r="N11" s="1210" t="inlineStr">
        <is>
          <t xml:space="preserve">TOTAL </t>
        </is>
      </c>
      <c r="O11" s="1210" t="inlineStr">
        <is>
          <t xml:space="preserve">TOTAL </t>
        </is>
      </c>
      <c r="P11" s="1618">
        <f>SUM(P2:P10)</f>
        <v/>
      </c>
      <c r="R11" s="124" t="inlineStr">
        <is>
          <t>Parasitologico de fezes: 8.00</t>
        </is>
      </c>
      <c r="S11" s="1617" t="n">
        <v>8</v>
      </c>
    </row>
    <row r="12" ht="18.75" customHeight="1" s="1173">
      <c r="A12" s="1220" t="inlineStr">
        <is>
          <t xml:space="preserve">Confraternização Final do ano </t>
        </is>
      </c>
      <c r="B12" s="1220" t="inlineStr">
        <is>
          <t xml:space="preserve">Confraternização Final do ano </t>
        </is>
      </c>
      <c r="C12" s="1220" t="inlineStr">
        <is>
          <t xml:space="preserve">Confraternização Final do ano </t>
        </is>
      </c>
      <c r="E12" s="878" t="n"/>
      <c r="F12" s="878" t="n"/>
      <c r="G12" s="1615" t="n"/>
      <c r="H12" s="1616" t="n"/>
      <c r="K12" s="1619" t="inlineStr">
        <is>
          <t>CONTRATAÇÕES</t>
        </is>
      </c>
      <c r="L12" s="1619" t="inlineStr">
        <is>
          <t>CONTRATAÇÕES</t>
        </is>
      </c>
      <c r="M12" s="1619" t="inlineStr">
        <is>
          <t>CONTRATAÇÕES</t>
        </is>
      </c>
      <c r="N12" s="1619" t="inlineStr">
        <is>
          <t>CONTRATAÇÕES</t>
        </is>
      </c>
      <c r="O12" s="1619" t="inlineStr">
        <is>
          <t>CONTRATAÇÕES</t>
        </is>
      </c>
      <c r="P12" s="1619" t="inlineStr">
        <is>
          <t>CONTRATAÇÕES</t>
        </is>
      </c>
      <c r="R12" s="124" t="inlineStr">
        <is>
          <t>Sumário de urina : 6.00</t>
        </is>
      </c>
      <c r="S12" s="1617" t="n">
        <v>6</v>
      </c>
    </row>
    <row r="13" ht="18.75" customHeight="1" s="1173">
      <c r="A13" s="1015" t="inlineStr">
        <is>
          <t>Carnes + comida + sobremesa</t>
        </is>
      </c>
      <c r="B13" s="1603" t="n"/>
      <c r="C13" s="1603">
        <f>85*24</f>
        <v/>
      </c>
      <c r="D13" t="inlineStr">
        <is>
          <t>ok</t>
        </is>
      </c>
      <c r="E13" s="878" t="n"/>
      <c r="F13" s="878" t="n"/>
      <c r="G13" s="1615" t="n"/>
      <c r="H13" s="1616" t="n"/>
      <c r="K13" s="891" t="n">
        <v>1</v>
      </c>
      <c r="L13" s="892" t="inlineStr">
        <is>
          <t>TÉCNICO AGRÍCOLA</t>
        </is>
      </c>
      <c r="M13" s="1590" t="n">
        <v>68</v>
      </c>
      <c r="N13" s="1590" t="n"/>
      <c r="O13" s="1590" t="n">
        <v>68</v>
      </c>
      <c r="P13" s="1590">
        <f>M13+N13+O13</f>
        <v/>
      </c>
      <c r="R13" s="124" t="inlineStr">
        <is>
          <t>Vdrl: 10.00</t>
        </is>
      </c>
      <c r="S13" s="1617" t="n">
        <v>10</v>
      </c>
    </row>
    <row r="14" ht="18.75" customHeight="1" s="1173">
      <c r="A14" s="1015" t="inlineStr">
        <is>
          <t>Bebidas</t>
        </is>
      </c>
      <c r="B14" s="1603" t="n"/>
      <c r="C14" s="1603" t="n">
        <v>1000</v>
      </c>
      <c r="D14" t="inlineStr">
        <is>
          <t>ok</t>
        </is>
      </c>
      <c r="E14" s="878" t="n"/>
      <c r="F14" s="878" t="n"/>
      <c r="G14" s="1615" t="n"/>
      <c r="H14" s="1616" t="n"/>
      <c r="K14" s="891" t="n">
        <v>1</v>
      </c>
      <c r="L14" s="892" t="inlineStr">
        <is>
          <t>OPERADOR DE MÁQUINAS</t>
        </is>
      </c>
      <c r="M14" s="1620" t="n">
        <v>108</v>
      </c>
      <c r="N14" s="1620" t="n"/>
      <c r="O14" s="1620" t="n">
        <v>108</v>
      </c>
      <c r="P14" s="1590">
        <f>M14+N14+O14</f>
        <v/>
      </c>
      <c r="R14" s="124" t="inlineStr">
        <is>
          <t>Hemograma : 8.00</t>
        </is>
      </c>
      <c r="S14" s="1617" t="n">
        <v>8</v>
      </c>
    </row>
    <row r="15" ht="18.75" customHeight="1" s="1173">
      <c r="A15" s="1015" t="inlineStr">
        <is>
          <t>Garçom</t>
        </is>
      </c>
      <c r="B15" s="1603" t="n"/>
      <c r="C15" s="1603" t="n">
        <v>200</v>
      </c>
      <c r="D15" t="inlineStr">
        <is>
          <t>OK</t>
        </is>
      </c>
      <c r="E15" s="878" t="n"/>
      <c r="F15" s="878" t="n"/>
      <c r="G15" s="1615" t="n"/>
      <c r="H15" s="1616" t="n"/>
      <c r="K15" s="891" t="n">
        <v>1</v>
      </c>
      <c r="L15" s="892" t="inlineStr">
        <is>
          <t>MOTORISTA</t>
        </is>
      </c>
      <c r="M15" s="1590" t="n">
        <v>262</v>
      </c>
      <c r="N15" s="1590" t="n"/>
      <c r="O15" s="1590" t="n">
        <v>262</v>
      </c>
      <c r="P15" s="1590">
        <f>M15+N15+O15</f>
        <v/>
      </c>
      <c r="R15" s="124" t="inlineStr">
        <is>
          <t>Colinesterase: 10</t>
        </is>
      </c>
      <c r="S15" s="1617" t="n">
        <v>10</v>
      </c>
    </row>
    <row r="16" ht="18.75" customHeight="1" s="1173">
      <c r="A16" s="124" t="inlineStr">
        <is>
          <t>Prêmios</t>
        </is>
      </c>
      <c r="B16" s="1590" t="n"/>
      <c r="C16" s="1590" t="n">
        <v>4000</v>
      </c>
      <c r="E16" s="878" t="n"/>
      <c r="F16" s="878" t="n"/>
      <c r="G16" s="1615" t="n"/>
      <c r="H16" s="1616" t="n"/>
      <c r="K16" s="891" t="n">
        <v>1</v>
      </c>
      <c r="L16" s="892" t="inlineStr">
        <is>
          <t>AJUDANTE</t>
        </is>
      </c>
      <c r="M16" s="1590" t="n">
        <v>75</v>
      </c>
      <c r="N16" s="1590" t="n"/>
      <c r="O16" s="1590" t="n">
        <v>75</v>
      </c>
      <c r="P16" s="1590">
        <f>M16+N16+O16</f>
        <v/>
      </c>
      <c r="R16" s="120" t="inlineStr">
        <is>
          <t>TGO</t>
        </is>
      </c>
      <c r="S16" s="1617" t="n">
        <v>7.5</v>
      </c>
    </row>
    <row r="17" ht="18.75" customHeight="1" s="1173">
      <c r="A17" s="1015" t="inlineStr">
        <is>
          <t>Aluguel (pesque pague)</t>
        </is>
      </c>
      <c r="B17" s="1603" t="n"/>
      <c r="C17" s="1612" t="n">
        <v>1666.66</v>
      </c>
      <c r="E17" s="878" t="n"/>
      <c r="F17" s="878" t="n"/>
      <c r="G17" s="1615" t="n"/>
      <c r="H17" s="1616" t="n"/>
      <c r="K17" s="891" t="n">
        <v>1</v>
      </c>
      <c r="L17" s="892" t="inlineStr">
        <is>
          <t>AUX. ADM</t>
        </is>
      </c>
      <c r="M17" s="1590" t="n">
        <v>25</v>
      </c>
      <c r="N17" s="1590" t="n"/>
      <c r="O17" s="1590" t="n">
        <v>25</v>
      </c>
      <c r="P17" s="1590">
        <f>M17+N17+O17</f>
        <v/>
      </c>
      <c r="R17" s="120" t="inlineStr">
        <is>
          <t>TGP</t>
        </is>
      </c>
      <c r="S17" s="1617" t="n">
        <v>7.5</v>
      </c>
    </row>
    <row r="18" ht="18.75" customHeight="1" s="1173">
      <c r="A18" s="124" t="inlineStr">
        <is>
          <t>Banda</t>
        </is>
      </c>
      <c r="B18" s="1590" t="n"/>
      <c r="C18" s="1620" t="n">
        <v>700</v>
      </c>
      <c r="E18" s="878" t="n"/>
      <c r="F18" s="878" t="n"/>
      <c r="G18" s="1615" t="n"/>
      <c r="H18" s="1616" t="n"/>
      <c r="K18" s="891" t="n">
        <v>1</v>
      </c>
      <c r="L18" s="531" t="inlineStr">
        <is>
          <t>GERENTE DE PRODUÇÃO E OPERAÇÕES AGROPECUÁR</t>
        </is>
      </c>
      <c r="M18" s="1518" t="n">
        <v>75</v>
      </c>
      <c r="N18" s="1518" t="n"/>
      <c r="O18" s="1518" t="n">
        <v>75</v>
      </c>
      <c r="P18" s="1590">
        <f>M18+N18+O18</f>
        <v/>
      </c>
      <c r="R18" s="120" t="inlineStr">
        <is>
          <t>TOXICOLOGICO</t>
        </is>
      </c>
      <c r="S18" s="1617" t="n">
        <v>187</v>
      </c>
    </row>
    <row r="19" ht="18.75" customHeight="1" s="1173">
      <c r="A19" s="1015" t="inlineStr">
        <is>
          <t xml:space="preserve">Caneca personalizada </t>
        </is>
      </c>
      <c r="B19" s="1603" t="n"/>
      <c r="C19" s="1612" t="n">
        <v>189.75</v>
      </c>
      <c r="D19" t="inlineStr">
        <is>
          <t>ok</t>
        </is>
      </c>
      <c r="E19" s="878" t="n"/>
      <c r="F19" s="878" t="n"/>
      <c r="G19" s="1615" t="n"/>
      <c r="H19" s="1616" t="n"/>
      <c r="K19" s="1210" t="inlineStr">
        <is>
          <t xml:space="preserve">TOTAL </t>
        </is>
      </c>
      <c r="L19" s="1210" t="inlineStr">
        <is>
          <t xml:space="preserve">TOTAL </t>
        </is>
      </c>
      <c r="M19" s="1210" t="inlineStr">
        <is>
          <t xml:space="preserve">TOTAL </t>
        </is>
      </c>
      <c r="N19" s="1210" t="inlineStr">
        <is>
          <t xml:space="preserve">TOTAL </t>
        </is>
      </c>
      <c r="O19" s="1210" t="inlineStr">
        <is>
          <t xml:space="preserve">TOTAL </t>
        </is>
      </c>
      <c r="P19" s="1621">
        <f>SUM(P13:P18)</f>
        <v/>
      </c>
      <c r="R19" s="120" t="inlineStr">
        <is>
          <t>Cultura da fezes</t>
        </is>
      </c>
      <c r="S19" s="1617" t="n">
        <v>20</v>
      </c>
    </row>
    <row r="20" ht="18.75" customHeight="1" s="1173">
      <c r="A20" s="1015" t="inlineStr">
        <is>
          <t>Van transporte</t>
        </is>
      </c>
      <c r="B20" s="1603" t="n"/>
      <c r="C20" s="1612" t="n">
        <v>1800</v>
      </c>
      <c r="D20" t="inlineStr">
        <is>
          <t>ok</t>
        </is>
      </c>
      <c r="E20" s="878" t="n"/>
      <c r="F20" s="878" t="n"/>
      <c r="G20" s="1615" t="n"/>
      <c r="H20" s="1616" t="n"/>
      <c r="K20" s="1210" t="n"/>
      <c r="L20" s="1210" t="n"/>
      <c r="M20" s="1622">
        <f>SUM(M13:M18)</f>
        <v/>
      </c>
      <c r="N20" s="1210" t="n"/>
      <c r="O20" s="1622">
        <f>SUM(O13:O18)</f>
        <v/>
      </c>
      <c r="P20" s="1621" t="n"/>
      <c r="R20" s="120" t="n"/>
      <c r="S20" s="1617" t="n"/>
    </row>
    <row r="21" ht="18.75" customHeight="1" s="1173">
      <c r="A21" s="1015" t="inlineStr">
        <is>
          <t>Salgados</t>
        </is>
      </c>
      <c r="B21" s="1603" t="n"/>
      <c r="C21" s="1612" t="n">
        <v>180</v>
      </c>
      <c r="E21" s="878" t="n"/>
      <c r="F21" s="878" t="n"/>
      <c r="G21" s="1615" t="n"/>
      <c r="H21" s="1616" t="n"/>
      <c r="K21" s="1210" t="n"/>
      <c r="L21" s="1210" t="n"/>
      <c r="M21" s="1210" t="n"/>
      <c r="N21" s="1210" t="n"/>
      <c r="O21" s="1210" t="n"/>
      <c r="P21" s="1621" t="n"/>
      <c r="R21" s="120" t="n"/>
      <c r="S21" s="1617" t="n"/>
    </row>
    <row r="22" ht="18.75" customHeight="1" s="1173">
      <c r="A22" s="1221" t="inlineStr">
        <is>
          <t>TOTAL</t>
        </is>
      </c>
      <c r="B22" s="1221" t="inlineStr">
        <is>
          <t>TOTAL</t>
        </is>
      </c>
      <c r="C22" s="1597">
        <f>SUM(C13:C21)</f>
        <v/>
      </c>
      <c r="E22" s="878" t="n"/>
      <c r="F22" s="878" t="n"/>
      <c r="G22" s="1615" t="n"/>
      <c r="H22" s="1616" t="n"/>
      <c r="K22" s="1210" t="inlineStr">
        <is>
          <t>TOTAL GERAL</t>
        </is>
      </c>
      <c r="L22" s="1210" t="inlineStr">
        <is>
          <t>TOTAL GERAL</t>
        </is>
      </c>
      <c r="M22" s="1210" t="inlineStr">
        <is>
          <t>TOTAL GERAL</t>
        </is>
      </c>
      <c r="N22" s="1210" t="inlineStr">
        <is>
          <t>TOTAL GERAL</t>
        </is>
      </c>
      <c r="O22" s="1210" t="inlineStr">
        <is>
          <t>TOTAL GERAL</t>
        </is>
      </c>
      <c r="P22" s="1618">
        <f>P11+P19</f>
        <v/>
      </c>
      <c r="R22" s="120" t="inlineStr">
        <is>
          <t>Pesquisa de fungos nas unhas</t>
        </is>
      </c>
      <c r="S22" s="1617" t="n">
        <v>7</v>
      </c>
    </row>
    <row r="23" ht="18.75" customHeight="1" s="1173">
      <c r="A23" s="1220" t="inlineStr">
        <is>
          <t>Palestras/treinamentos/consultoria</t>
        </is>
      </c>
      <c r="B23" s="1220" t="inlineStr">
        <is>
          <t>Palestras/treinamentos/consultoria</t>
        </is>
      </c>
      <c r="C23" s="1220" t="inlineStr">
        <is>
          <t>Palestras/treinamentos/consultoria</t>
        </is>
      </c>
      <c r="E23" s="878" t="n"/>
      <c r="F23" s="878" t="n"/>
      <c r="G23" s="1615" t="n"/>
      <c r="H23" s="1616" t="n"/>
      <c r="R23" s="120" t="inlineStr">
        <is>
          <t>AVALIAÇÃO PSICOSSOCIAL</t>
        </is>
      </c>
      <c r="S23" s="1617" t="n">
        <v>110</v>
      </c>
    </row>
    <row r="24">
      <c r="A24" s="1015" t="inlineStr">
        <is>
          <t xml:space="preserve">Transporte confraternização </t>
        </is>
      </c>
      <c r="B24" s="1603" t="n"/>
      <c r="C24" s="1603" t="n">
        <v>1800</v>
      </c>
      <c r="D24" t="inlineStr">
        <is>
          <t>OK</t>
        </is>
      </c>
      <c r="E24" s="883" t="n"/>
      <c r="F24" s="883" t="n"/>
      <c r="G24" s="1623" t="n"/>
      <c r="H24" s="1624" t="n"/>
    </row>
    <row r="25">
      <c r="A25" s="1015" t="inlineStr">
        <is>
          <t>Palestra/treinamento avulsos</t>
        </is>
      </c>
      <c r="B25" s="1603" t="n"/>
      <c r="C25" s="1603" t="n">
        <v>10000</v>
      </c>
      <c r="D25" t="inlineStr">
        <is>
          <t>OK</t>
        </is>
      </c>
      <c r="E25" s="878" t="n"/>
      <c r="F25" s="878" t="n"/>
      <c r="G25" s="1615" t="n"/>
      <c r="H25" s="1616" t="n"/>
    </row>
    <row r="26">
      <c r="A26" s="179" t="inlineStr">
        <is>
          <t>Nutri + Treinamento</t>
        </is>
      </c>
      <c r="B26" s="1558" t="n"/>
      <c r="C26" s="1558">
        <f>600*5</f>
        <v/>
      </c>
      <c r="D26" t="inlineStr">
        <is>
          <t>iremos manter?</t>
        </is>
      </c>
      <c r="E26" s="878" t="n"/>
      <c r="F26" s="878" t="n"/>
      <c r="G26" s="1615" t="n"/>
      <c r="H26" s="1616" t="n"/>
    </row>
    <row r="27">
      <c r="A27" s="1015" t="inlineStr">
        <is>
          <t>Consultoria Nick</t>
        </is>
      </c>
      <c r="B27" s="1603" t="n"/>
      <c r="C27" s="1603">
        <f>1975.29*12+1975.29*3</f>
        <v/>
      </c>
      <c r="D27" t="inlineStr">
        <is>
          <t>NICK</t>
        </is>
      </c>
      <c r="E27" s="878" t="n"/>
      <c r="F27" s="878" t="n"/>
      <c r="G27" s="1615" t="n"/>
      <c r="H27" s="1616" t="n"/>
    </row>
    <row r="28">
      <c r="A28" s="1015" t="inlineStr">
        <is>
          <t>Instituição de ensino Jovem Aprendiz (curso)</t>
        </is>
      </c>
      <c r="B28" s="1603" t="n">
        <v>157</v>
      </c>
      <c r="C28" s="1603">
        <f>B28*1</f>
        <v/>
      </c>
      <c r="D28" t="inlineStr">
        <is>
          <t>OK</t>
        </is>
      </c>
      <c r="E28" s="878" t="n"/>
      <c r="F28" s="878" t="n"/>
      <c r="G28" s="1615" t="n"/>
      <c r="H28" s="1616" t="n"/>
    </row>
    <row r="29">
      <c r="A29" s="1015" t="inlineStr">
        <is>
          <t>Metronome Nick</t>
        </is>
      </c>
      <c r="B29" s="1603">
        <f>646.92*2</f>
        <v/>
      </c>
      <c r="C29" s="1603">
        <f>B29*2</f>
        <v/>
      </c>
      <c r="E29" s="878" t="n"/>
      <c r="F29" s="878" t="n"/>
      <c r="G29" s="1615" t="n"/>
      <c r="H29" s="1616" t="n"/>
    </row>
    <row r="30">
      <c r="A30" s="1221" t="inlineStr">
        <is>
          <t>TOTAL</t>
        </is>
      </c>
      <c r="B30" s="1221" t="n"/>
      <c r="C30" s="1597">
        <f>SUM(C24:C29)</f>
        <v/>
      </c>
      <c r="E30" s="878" t="n"/>
      <c r="F30" s="878" t="n"/>
      <c r="G30" s="1615" t="n"/>
      <c r="H30" s="1616" t="n"/>
    </row>
    <row r="31">
      <c r="A31" s="1220" t="inlineStr">
        <is>
          <t>Confraternização trimestre</t>
        </is>
      </c>
      <c r="B31" s="1220" t="inlineStr">
        <is>
          <t>Confraternização trimestre</t>
        </is>
      </c>
      <c r="C31" s="1220" t="inlineStr">
        <is>
          <t>Confraternização trimestre</t>
        </is>
      </c>
      <c r="E31" s="878" t="n"/>
      <c r="F31" s="878" t="n"/>
      <c r="G31" s="1615" t="n"/>
      <c r="H31" s="1616" t="n"/>
    </row>
    <row r="32">
      <c r="A32" s="1015" t="inlineStr">
        <is>
          <t xml:space="preserve">Carnes </t>
        </is>
      </c>
      <c r="B32" s="1603" t="n">
        <v>400</v>
      </c>
      <c r="C32" s="1603">
        <f>B32*3</f>
        <v/>
      </c>
      <c r="D32" t="inlineStr">
        <is>
          <t>ok</t>
        </is>
      </c>
      <c r="E32" s="878" t="n"/>
      <c r="F32" s="878" t="n"/>
      <c r="G32" s="1615" t="n"/>
      <c r="H32" s="1616" t="n"/>
    </row>
    <row r="33">
      <c r="A33" s="1015" t="inlineStr">
        <is>
          <t>Bebidas</t>
        </is>
      </c>
      <c r="B33" s="1603" t="n">
        <v>400</v>
      </c>
      <c r="C33" s="1603">
        <f>B33*3</f>
        <v/>
      </c>
      <c r="D33" t="inlineStr">
        <is>
          <t>ok</t>
        </is>
      </c>
      <c r="E33" s="878" t="n"/>
      <c r="F33" s="878" t="n"/>
      <c r="G33" s="1615" t="n"/>
      <c r="H33" s="1616" t="n"/>
    </row>
    <row r="34">
      <c r="A34" s="1223" t="inlineStr">
        <is>
          <t>TOTAL</t>
        </is>
      </c>
      <c r="B34" s="1223" t="inlineStr">
        <is>
          <t>TOTAL</t>
        </is>
      </c>
      <c r="C34" s="1592">
        <f>SUM(C32:C33)</f>
        <v/>
      </c>
      <c r="E34" s="883" t="n"/>
      <c r="F34" s="883" t="n"/>
      <c r="G34" s="1623" t="n"/>
      <c r="H34" s="1624" t="n"/>
      <c r="I34" s="29" t="n"/>
    </row>
    <row r="35">
      <c r="A35" s="1222" t="n"/>
      <c r="B35" s="1222" t="n"/>
      <c r="C35" s="1598" t="n"/>
    </row>
    <row r="36">
      <c r="B36" s="1625" t="inlineStr">
        <is>
          <t>Total Geral</t>
        </is>
      </c>
      <c r="C36" s="1625">
        <f>C11+C22+C30+C34</f>
        <v/>
      </c>
      <c r="D36" s="88" t="n"/>
      <c r="E36" s="88" t="n"/>
      <c r="F36" s="88" t="n"/>
      <c r="G36" s="1626" t="n"/>
      <c r="H36" s="421" t="inlineStr">
        <is>
          <t>Total Geral</t>
        </is>
      </c>
      <c r="I36" s="1627">
        <f>I7</f>
        <v/>
      </c>
    </row>
    <row r="37">
      <c r="A37" s="1222" t="n"/>
      <c r="B37" s="1222" t="n"/>
      <c r="C37" s="1222" t="n"/>
      <c r="E37" s="412" t="n"/>
      <c r="F37" s="412" t="n"/>
      <c r="G37" s="1628" t="n"/>
    </row>
    <row r="38">
      <c r="B38" s="863" t="n"/>
      <c r="C38" s="863" t="n"/>
    </row>
    <row r="39">
      <c r="B39" s="863" t="n"/>
      <c r="C39" s="863" t="n"/>
      <c r="E39" s="1222" t="n"/>
      <c r="F39" s="1222" t="n"/>
      <c r="G39" s="1222" t="n"/>
    </row>
    <row r="40">
      <c r="B40" s="863" t="n"/>
      <c r="C40" s="864" t="n"/>
      <c r="E40" s="863" t="n"/>
      <c r="F40" s="863" t="n"/>
      <c r="G40" s="863" t="n"/>
    </row>
    <row r="41">
      <c r="A41" s="1222" t="n"/>
      <c r="B41" s="1222" t="n"/>
      <c r="C41" s="1222" t="n"/>
    </row>
    <row r="42">
      <c r="B42" s="863" t="n"/>
      <c r="C42" s="864" t="n"/>
    </row>
    <row r="44">
      <c r="B44" s="864" t="n"/>
      <c r="C44" s="864" t="n"/>
      <c r="E44" s="1628" t="n"/>
      <c r="F44" s="866" t="n"/>
      <c r="G44" s="1629" t="n"/>
    </row>
  </sheetData>
  <pageMargins left="0.511811024" right="0.511811024" top="0.787401575" bottom="0.787401575" header="0.31496062" footer="0.31496062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L44"/>
  <sheetViews>
    <sheetView topLeftCell="A29" workbookViewId="0">
      <selection activeCell="F47" sqref="F47"/>
    </sheetView>
  </sheetViews>
  <sheetFormatPr baseColWidth="8" defaultRowHeight="15"/>
  <cols>
    <col width="23.28515625" customWidth="1" style="1173" min="1" max="1"/>
    <col width="26.28515625" customWidth="1" style="1173" min="2" max="2"/>
    <col width="29.28515625" customWidth="1" style="1173" min="3" max="3"/>
    <col width="13.85546875" customWidth="1" style="1173" min="4" max="4"/>
    <col width="22.7109375" customWidth="1" style="1173" min="5" max="5"/>
    <col width="20.7109375" customWidth="1" style="1173" min="6" max="6"/>
    <col width="24.28515625" customWidth="1" style="1173" min="7" max="7"/>
    <col width="28.85546875" customWidth="1" style="1173" min="8" max="9"/>
    <col width="27.85546875" customWidth="1" style="1173" min="10" max="10"/>
    <col width="15" customWidth="1" style="1173" min="11" max="11"/>
    <col width="15.5703125" customWidth="1" style="1173" min="12" max="12"/>
  </cols>
  <sheetData>
    <row r="1" ht="21.75" customHeight="1" s="1173" thickBot="1">
      <c r="A1" s="1224" t="inlineStr">
        <is>
          <t xml:space="preserve">PESSOAS PARA EQUIPE TÉCNICA AGROINVEST </t>
        </is>
      </c>
      <c r="B1" s="1224" t="inlineStr">
        <is>
          <t xml:space="preserve">PESSOAS PARA EQUIPE TÉCNICA AGROINVEST </t>
        </is>
      </c>
      <c r="C1" s="1224" t="inlineStr">
        <is>
          <t xml:space="preserve">PESSOAS PARA EQUIPE TÉCNICA AGROINVEST </t>
        </is>
      </c>
      <c r="D1" s="1224" t="inlineStr">
        <is>
          <t xml:space="preserve">PESSOAS PARA EQUIPE TÉCNICA AGROINVEST </t>
        </is>
      </c>
      <c r="E1" s="1224" t="inlineStr">
        <is>
          <t xml:space="preserve">PESSOAS PARA EQUIPE TÉCNICA AGROINVEST </t>
        </is>
      </c>
      <c r="F1" s="511" t="inlineStr">
        <is>
          <t xml:space="preserve">Salario Base </t>
        </is>
      </c>
      <c r="G1" s="512" t="inlineStr">
        <is>
          <t xml:space="preserve">Insalubridade </t>
        </is>
      </c>
      <c r="H1" s="512" t="inlineStr">
        <is>
          <t xml:space="preserve">Quinquenio </t>
        </is>
      </c>
      <c r="I1" s="1259" t="inlineStr">
        <is>
          <t>Reajuste Sindicato Marçõ</t>
        </is>
      </c>
      <c r="J1" s="514" t="inlineStr">
        <is>
          <t xml:space="preserve">Aumento por Merito/Empresa </t>
        </is>
      </c>
      <c r="K1" s="1257" t="inlineStr">
        <is>
          <t>Horas Extras 50%</t>
        </is>
      </c>
      <c r="L1" s="512" t="inlineStr">
        <is>
          <t>Hora Extra 100%</t>
        </is>
      </c>
      <c r="M1" s="1257" t="inlineStr">
        <is>
          <t>Epis QUANTIDADE SAFRA</t>
        </is>
      </c>
      <c r="N1" s="1257" t="inlineStr">
        <is>
          <t>Epis QUANTIDADE SAFRA</t>
        </is>
      </c>
      <c r="O1" s="1258" t="inlineStr">
        <is>
          <t xml:space="preserve">Roupa 2 pele </t>
        </is>
      </c>
      <c r="P1" s="1258" t="inlineStr">
        <is>
          <t xml:space="preserve">Luva Nitrilica </t>
        </is>
      </c>
      <c r="Q1" s="1258" t="inlineStr">
        <is>
          <t>Mas.Quimica facial 3M</t>
        </is>
      </c>
      <c r="R1" s="1259" t="inlineStr">
        <is>
          <t>Filtro mascara quimica</t>
        </is>
      </c>
      <c r="S1" s="512" t="inlineStr">
        <is>
          <t xml:space="preserve">Meias </t>
        </is>
      </c>
      <c r="T1" s="1257" t="inlineStr">
        <is>
          <t xml:space="preserve">Toalhas de Banho </t>
        </is>
      </c>
      <c r="U1" s="1257" t="inlineStr">
        <is>
          <t>Botinas/safra</t>
        </is>
      </c>
      <c r="V1" s="512" t="inlineStr">
        <is>
          <t>Uniformes (Calças e camisas)</t>
        </is>
      </c>
      <c r="W1" s="512" t="inlineStr">
        <is>
          <t>Uniformes (Calças e camisas)</t>
        </is>
      </c>
      <c r="X1" s="512" t="inlineStr">
        <is>
          <t xml:space="preserve">Botas </t>
        </is>
      </c>
      <c r="Y1" s="512" t="inlineStr">
        <is>
          <t>Mascaras de Pó PFF1</t>
        </is>
      </c>
      <c r="Z1" s="512" t="inlineStr">
        <is>
          <t>Mascaras de Pó PFF1</t>
        </is>
      </c>
      <c r="AA1" s="512" t="inlineStr">
        <is>
          <t xml:space="preserve">Luvas de pano Multitato </t>
        </is>
      </c>
      <c r="AB1" s="512" t="inlineStr">
        <is>
          <t>Oculos Escuro ou claro</t>
        </is>
      </c>
      <c r="AC1" s="512" t="inlineStr">
        <is>
          <t xml:space="preserve">Perneiras </t>
        </is>
      </c>
      <c r="AD1" s="512" t="inlineStr">
        <is>
          <t xml:space="preserve">Protetor Auricular </t>
        </is>
      </c>
      <c r="AE1" s="512" t="inlineStr">
        <is>
          <t>Protetor Solar</t>
        </is>
      </c>
      <c r="AF1" s="512" t="inlineStr">
        <is>
          <t xml:space="preserve">Jalecos </t>
        </is>
      </c>
      <c r="AG1" s="512" t="inlineStr">
        <is>
          <t>Capa de Chuva</t>
        </is>
      </c>
      <c r="AH1" s="512" t="inlineStr">
        <is>
          <t xml:space="preserve">Canivetes </t>
        </is>
      </c>
      <c r="AI1" s="512" t="inlineStr">
        <is>
          <t xml:space="preserve">Trenas </t>
        </is>
      </c>
      <c r="AJ1" s="512" t="inlineStr">
        <is>
          <t xml:space="preserve">Cantil </t>
        </is>
      </c>
      <c r="AK1" s="512" t="inlineStr">
        <is>
          <t xml:space="preserve">Garrafas termicas </t>
        </is>
      </c>
      <c r="AL1" s="512" t="inlineStr">
        <is>
          <t xml:space="preserve">Kit forro de cama </t>
        </is>
      </c>
    </row>
    <row r="2">
      <c r="A2" s="1630" t="inlineStr">
        <is>
          <t>1 * Márcio  (Gerente  Técnico)</t>
        </is>
      </c>
      <c r="B2" s="1630" t="inlineStr">
        <is>
          <t>1 * Márcio  (Gerente  Técnico)</t>
        </is>
      </c>
      <c r="C2" s="1630" t="inlineStr">
        <is>
          <t>1 * Márcio  (Gerente  Técnico)</t>
        </is>
      </c>
      <c r="D2" s="1630" t="inlineStr">
        <is>
          <t>1 * Márcio  (Gerente  Técnico)</t>
        </is>
      </c>
      <c r="E2" s="1630" t="inlineStr">
        <is>
          <t>1 * Márcio  (Gerente  Técnico)</t>
        </is>
      </c>
      <c r="F2" s="1631" t="inlineStr">
        <is>
          <t>Incluso na Agoservice</t>
        </is>
      </c>
      <c r="G2" s="1632" t="inlineStr">
        <is>
          <t>Incluso Agroservice</t>
        </is>
      </c>
      <c r="H2" s="1632" t="inlineStr">
        <is>
          <t>Incluso na lista da Agroservice</t>
        </is>
      </c>
      <c r="I2" s="1230" t="inlineStr">
        <is>
          <t>Incluso na lista da Agroservice</t>
        </is>
      </c>
      <c r="J2" s="1632" t="inlineStr">
        <is>
          <t xml:space="preserve">Comissão </t>
        </is>
      </c>
      <c r="K2" s="630" t="n">
        <v>0</v>
      </c>
      <c r="L2" s="631" t="n">
        <v>0</v>
      </c>
      <c r="M2" s="1260" t="inlineStr">
        <is>
          <t xml:space="preserve">Marcio nada </t>
        </is>
      </c>
      <c r="N2" s="1260" t="inlineStr">
        <is>
          <t xml:space="preserve">Marcio nada </t>
        </is>
      </c>
      <c r="O2" s="122" t="n">
        <v>0</v>
      </c>
      <c r="P2" s="1294" t="n">
        <v>0</v>
      </c>
      <c r="Q2" s="1294" t="n">
        <v>0</v>
      </c>
      <c r="R2" s="1263" t="n">
        <v>0</v>
      </c>
      <c r="S2" s="415" t="n">
        <v>0</v>
      </c>
      <c r="T2" s="1294" t="n">
        <v>0</v>
      </c>
      <c r="U2" s="534" t="n">
        <v>0</v>
      </c>
      <c r="V2" s="536" t="n">
        <v>0</v>
      </c>
      <c r="W2" s="536" t="n">
        <v>0</v>
      </c>
      <c r="X2" s="535" t="n">
        <v>0</v>
      </c>
      <c r="Y2" s="536" t="n"/>
      <c r="Z2" s="536" t="n"/>
      <c r="AA2" s="122" t="n">
        <v>0</v>
      </c>
      <c r="AB2" s="122" t="n">
        <v>0</v>
      </c>
      <c r="AC2" s="122" t="inlineStr">
        <is>
          <t xml:space="preserve">0  safra </t>
        </is>
      </c>
      <c r="AD2" s="122" t="n">
        <v>0</v>
      </c>
      <c r="AE2" s="122" t="n"/>
      <c r="AF2" s="122" t="n">
        <v>0</v>
      </c>
      <c r="AG2" s="122" t="n">
        <v>0</v>
      </c>
      <c r="AH2" s="122" t="n">
        <v>0</v>
      </c>
      <c r="AI2" s="122" t="n">
        <v>0</v>
      </c>
      <c r="AJ2" s="122" t="n">
        <v>0</v>
      </c>
      <c r="AK2" s="122" t="inlineStr">
        <is>
          <t xml:space="preserve"> já tem </t>
        </is>
      </c>
      <c r="AL2" s="122" t="n">
        <v>0</v>
      </c>
    </row>
    <row r="3">
      <c r="A3" s="1633" t="inlineStr">
        <is>
          <t>2* Contratar    ( Monitoramento)</t>
        </is>
      </c>
      <c r="B3" s="1633" t="inlineStr">
        <is>
          <t>2* Contratar    ( Monitoramento)</t>
        </is>
      </c>
      <c r="C3" s="1633" t="inlineStr">
        <is>
          <t>2* Contratar    ( Monitoramento)</t>
        </is>
      </c>
      <c r="D3" s="1633" t="inlineStr">
        <is>
          <t>2* Contratar    ( Monitoramento)</t>
        </is>
      </c>
      <c r="E3" s="1633" t="inlineStr">
        <is>
          <t>2* Contratar    ( Monitoramento)</t>
        </is>
      </c>
      <c r="F3" s="1632" t="n">
        <v>2700</v>
      </c>
      <c r="G3" s="1632" t="inlineStr">
        <is>
          <t xml:space="preserve">8 meses </t>
        </is>
      </c>
      <c r="H3" s="1632" t="inlineStr">
        <is>
          <t xml:space="preserve">não </t>
        </is>
      </c>
      <c r="I3" s="1634" t="inlineStr">
        <is>
          <t xml:space="preserve">não </t>
        </is>
      </c>
      <c r="J3" s="1632" t="inlineStr">
        <is>
          <t>5 a 10%</t>
        </is>
      </c>
      <c r="K3" s="1635" t="inlineStr">
        <is>
          <t xml:space="preserve">66 horas </t>
        </is>
      </c>
      <c r="L3" s="631" t="n">
        <v>20</v>
      </c>
      <c r="M3" s="1260" t="inlineStr">
        <is>
          <t xml:space="preserve">  (davi cotar)</t>
        </is>
      </c>
      <c r="N3" s="1260" t="inlineStr">
        <is>
          <t xml:space="preserve">  (davi cotar)</t>
        </is>
      </c>
      <c r="O3" s="122" t="n">
        <v>2</v>
      </c>
      <c r="P3" s="122" t="n">
        <v>2</v>
      </c>
      <c r="Q3" s="122" t="n">
        <v>1</v>
      </c>
      <c r="R3" s="1263" t="n">
        <v>2</v>
      </c>
      <c r="S3" s="122" t="inlineStr">
        <is>
          <t xml:space="preserve">Davi cotou </t>
        </is>
      </c>
      <c r="T3" s="1264" t="n">
        <v>2</v>
      </c>
      <c r="U3" s="122" t="inlineStr">
        <is>
          <t xml:space="preserve">2 pares </t>
        </is>
      </c>
      <c r="V3" s="122" t="inlineStr">
        <is>
          <t>3 pares cada de  camisas e calças</t>
        </is>
      </c>
      <c r="W3" s="1636" t="inlineStr">
        <is>
          <t>3 pares cada de  camisas e calças</t>
        </is>
      </c>
      <c r="X3" s="122" t="n">
        <v>1</v>
      </c>
      <c r="Y3" s="122" t="n">
        <v>5</v>
      </c>
      <c r="Z3" s="1636" t="n">
        <v>5</v>
      </c>
      <c r="AA3" s="122" t="inlineStr">
        <is>
          <t xml:space="preserve">2 pares/safra </t>
        </is>
      </c>
      <c r="AB3" s="122" t="inlineStr">
        <is>
          <t xml:space="preserve">1 escuro </t>
        </is>
      </c>
      <c r="AC3" s="536" t="inlineStr">
        <is>
          <t xml:space="preserve">1 safra </t>
        </is>
      </c>
      <c r="AD3" s="122" t="n">
        <v>0</v>
      </c>
      <c r="AE3" s="1265" t="n">
        <v>10</v>
      </c>
      <c r="AF3" s="1264" t="inlineStr">
        <is>
          <t>1 G</t>
        </is>
      </c>
      <c r="AG3" s="122" t="n">
        <v>1</v>
      </c>
      <c r="AH3" s="122" t="n">
        <v>1</v>
      </c>
      <c r="AI3" s="122" t="n">
        <v>1</v>
      </c>
      <c r="AJ3" s="122" t="n">
        <v>1</v>
      </c>
      <c r="AK3" s="122" t="inlineStr">
        <is>
          <t xml:space="preserve">já tem </t>
        </is>
      </c>
      <c r="AL3" s="122" t="n">
        <v>0</v>
      </c>
    </row>
    <row r="4">
      <c r="A4" s="1633" t="inlineStr">
        <is>
          <t xml:space="preserve">3 * Extagiario   (Monitoramento)  Out, Nov, Dez, Jan, fev, Mar, Abril.            </t>
        </is>
      </c>
      <c r="B4" s="1633" t="inlineStr">
        <is>
          <t xml:space="preserve">3 * Extagiario   (Monitoramento)  Out, Nov, Dez, Jan, fev, Mar, Abril.            </t>
        </is>
      </c>
      <c r="C4" s="1633" t="inlineStr">
        <is>
          <t xml:space="preserve">3 * Extagiario   (Monitoramento)  Out, Nov, Dez, Jan, fev, Mar, Abril.            </t>
        </is>
      </c>
      <c r="D4" s="1633" t="inlineStr">
        <is>
          <t xml:space="preserve">3 * Extagiario   (Monitoramento)  Out, Nov, Dez, Jan, fev, Mar, Abril.            </t>
        </is>
      </c>
      <c r="E4" s="1633" t="inlineStr">
        <is>
          <t xml:space="preserve">3 * Extagiario   (Monitoramento)  Out, Nov, Dez, Jan, fev, Mar, Abril.            </t>
        </is>
      </c>
      <c r="F4" s="1632" t="n">
        <v>1500</v>
      </c>
      <c r="G4" s="1632" t="inlineStr">
        <is>
          <t xml:space="preserve">6 meses </t>
        </is>
      </c>
      <c r="H4" s="1632" t="inlineStr">
        <is>
          <t xml:space="preserve">Não </t>
        </is>
      </c>
      <c r="I4" s="1634" t="inlineStr">
        <is>
          <t xml:space="preserve">Não </t>
        </is>
      </c>
      <c r="J4" s="1632" t="inlineStr">
        <is>
          <t xml:space="preserve">Não </t>
        </is>
      </c>
      <c r="K4" s="630" t="n">
        <v>0</v>
      </c>
      <c r="L4" s="631" t="n">
        <v>0</v>
      </c>
      <c r="M4" s="1263" t="inlineStr">
        <is>
          <t>Extagiario (Davi cotar)</t>
        </is>
      </c>
      <c r="N4" s="1637" t="inlineStr">
        <is>
          <t>Extagiario (Davi cotar)</t>
        </is>
      </c>
      <c r="O4" s="122" t="n">
        <v>2</v>
      </c>
      <c r="P4" s="122" t="n">
        <v>2</v>
      </c>
      <c r="Q4" s="122" t="n">
        <v>1</v>
      </c>
      <c r="R4" s="1263" t="n">
        <v>2</v>
      </c>
      <c r="S4" s="122" t="inlineStr">
        <is>
          <t xml:space="preserve">Davi define </t>
        </is>
      </c>
      <c r="T4" s="1264" t="n">
        <v>2</v>
      </c>
      <c r="U4" s="537" t="inlineStr">
        <is>
          <t xml:space="preserve">2 pares </t>
        </is>
      </c>
      <c r="V4" s="537" t="inlineStr">
        <is>
          <t>3 pares cada camisas e calças</t>
        </is>
      </c>
      <c r="W4" s="1554" t="inlineStr">
        <is>
          <t>3 pares cada camisas e calças</t>
        </is>
      </c>
      <c r="X4" s="537" t="n">
        <v>1</v>
      </c>
      <c r="Y4" s="537" t="n">
        <v>5</v>
      </c>
      <c r="Z4" s="1554" t="n">
        <v>5</v>
      </c>
      <c r="AA4" s="537" t="inlineStr">
        <is>
          <t xml:space="preserve">2 pares/ safra </t>
        </is>
      </c>
      <c r="AB4" s="537" t="inlineStr">
        <is>
          <t xml:space="preserve">1 escuro </t>
        </is>
      </c>
      <c r="AC4" s="537" t="inlineStr">
        <is>
          <t xml:space="preserve">1/safra </t>
        </is>
      </c>
      <c r="AD4" s="537" t="n">
        <v>0</v>
      </c>
      <c r="AE4" s="1638" t="n">
        <v>10</v>
      </c>
      <c r="AF4" s="1151" t="n">
        <v>0</v>
      </c>
      <c r="AG4" s="537" t="n">
        <v>1</v>
      </c>
      <c r="AH4" s="537" t="n">
        <v>1</v>
      </c>
      <c r="AI4" s="537" t="n">
        <v>1</v>
      </c>
      <c r="AJ4" s="537" t="n">
        <v>1</v>
      </c>
      <c r="AK4" s="537" t="n">
        <v>1</v>
      </c>
      <c r="AL4" s="537" t="n">
        <v>1</v>
      </c>
    </row>
    <row r="5">
      <c r="A5" s="1235" t="inlineStr">
        <is>
          <t xml:space="preserve">Charles possivelmente fora da equipe técnica </t>
        </is>
      </c>
      <c r="B5" s="1235" t="inlineStr">
        <is>
          <t xml:space="preserve">Charles possivelmente fora da equipe técnica </t>
        </is>
      </c>
      <c r="C5" s="1235" t="inlineStr">
        <is>
          <t xml:space="preserve">Charles possivelmente fora da equipe técnica </t>
        </is>
      </c>
      <c r="D5" s="1235" t="inlineStr">
        <is>
          <t xml:space="preserve">Charles possivelmente fora da equipe técnica </t>
        </is>
      </c>
      <c r="E5" s="1235" t="inlineStr">
        <is>
          <t xml:space="preserve">Charles possivelmente fora da equipe técnica </t>
        </is>
      </c>
      <c r="F5" s="1639" t="n">
        <v>3482</v>
      </c>
      <c r="G5" s="1228" t="inlineStr">
        <is>
          <t xml:space="preserve">11 meses </t>
        </is>
      </c>
      <c r="H5" s="1229" t="inlineStr">
        <is>
          <t xml:space="preserve">sim 5 % do base </t>
        </is>
      </c>
      <c r="I5" s="1230" t="inlineStr">
        <is>
          <t>3 a 5 %</t>
        </is>
      </c>
      <c r="J5" s="1635" t="n">
        <v>8200</v>
      </c>
      <c r="K5" s="1229" t="n"/>
      <c r="L5" s="1230" t="n"/>
      <c r="M5" s="1150" t="n"/>
      <c r="N5" s="1640" t="n"/>
      <c r="U5" s="1269" t="inlineStr">
        <is>
          <t xml:space="preserve">4 pares </t>
        </is>
      </c>
      <c r="V5" s="1268" t="inlineStr">
        <is>
          <t xml:space="preserve">6 pares de calças e camisas </t>
        </is>
      </c>
      <c r="W5" s="1268" t="inlineStr">
        <is>
          <t xml:space="preserve">6 pares de calças e camisas </t>
        </is>
      </c>
      <c r="X5" s="1268" t="n">
        <v>2</v>
      </c>
      <c r="Y5" s="541" t="n">
        <v>10</v>
      </c>
      <c r="Z5" s="541" t="n">
        <v>10</v>
      </c>
      <c r="AA5" s="1268" t="inlineStr">
        <is>
          <t xml:space="preserve">4 pares safra </t>
        </is>
      </c>
      <c r="AB5" s="541" t="inlineStr">
        <is>
          <t xml:space="preserve">2 escuro </t>
        </is>
      </c>
      <c r="AC5" s="542" t="inlineStr">
        <is>
          <t xml:space="preserve">2 safra </t>
        </is>
      </c>
      <c r="AD5" s="543" t="n"/>
      <c r="AE5" s="1268" t="n">
        <v>10</v>
      </c>
      <c r="AF5" s="544" t="inlineStr">
        <is>
          <t>1 G</t>
        </is>
      </c>
      <c r="AG5" s="1268" t="n">
        <v>2</v>
      </c>
      <c r="AH5" s="1268" t="n">
        <v>2</v>
      </c>
      <c r="AI5" s="1268" t="n">
        <v>2</v>
      </c>
      <c r="AJ5" s="1268" t="n">
        <v>2</v>
      </c>
      <c r="AK5" s="1268" t="n">
        <v>1</v>
      </c>
      <c r="AL5" s="1270" t="n">
        <v>1</v>
      </c>
    </row>
    <row r="6">
      <c r="A6" s="1271" t="inlineStr">
        <is>
          <t xml:space="preserve">Motos Agroinvest </t>
        </is>
      </c>
      <c r="B6" s="1271" t="inlineStr">
        <is>
          <t xml:space="preserve">Motos Agroinvest </t>
        </is>
      </c>
      <c r="C6" s="1271" t="inlineStr">
        <is>
          <t xml:space="preserve">Motos Agroinvest </t>
        </is>
      </c>
      <c r="D6" s="1271" t="inlineStr">
        <is>
          <t xml:space="preserve">Motos Agroinvest </t>
        </is>
      </c>
      <c r="E6" s="1271" t="inlineStr">
        <is>
          <t xml:space="preserve">Motos Agroinvest </t>
        </is>
      </c>
      <c r="F6" s="1271" t="inlineStr">
        <is>
          <t xml:space="preserve">Motos Agroinvest </t>
        </is>
      </c>
      <c r="G6" s="1271" t="inlineStr">
        <is>
          <t xml:space="preserve">Motos Agroinvest </t>
        </is>
      </c>
    </row>
    <row r="7">
      <c r="A7" s="547" t="inlineStr">
        <is>
          <t xml:space="preserve">Periodo </t>
        </is>
      </c>
      <c r="B7" s="547" t="inlineStr">
        <is>
          <t xml:space="preserve">Periodo </t>
        </is>
      </c>
      <c r="C7" s="547" t="inlineStr">
        <is>
          <t xml:space="preserve">Periodo </t>
        </is>
      </c>
      <c r="D7" s="1272" t="inlineStr">
        <is>
          <t xml:space="preserve">Km total </t>
        </is>
      </c>
      <c r="E7" s="547" t="inlineStr">
        <is>
          <t xml:space="preserve">Componentes </t>
        </is>
      </c>
      <c r="F7" s="548" t="inlineStr">
        <is>
          <t xml:space="preserve">Quantidade </t>
        </is>
      </c>
      <c r="G7" s="1271" t="inlineStr">
        <is>
          <t xml:space="preserve">Gasolina necessaria </t>
        </is>
      </c>
    </row>
    <row r="8">
      <c r="A8" s="1641" t="inlineStr">
        <is>
          <t xml:space="preserve">   Moto Charles      (Novembro  a Março) </t>
        </is>
      </c>
      <c r="B8" s="1641" t="inlineStr">
        <is>
          <t xml:space="preserve">   Moto Charles      (Novembro  a Março) </t>
        </is>
      </c>
      <c r="C8" s="1641" t="inlineStr">
        <is>
          <t xml:space="preserve">   Moto Charles      (Novembro  a Março) </t>
        </is>
      </c>
      <c r="D8" s="549" t="n">
        <v>5000</v>
      </c>
      <c r="E8" s="1642" t="inlineStr">
        <is>
          <t xml:space="preserve"> Oleo do motor  Quantidade</t>
        </is>
      </c>
      <c r="F8" s="1643" t="n">
        <v>10</v>
      </c>
      <c r="G8" s="550" t="n">
        <v>300</v>
      </c>
    </row>
    <row r="9">
      <c r="A9" s="1641" t="inlineStr">
        <is>
          <t xml:space="preserve">    Moto Extagiario     (Dezembro a Março) </t>
        </is>
      </c>
      <c r="B9" s="1641" t="inlineStr">
        <is>
          <t xml:space="preserve">    Moto Extagiario     (Dezembro a Março) </t>
        </is>
      </c>
      <c r="C9" s="1641" t="inlineStr">
        <is>
          <t xml:space="preserve">    Moto Extagiario     (Dezembro a Março) </t>
        </is>
      </c>
      <c r="D9" s="549" t="n">
        <v>3000</v>
      </c>
      <c r="E9" s="1642" t="inlineStr">
        <is>
          <t xml:space="preserve"> Oleo do motor  Quantidade</t>
        </is>
      </c>
      <c r="F9" s="1643" t="n">
        <v>10</v>
      </c>
      <c r="G9" s="551" t="n">
        <v>176</v>
      </c>
    </row>
    <row r="10">
      <c r="A10" s="1644" t="inlineStr">
        <is>
          <t xml:space="preserve">Utilizar 2 motos para monitoramento </t>
        </is>
      </c>
      <c r="B10" s="1644" t="inlineStr">
        <is>
          <t xml:space="preserve">Utilizar 2 motos para monitoramento </t>
        </is>
      </c>
      <c r="C10" s="1644" t="inlineStr">
        <is>
          <t xml:space="preserve">Utilizar 2 motos para monitoramento </t>
        </is>
      </c>
      <c r="D10" s="552" t="n"/>
      <c r="E10" s="551" t="inlineStr">
        <is>
          <t xml:space="preserve">Filtro de Ar </t>
        </is>
      </c>
      <c r="F10" s="553" t="n">
        <v>2</v>
      </c>
      <c r="G10" s="551" t="inlineStr">
        <is>
          <t>Total  480 lts</t>
        </is>
      </c>
      <c r="H10" s="1244" t="n"/>
    </row>
    <row r="11">
      <c r="A11" s="1244" t="n"/>
      <c r="B11" s="1244" t="n"/>
      <c r="C11" s="1244" t="n"/>
      <c r="D11" s="517" t="n"/>
      <c r="E11" s="554" t="n"/>
      <c r="F11" s="555" t="n"/>
      <c r="G11" s="556" t="n"/>
      <c r="H11" s="1244" t="n"/>
    </row>
    <row r="12">
      <c r="A12" s="557" t="inlineStr">
        <is>
          <t>* Quantidade de relação para moto periodo do monitoramento= 2 relação para Bros + 2 relação para Xtz</t>
        </is>
      </c>
      <c r="B12" s="558" t="n"/>
      <c r="C12" s="558" t="n"/>
      <c r="D12" s="558" t="n"/>
      <c r="E12" s="558" t="n"/>
      <c r="F12" s="1244" t="n"/>
    </row>
    <row r="13">
      <c r="A13" s="559" t="inlineStr">
        <is>
          <t>* Cameras necessarias para o periodo do monitoramento= 2 cameras  para Bros + 2 cameras para Xtz</t>
        </is>
      </c>
      <c r="B13" s="560" t="n"/>
      <c r="C13" s="560" t="n"/>
      <c r="D13" s="560" t="n"/>
      <c r="E13" s="560" t="n"/>
      <c r="F13" s="1244" t="n"/>
    </row>
    <row r="16" ht="15.75" customHeight="1" s="1173">
      <c r="A16" s="1645" t="inlineStr">
        <is>
          <t xml:space="preserve">* Ranger  Equipe Técnica = Combustivel </t>
        </is>
      </c>
      <c r="B16" s="1645" t="inlineStr">
        <is>
          <t xml:space="preserve">* Ranger  Equipe Técnica = Combustivel </t>
        </is>
      </c>
      <c r="C16" s="1645" t="inlineStr">
        <is>
          <t xml:space="preserve">* Ranger  Equipe Técnica = Combustivel </t>
        </is>
      </c>
    </row>
    <row r="17">
      <c r="A17" s="178" t="inlineStr">
        <is>
          <t xml:space="preserve">Idas para Radol= 14 vistorias X 480 KM= 6720 KM </t>
        </is>
      </c>
      <c r="B17" s="1646" t="inlineStr">
        <is>
          <t xml:space="preserve">Idas para Radol= 14 vistorias X 480 KM= 6720 KM </t>
        </is>
      </c>
      <c r="C17" s="1646" t="inlineStr">
        <is>
          <t xml:space="preserve">Idas para Radol= 14 vistorias X 480 KM= 6720 KM </t>
        </is>
      </c>
    </row>
    <row r="18">
      <c r="A18" s="1251" t="inlineStr">
        <is>
          <t>Total km rodados ranger safra 21/22</t>
        </is>
      </c>
      <c r="B18" s="1251" t="inlineStr">
        <is>
          <t>Total km rodados ranger safra 21/22</t>
        </is>
      </c>
      <c r="C18" s="561" t="inlineStr">
        <is>
          <t xml:space="preserve">6720 KM </t>
        </is>
      </c>
    </row>
    <row r="19">
      <c r="A19" s="1253" t="inlineStr">
        <is>
          <t>Diesel necessário=</t>
        </is>
      </c>
      <c r="B19" s="1253" t="inlineStr">
        <is>
          <t>Diesel necessário=</t>
        </is>
      </c>
      <c r="C19" s="561" t="inlineStr">
        <is>
          <t xml:space="preserve">610 LITROS </t>
        </is>
      </c>
    </row>
    <row r="21">
      <c r="A21" s="1647" t="inlineStr">
        <is>
          <t xml:space="preserve"> * Para Jonatan  </t>
        </is>
      </c>
      <c r="B21" s="1647" t="inlineStr">
        <is>
          <t xml:space="preserve"> * Para Jonatan  </t>
        </is>
      </c>
    </row>
    <row r="22">
      <c r="A22" s="1233" t="inlineStr">
        <is>
          <t xml:space="preserve"> * 1 lata de tinta  pequena amarela para pintura das placas </t>
        </is>
      </c>
      <c r="B22" s="1233" t="inlineStr">
        <is>
          <t xml:space="preserve"> * 1 lata de tinta  pequena amarela para pintura das placas </t>
        </is>
      </c>
    </row>
    <row r="23">
      <c r="A23" s="1233" t="inlineStr">
        <is>
          <t>*  Meia lata de tinta preta</t>
        </is>
      </c>
      <c r="B23" s="1233" t="inlineStr">
        <is>
          <t>*  Meia lata de tinta preta</t>
        </is>
      </c>
      <c r="C23" s="1222" t="n"/>
      <c r="D23" s="1222" t="n"/>
      <c r="E23" s="517" t="n"/>
      <c r="F23" s="517" t="n"/>
    </row>
    <row r="24">
      <c r="A24" s="1233" t="inlineStr">
        <is>
          <t xml:space="preserve">* 1 pincel pequeno </t>
        </is>
      </c>
      <c r="B24" s="1233" t="inlineStr">
        <is>
          <t xml:space="preserve">* 1 pincel pequeno </t>
        </is>
      </c>
      <c r="C24" s="1222" t="n"/>
      <c r="D24" s="1222" t="n"/>
      <c r="E24" s="517" t="n"/>
      <c r="F24" s="517" t="n"/>
    </row>
    <row r="26">
      <c r="A26" s="541" t="inlineStr">
        <is>
          <t xml:space="preserve">PARA SCHUH </t>
        </is>
      </c>
      <c r="B26" s="541" t="inlineStr">
        <is>
          <t xml:space="preserve">PARA SCHUH </t>
        </is>
      </c>
      <c r="C26" s="541" t="inlineStr">
        <is>
          <t xml:space="preserve">PARA SCHUH </t>
        </is>
      </c>
      <c r="D26" s="541" t="inlineStr">
        <is>
          <t xml:space="preserve">PARA SCHUH </t>
        </is>
      </c>
      <c r="E26" s="541" t="inlineStr">
        <is>
          <t xml:space="preserve">PARA SCHUH </t>
        </is>
      </c>
    </row>
    <row r="27">
      <c r="A27" s="1648" t="inlineStr">
        <is>
          <t>Valores aplicativo Farm Box (Agroinvest)</t>
        </is>
      </c>
      <c r="B27" s="1648" t="inlineStr">
        <is>
          <t>Valores aplicativo Farm Box (Agroinvest)</t>
        </is>
      </c>
      <c r="C27" s="1648" t="inlineStr">
        <is>
          <t>Valores aplicativo Farm Box (Agroinvest)</t>
        </is>
      </c>
      <c r="D27" s="1648" t="inlineStr">
        <is>
          <t>Valores aplicativo Farm Box (Agroinvest)</t>
        </is>
      </c>
      <c r="E27" s="1648" t="inlineStr">
        <is>
          <t>Valores aplicativo Farm Box (Agroinvest)</t>
        </is>
      </c>
      <c r="I27" s="1222" t="n"/>
    </row>
    <row r="28" ht="18.75" customHeight="1" s="1173">
      <c r="A28" s="1649" t="n">
        <v>13558</v>
      </c>
      <c r="B28" s="1650" t="n">
        <v>13558</v>
      </c>
      <c r="C28" s="1650" t="n">
        <v>13558</v>
      </c>
      <c r="D28" s="1650" t="n">
        <v>13558</v>
      </c>
      <c r="E28" s="1650" t="n">
        <v>13558</v>
      </c>
      <c r="F28" s="562" t="inlineStr">
        <is>
          <t xml:space="preserve">Total </t>
        </is>
      </c>
      <c r="G28" s="516" t="n"/>
      <c r="H28" s="516" t="n"/>
      <c r="I28" s="1222" t="n"/>
    </row>
    <row r="29" ht="15.75" customHeight="1" s="1173">
      <c r="A29" s="1651" t="inlineStr">
        <is>
          <t>Entrada R$ 2500   no mês de Agosto de 2022</t>
        </is>
      </c>
      <c r="B29" s="1651" t="inlineStr">
        <is>
          <t>Entrada R$ 2500   no mês de Agosto de 2022</t>
        </is>
      </c>
      <c r="C29" s="1651" t="inlineStr">
        <is>
          <t>Entrada R$ 2500   no mês de Agosto de 2022</t>
        </is>
      </c>
      <c r="D29" s="1651" t="inlineStr">
        <is>
          <t>Entrada R$ 2500   no mês de Agosto de 2022</t>
        </is>
      </c>
      <c r="E29" s="1651" t="inlineStr">
        <is>
          <t>Entrada R$ 2500   no mês de Agosto de 2022</t>
        </is>
      </c>
      <c r="F29" s="823" t="inlineStr">
        <is>
          <t>Restante pagar no próxima safra 2023</t>
        </is>
      </c>
      <c r="G29" s="823" t="inlineStr">
        <is>
          <t>Restante pagar no próxima safra 2023</t>
        </is>
      </c>
      <c r="H29" s="1652">
        <f>(A28-2500)</f>
        <v/>
      </c>
      <c r="I29" s="1222" t="n"/>
    </row>
    <row r="30">
      <c r="A30" s="326" t="n"/>
      <c r="B30" s="326" t="n"/>
      <c r="C30" s="1222" t="n"/>
      <c r="D30" s="1222" t="n"/>
      <c r="E30" s="517" t="n"/>
      <c r="F30" s="517" t="n"/>
      <c r="G30" s="1222" t="n"/>
      <c r="H30" s="412" t="n"/>
      <c r="I30" s="1222" t="n"/>
    </row>
    <row r="31">
      <c r="A31" s="1653" t="inlineStr">
        <is>
          <t xml:space="preserve">Analises de Folhas </t>
        </is>
      </c>
      <c r="B31" s="1653" t="inlineStr">
        <is>
          <t xml:space="preserve">Analises de Folhas </t>
        </is>
      </c>
      <c r="C31" s="1653" t="inlineStr">
        <is>
          <t xml:space="preserve">Analises de Folhas </t>
        </is>
      </c>
      <c r="D31" s="1653" t="inlineStr">
        <is>
          <t xml:space="preserve">Analises de Folhas </t>
        </is>
      </c>
      <c r="E31" s="1653" t="inlineStr">
        <is>
          <t xml:space="preserve">Analises de Folhas </t>
        </is>
      </c>
      <c r="F31" s="517" t="n"/>
      <c r="G31" s="1222" t="n"/>
      <c r="H31" s="412" t="n"/>
      <c r="I31" s="1222" t="n"/>
    </row>
    <row r="32">
      <c r="A32" s="1288" t="inlineStr">
        <is>
          <t xml:space="preserve">Quantidade de amostras </t>
        </is>
      </c>
      <c r="B32" s="1654" t="inlineStr">
        <is>
          <t xml:space="preserve">Quantidade de amostras </t>
        </is>
      </c>
      <c r="C32" s="1654" t="inlineStr">
        <is>
          <t xml:space="preserve">Quantidade de amostras </t>
        </is>
      </c>
      <c r="D32" s="1289" t="n">
        <v>15</v>
      </c>
      <c r="E32" s="676" t="n"/>
      <c r="F32" s="517" t="n"/>
      <c r="G32" s="1222" t="n"/>
      <c r="H32" s="412" t="n"/>
      <c r="I32" s="1222" t="n"/>
    </row>
    <row r="33">
      <c r="A33" s="1288" t="inlineStr">
        <is>
          <t xml:space="preserve">Custo atual por amostra </t>
        </is>
      </c>
      <c r="B33" s="1654" t="inlineStr">
        <is>
          <t xml:space="preserve">Custo atual por amostra </t>
        </is>
      </c>
      <c r="C33" s="1654" t="inlineStr">
        <is>
          <t xml:space="preserve">Custo atual por amostra </t>
        </is>
      </c>
      <c r="D33" s="1655" t="n">
        <v>86</v>
      </c>
      <c r="E33" s="676" t="n"/>
      <c r="F33" s="517" t="n"/>
      <c r="G33" s="1222" t="n"/>
      <c r="H33" s="412" t="n"/>
      <c r="I33" s="1222" t="n"/>
    </row>
    <row r="34">
      <c r="A34" s="1290" t="inlineStr">
        <is>
          <t xml:space="preserve">Total </t>
        </is>
      </c>
      <c r="B34" s="1656" t="inlineStr">
        <is>
          <t xml:space="preserve">Total </t>
        </is>
      </c>
      <c r="C34" s="1656" t="inlineStr">
        <is>
          <t xml:space="preserve">Total </t>
        </is>
      </c>
      <c r="D34" s="1657">
        <f>(D33*D32)</f>
        <v/>
      </c>
      <c r="E34" s="679" t="n"/>
      <c r="F34" s="517" t="n"/>
      <c r="G34" s="1222" t="n"/>
      <c r="H34" s="412" t="n"/>
      <c r="I34" s="1222" t="n"/>
    </row>
    <row r="35">
      <c r="F35" s="517" t="n"/>
      <c r="G35" s="1222" t="n"/>
      <c r="H35" s="412" t="n"/>
      <c r="I35" s="1222" t="n"/>
    </row>
    <row r="36">
      <c r="A36" s="1648" t="inlineStr">
        <is>
          <t xml:space="preserve">Analise para identificar raça de Cisto </t>
        </is>
      </c>
      <c r="B36" s="1648" t="inlineStr">
        <is>
          <t xml:space="preserve">Analise para identificar raça de Cisto </t>
        </is>
      </c>
      <c r="C36" s="1648" t="inlineStr">
        <is>
          <t xml:space="preserve">Analise para identificar raça de Cisto </t>
        </is>
      </c>
      <c r="D36" s="1648" t="inlineStr">
        <is>
          <t xml:space="preserve">Analise para identificar raça de Cisto </t>
        </is>
      </c>
      <c r="E36" s="1648" t="inlineStr">
        <is>
          <t xml:space="preserve">Analise para identificar raça de Cisto </t>
        </is>
      </c>
      <c r="F36" s="517" t="n"/>
      <c r="G36" s="1222" t="n"/>
      <c r="H36" s="412" t="n"/>
      <c r="I36" s="1222" t="n"/>
    </row>
    <row r="37">
      <c r="A37" s="1292" t="inlineStr">
        <is>
          <t xml:space="preserve">Quantidade de amostras </t>
        </is>
      </c>
      <c r="B37" s="1658" t="inlineStr">
        <is>
          <t xml:space="preserve">Quantidade de amostras </t>
        </is>
      </c>
      <c r="C37" s="1658" t="inlineStr">
        <is>
          <t xml:space="preserve">Quantidade de amostras </t>
        </is>
      </c>
      <c r="D37" s="1132" t="n">
        <v>2</v>
      </c>
      <c r="F37" s="523" t="inlineStr">
        <is>
          <t xml:space="preserve">Radol 3 lote 5 e radol 1 e 2  </t>
        </is>
      </c>
      <c r="G37" s="1222" t="n"/>
      <c r="H37" s="412" t="n"/>
      <c r="I37" s="1222" t="n"/>
    </row>
    <row r="38">
      <c r="A38" s="1292" t="inlineStr">
        <is>
          <t xml:space="preserve">Custo atual por amostra </t>
        </is>
      </c>
      <c r="B38" s="1658" t="inlineStr">
        <is>
          <t xml:space="preserve">Custo atual por amostra </t>
        </is>
      </c>
      <c r="C38" s="1658" t="inlineStr">
        <is>
          <t xml:space="preserve">Custo atual por amostra </t>
        </is>
      </c>
      <c r="D38" s="1471" t="n">
        <v>700</v>
      </c>
      <c r="E38" s="518" t="n"/>
      <c r="F38" s="517" t="n"/>
      <c r="G38" s="1222" t="n"/>
      <c r="H38" s="412" t="n"/>
      <c r="I38" s="1222" t="n"/>
    </row>
    <row r="39">
      <c r="A39" s="1293" t="inlineStr">
        <is>
          <t xml:space="preserve">Total </t>
        </is>
      </c>
      <c r="B39" s="1659" t="inlineStr">
        <is>
          <t xml:space="preserve">Total </t>
        </is>
      </c>
      <c r="C39" s="1659" t="inlineStr">
        <is>
          <t xml:space="preserve">Total </t>
        </is>
      </c>
      <c r="D39" s="1660">
        <f>(D38*D37)</f>
        <v/>
      </c>
      <c r="E39" s="522" t="n"/>
      <c r="F39" s="517" t="n"/>
      <c r="G39" s="1222" t="n"/>
      <c r="H39" s="412" t="n"/>
      <c r="I39" s="1222" t="n"/>
    </row>
    <row r="40">
      <c r="A40" s="326" t="n"/>
      <c r="B40" s="326" t="n"/>
      <c r="C40" s="1222" t="n"/>
      <c r="D40" s="1222" t="n"/>
      <c r="E40" s="517" t="n"/>
      <c r="F40" s="517" t="n"/>
      <c r="G40" s="1222" t="n"/>
      <c r="H40" s="412" t="n"/>
      <c r="I40" s="1222" t="n"/>
    </row>
    <row r="41">
      <c r="A41" s="1661" t="inlineStr">
        <is>
          <t xml:space="preserve">Safra 22-23 tem analise de solo nas areas da bela vista </t>
        </is>
      </c>
      <c r="B41" s="1661" t="inlineStr">
        <is>
          <t xml:space="preserve">Safra 22-23 tem analise de solo nas areas da bela vista </t>
        </is>
      </c>
      <c r="C41" s="1661" t="inlineStr">
        <is>
          <t xml:space="preserve">Safra 22-23 tem analise de solo nas areas da bela vista </t>
        </is>
      </c>
      <c r="D41" s="1662" t="inlineStr">
        <is>
          <t xml:space="preserve">Preço macro e micro atual </t>
        </is>
      </c>
      <c r="E41" s="1663" t="n">
        <v>27.5</v>
      </c>
      <c r="F41" s="120" t="n">
        <v>384</v>
      </c>
      <c r="G41" s="1664">
        <f>F41*E41</f>
        <v/>
      </c>
      <c r="H41" s="1665" t="n"/>
    </row>
    <row r="42">
      <c r="A42" s="1661" t="inlineStr">
        <is>
          <t xml:space="preserve">Safra 22-23 tem analise de solo nas areas da bela vista </t>
        </is>
      </c>
      <c r="B42" s="1661" t="inlineStr">
        <is>
          <t xml:space="preserve">Safra 22-23 tem analise de solo nas areas da bela vista </t>
        </is>
      </c>
      <c r="C42" s="1661" t="inlineStr">
        <is>
          <t xml:space="preserve">Safra 22-23 tem analise de solo nas areas da bela vista </t>
        </is>
      </c>
      <c r="D42" s="526" t="inlineStr">
        <is>
          <t xml:space="preserve">Preço macro  atual </t>
        </is>
      </c>
      <c r="E42" s="1666" t="n">
        <v>16</v>
      </c>
      <c r="F42" s="120" t="n">
        <v>768</v>
      </c>
      <c r="G42" s="1664">
        <f>F42*E42</f>
        <v/>
      </c>
      <c r="H42" s="1667" t="n"/>
      <c r="I42" s="567" t="n"/>
    </row>
    <row r="43">
      <c r="A43" s="1244" t="n"/>
      <c r="B43" s="1244" t="n"/>
      <c r="C43" s="517" t="n"/>
      <c r="D43" s="517" t="n"/>
      <c r="E43" s="517" t="n"/>
      <c r="F43" s="568" t="n"/>
      <c r="G43" s="517" t="n"/>
      <c r="H43" s="517" t="n"/>
      <c r="I43" s="1244" t="n"/>
    </row>
    <row r="44">
      <c r="A44" s="1292" t="inlineStr">
        <is>
          <t xml:space="preserve">Comprar um Quadro branco  para planejamento equipe técnica preço de internet 120 cm X 90 cm </t>
        </is>
      </c>
      <c r="B44" s="1658" t="inlineStr">
        <is>
          <t xml:space="preserve">Comprar um Quadro branco  para planejamento equipe técnica preço de internet 120 cm X 90 cm </t>
        </is>
      </c>
      <c r="C44" s="1658" t="inlineStr">
        <is>
          <t xml:space="preserve">Comprar um Quadro branco  para planejamento equipe técnica preço de internet 120 cm X 90 cm </t>
        </is>
      </c>
      <c r="D44" s="1471" t="n">
        <v>130</v>
      </c>
    </row>
  </sheetData>
  <pageMargins left="0.511811024" right="0.511811024" top="0.787401575" bottom="0.787401575" header="0.31496062" footer="0.31496062"/>
  <pageSetup orientation="portrait" paperSize="9" verticalDpi="300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1:C95"/>
  <sheetViews>
    <sheetView topLeftCell="A87" workbookViewId="0">
      <selection activeCell="D101" sqref="D101"/>
    </sheetView>
  </sheetViews>
  <sheetFormatPr baseColWidth="8" defaultRowHeight="15"/>
  <cols>
    <col width="67.85546875" bestFit="1" customWidth="1" style="1173" min="3" max="3"/>
  </cols>
  <sheetData>
    <row r="1" ht="23.25" customHeight="1" s="1173">
      <c r="B1" s="1301" t="inlineStr">
        <is>
          <t>OFICINA</t>
        </is>
      </c>
      <c r="C1" s="1301" t="inlineStr">
        <is>
          <t>OFICINA</t>
        </is>
      </c>
    </row>
    <row r="2">
      <c r="B2" s="120" t="inlineStr">
        <is>
          <t>Valor</t>
        </is>
      </c>
      <c r="C2" s="120" t="inlineStr">
        <is>
          <t xml:space="preserve">Descrição </t>
        </is>
      </c>
    </row>
    <row r="3">
      <c r="B3" s="120" t="n">
        <v>143.41</v>
      </c>
      <c r="C3" s="120" t="inlineStr">
        <is>
          <t>parafusos e buchas de parede</t>
        </is>
      </c>
    </row>
    <row r="4">
      <c r="B4" s="120" t="n">
        <v>145.8</v>
      </c>
      <c r="C4" s="120" t="inlineStr">
        <is>
          <t>Assente sanitario, lampada led, fita crepe</t>
        </is>
      </c>
    </row>
    <row r="5">
      <c r="B5" s="120" t="n">
        <v>2800</v>
      </c>
      <c r="C5" s="120" t="inlineStr">
        <is>
          <t xml:space="preserve">Cilindro oxigenio </t>
        </is>
      </c>
    </row>
    <row r="6">
      <c r="B6" s="120" t="n">
        <v>231.53</v>
      </c>
      <c r="C6" s="120" t="inlineStr">
        <is>
          <t>Mangueira e conexões</t>
        </is>
      </c>
    </row>
    <row r="7">
      <c r="B7" s="120" t="n">
        <v>50.46</v>
      </c>
      <c r="C7" s="120" t="inlineStr">
        <is>
          <t xml:space="preserve">parafusos e porca travante </t>
        </is>
      </c>
    </row>
    <row r="8">
      <c r="B8" s="120" t="n">
        <v>770</v>
      </c>
      <c r="C8" s="120" t="inlineStr">
        <is>
          <t>Graxa blue</t>
        </is>
      </c>
    </row>
    <row r="9">
      <c r="B9" s="120" t="n">
        <v>165</v>
      </c>
      <c r="C9" s="120" t="inlineStr">
        <is>
          <t>veneno para rato</t>
        </is>
      </c>
    </row>
    <row r="10">
      <c r="B10" s="120" t="n">
        <v>129.42</v>
      </c>
      <c r="C10" s="120" t="inlineStr">
        <is>
          <t xml:space="preserve">oculos incorlar, antirrespingo </t>
        </is>
      </c>
    </row>
    <row r="11">
      <c r="B11" s="120" t="n">
        <v>211.85</v>
      </c>
      <c r="C11" s="120" t="inlineStr">
        <is>
          <t xml:space="preserve">Lamina e serra circular para cortar grama </t>
        </is>
      </c>
    </row>
    <row r="12">
      <c r="B12" s="120" t="n">
        <v>38.8</v>
      </c>
      <c r="C12" s="120" t="inlineStr">
        <is>
          <t xml:space="preserve">Plug femea </t>
        </is>
      </c>
    </row>
    <row r="13">
      <c r="B13" s="120" t="n">
        <v>353</v>
      </c>
      <c r="C13" s="120" t="inlineStr">
        <is>
          <t xml:space="preserve">bandeirinha marca teste </t>
        </is>
      </c>
    </row>
    <row r="14">
      <c r="B14" s="120" t="n">
        <v>344.92</v>
      </c>
      <c r="C14" s="120" t="inlineStr">
        <is>
          <t>papel toalha</t>
        </is>
      </c>
    </row>
    <row r="15">
      <c r="B15" s="120" t="n">
        <v>209.34</v>
      </c>
      <c r="C15" s="120" t="inlineStr">
        <is>
          <t xml:space="preserve">limpa contato, grafite spray,garrafa termica e perneira </t>
        </is>
      </c>
    </row>
    <row r="16">
      <c r="B16" s="120" t="n">
        <v>309</v>
      </c>
      <c r="C16" s="120" t="inlineStr">
        <is>
          <t xml:space="preserve">refil </t>
        </is>
      </c>
    </row>
    <row r="17">
      <c r="B17" s="120" t="n">
        <v>475</v>
      </c>
      <c r="C17" s="120" t="inlineStr">
        <is>
          <t xml:space="preserve">detergente,sabonete,espanador </t>
        </is>
      </c>
    </row>
    <row r="18">
      <c r="B18" s="120" t="n">
        <v>51.12</v>
      </c>
      <c r="C18" s="120" t="inlineStr">
        <is>
          <t xml:space="preserve">Calibrador </t>
        </is>
      </c>
    </row>
    <row r="19">
      <c r="B19" s="120" t="n">
        <v>177.93</v>
      </c>
      <c r="C19" s="120" t="inlineStr">
        <is>
          <t>lençol solteiro</t>
        </is>
      </c>
    </row>
    <row r="20">
      <c r="B20" s="120" t="n">
        <v>9.779999999999999</v>
      </c>
      <c r="C20" s="120" t="inlineStr">
        <is>
          <t>uniao de 1 azul</t>
        </is>
      </c>
    </row>
    <row r="21">
      <c r="B21" s="120" t="n">
        <v>126.9</v>
      </c>
      <c r="C21" s="120" t="inlineStr">
        <is>
          <t>mangueira succão, abracadeira e espuma expansiva</t>
        </is>
      </c>
    </row>
    <row r="22">
      <c r="B22" s="120" t="n">
        <v>442.8</v>
      </c>
      <c r="C22" s="120" t="inlineStr">
        <is>
          <t>antiferrugem, limpa contato,garrafa termica, veda calha e bico de limpeza</t>
        </is>
      </c>
    </row>
    <row r="23">
      <c r="B23" s="120" t="n">
        <v>77.53</v>
      </c>
      <c r="C23" s="120" t="inlineStr">
        <is>
          <t xml:space="preserve">porca e parafuso sextavado </t>
        </is>
      </c>
    </row>
    <row r="24">
      <c r="B24" s="120" t="n">
        <v>48.75</v>
      </c>
      <c r="C24" s="120" t="inlineStr">
        <is>
          <t xml:space="preserve">pilha palito </t>
        </is>
      </c>
    </row>
    <row r="25">
      <c r="B25" s="120" t="n">
        <v>306.57</v>
      </c>
      <c r="C25" s="120" t="inlineStr">
        <is>
          <t>Lanterna de cabeça</t>
        </is>
      </c>
    </row>
    <row r="26">
      <c r="B26" s="120" t="n">
        <v>56.61</v>
      </c>
      <c r="C26" s="120" t="inlineStr">
        <is>
          <t xml:space="preserve">Sifao para pias </t>
        </is>
      </c>
    </row>
    <row r="27">
      <c r="B27" s="120" t="n">
        <v>255</v>
      </c>
      <c r="C27" s="120" t="inlineStr">
        <is>
          <t xml:space="preserve">refil </t>
        </is>
      </c>
    </row>
    <row r="28">
      <c r="B28" s="120" t="n">
        <v>55.4</v>
      </c>
      <c r="C28" s="120" t="inlineStr">
        <is>
          <t xml:space="preserve">foice rocadeira e luva vaqueta </t>
        </is>
      </c>
    </row>
    <row r="29">
      <c r="B29" s="120" t="n">
        <v>1533.17</v>
      </c>
      <c r="C29" s="120" t="inlineStr">
        <is>
          <t>Estopa, fita isolante, oculos de segurança , bontinas, conjunto aplicação</t>
        </is>
      </c>
    </row>
    <row r="30">
      <c r="B30" s="120" t="n">
        <v>99.63</v>
      </c>
      <c r="C30" s="120" t="inlineStr">
        <is>
          <t>canivete</t>
        </is>
      </c>
    </row>
    <row r="31">
      <c r="B31" s="120" t="n">
        <v>330</v>
      </c>
      <c r="C31" s="120" t="inlineStr">
        <is>
          <t>canivete zebu</t>
        </is>
      </c>
    </row>
    <row r="32">
      <c r="B32" s="120" t="n">
        <v>190</v>
      </c>
      <c r="C32" s="120" t="inlineStr">
        <is>
          <t>conjunto lubrifil da bomba de graxa</t>
        </is>
      </c>
    </row>
    <row r="33">
      <c r="B33" s="120" t="n">
        <v>570.49</v>
      </c>
      <c r="C33" s="120" t="inlineStr">
        <is>
          <t xml:space="preserve">botinas e bota pvc </t>
        </is>
      </c>
    </row>
    <row r="34">
      <c r="B34" s="120" t="n">
        <v>179.7</v>
      </c>
      <c r="C34" s="120" t="inlineStr">
        <is>
          <t xml:space="preserve">Mini pa </t>
        </is>
      </c>
    </row>
    <row r="35">
      <c r="B35" s="120" t="n">
        <v>85.77</v>
      </c>
      <c r="C35" s="120" t="inlineStr">
        <is>
          <t xml:space="preserve">peneira e trena </t>
        </is>
      </c>
    </row>
    <row r="36">
      <c r="B36" s="120" t="n">
        <v>1021.85</v>
      </c>
      <c r="C36" s="120" t="inlineStr">
        <is>
          <t>mangueira hidraulica esta no estoque</t>
        </is>
      </c>
    </row>
    <row r="37">
      <c r="B37" s="120" t="n">
        <v>40.04</v>
      </c>
      <c r="C37" s="120" t="inlineStr">
        <is>
          <t>Mini lupa</t>
        </is>
      </c>
    </row>
    <row r="38">
      <c r="B38" s="120" t="n">
        <v>59.85</v>
      </c>
      <c r="C38" s="120" t="inlineStr">
        <is>
          <t>Mini lupa</t>
        </is>
      </c>
    </row>
    <row r="39">
      <c r="B39" s="120" t="n">
        <v>208.62</v>
      </c>
      <c r="C39" s="120" t="inlineStr">
        <is>
          <t>limpa contato ,alicate, conjunto motoqueiro</t>
        </is>
      </c>
    </row>
    <row r="40">
      <c r="B40" s="120" t="n">
        <v>50.4</v>
      </c>
      <c r="C40" s="120" t="inlineStr">
        <is>
          <t>selante</t>
        </is>
      </c>
    </row>
    <row r="41">
      <c r="B41" s="120" t="n">
        <v>1113.68</v>
      </c>
      <c r="C41" s="120" t="inlineStr">
        <is>
          <t>cruzeta cardan luva deslizante</t>
        </is>
      </c>
    </row>
    <row r="42">
      <c r="B42" s="120" t="n">
        <v>153</v>
      </c>
      <c r="C42" s="120" t="inlineStr">
        <is>
          <t>intercap e solupan</t>
        </is>
      </c>
    </row>
    <row r="43">
      <c r="B43" s="120" t="n">
        <v>108</v>
      </c>
      <c r="C43" s="120" t="inlineStr">
        <is>
          <t xml:space="preserve">Pino </t>
        </is>
      </c>
    </row>
    <row r="44">
      <c r="B44" s="120" t="n">
        <v>636.5700000000001</v>
      </c>
      <c r="C44" s="120" t="inlineStr">
        <is>
          <t>Peçãs usadas na estalação da sirene nas maquinas e camionete</t>
        </is>
      </c>
    </row>
    <row r="45">
      <c r="B45" s="120" t="n">
        <v>83.88</v>
      </c>
      <c r="C45" s="120" t="inlineStr">
        <is>
          <t xml:space="preserve">Abracadeira, registros </t>
        </is>
      </c>
    </row>
    <row r="46">
      <c r="B46" s="120" t="n">
        <v>44.99</v>
      </c>
      <c r="C46" s="120" t="inlineStr">
        <is>
          <t>Alicate Rebitador</t>
        </is>
      </c>
    </row>
    <row r="47">
      <c r="B47" s="120" t="n">
        <v>66.44</v>
      </c>
      <c r="C47" s="120" t="inlineStr">
        <is>
          <t>Corda para os motor bomba</t>
        </is>
      </c>
    </row>
    <row r="48">
      <c r="B48" s="120" t="n">
        <v>23.17</v>
      </c>
      <c r="C48" s="120" t="inlineStr">
        <is>
          <t>cola junta</t>
        </is>
      </c>
    </row>
    <row r="49">
      <c r="B49" s="120" t="n">
        <v>342.95</v>
      </c>
      <c r="C49" s="120" t="inlineStr">
        <is>
          <t>luva e roupa para apicultutor</t>
        </is>
      </c>
    </row>
    <row r="50">
      <c r="B50" s="120" t="n">
        <v>38.72</v>
      </c>
      <c r="C50" s="120" t="inlineStr">
        <is>
          <t>marcador para qaudro branco</t>
        </is>
      </c>
    </row>
    <row r="51">
      <c r="B51" s="120" t="n">
        <v>30.9</v>
      </c>
      <c r="C51" s="120" t="inlineStr">
        <is>
          <t>mangueira de succao cristal azul</t>
        </is>
      </c>
    </row>
    <row r="52">
      <c r="B52" s="120" t="n">
        <v>27</v>
      </c>
      <c r="C52" s="120" t="inlineStr">
        <is>
          <t>porca 6mm</t>
        </is>
      </c>
    </row>
    <row r="53">
      <c r="B53" s="120" t="n">
        <v>152.5</v>
      </c>
      <c r="C53" s="120" t="inlineStr">
        <is>
          <t>Disco de corte e trincha</t>
        </is>
      </c>
    </row>
    <row r="54">
      <c r="B54" s="120" t="n">
        <v>140.5</v>
      </c>
      <c r="C54" s="120" t="inlineStr">
        <is>
          <t>Bocal conico, difusor de gas e porta bico</t>
        </is>
      </c>
    </row>
    <row r="55">
      <c r="B55" s="120" t="n">
        <v>150</v>
      </c>
      <c r="C55" s="120" t="inlineStr">
        <is>
          <t xml:space="preserve">Cartucho para impressora </t>
        </is>
      </c>
    </row>
    <row r="56">
      <c r="B56" s="120" t="n">
        <v>2160.9</v>
      </c>
      <c r="C56" s="120" t="inlineStr">
        <is>
          <t>Plug macho e femea, botinas de segurançã, conjunto aplicação e cartucho</t>
        </is>
      </c>
    </row>
    <row r="57">
      <c r="B57" s="120" t="n">
        <v>164.8</v>
      </c>
      <c r="C57" s="120" t="inlineStr">
        <is>
          <t>estopa</t>
        </is>
      </c>
    </row>
    <row r="58">
      <c r="B58" s="120" t="n">
        <v>37.5</v>
      </c>
      <c r="C58" s="120" t="inlineStr">
        <is>
          <t xml:space="preserve">Valvula torneira </t>
        </is>
      </c>
    </row>
    <row r="59">
      <c r="B59" s="120" t="n">
        <v>250</v>
      </c>
      <c r="C59" s="120" t="inlineStr">
        <is>
          <t xml:space="preserve">Gas oxigenio </t>
        </is>
      </c>
    </row>
    <row r="60">
      <c r="B60" s="120" t="n">
        <v>30.6</v>
      </c>
      <c r="C60" s="120" t="inlineStr">
        <is>
          <t xml:space="preserve">Pregos </t>
        </is>
      </c>
    </row>
    <row r="61">
      <c r="B61" s="120" t="n">
        <v>102.02</v>
      </c>
      <c r="C61" s="120" t="inlineStr">
        <is>
          <t xml:space="preserve">soro fisiologico, sabao protex </t>
        </is>
      </c>
    </row>
    <row r="62">
      <c r="B62" s="120" t="n">
        <v>800</v>
      </c>
      <c r="C62" s="120" t="inlineStr">
        <is>
          <t>Graxa blue</t>
        </is>
      </c>
    </row>
    <row r="63">
      <c r="B63" s="120" t="n">
        <v>135</v>
      </c>
      <c r="C63" s="120" t="inlineStr">
        <is>
          <t>Rolamnetos</t>
        </is>
      </c>
    </row>
    <row r="64">
      <c r="B64" s="120" t="n">
        <v>690</v>
      </c>
      <c r="C64" s="120" t="inlineStr">
        <is>
          <t xml:space="preserve">Graxa mobil </t>
        </is>
      </c>
    </row>
    <row r="65">
      <c r="B65" s="120" t="n">
        <v>94.8</v>
      </c>
      <c r="C65" s="120" t="inlineStr">
        <is>
          <t>Oleo para motor 2 tempo</t>
        </is>
      </c>
    </row>
    <row r="66">
      <c r="B66" s="120" t="n">
        <v>228.6</v>
      </c>
      <c r="C66" s="120" t="inlineStr">
        <is>
          <t xml:space="preserve">cola vipal </t>
        </is>
      </c>
    </row>
    <row r="67">
      <c r="B67" s="120" t="n">
        <v>47.57</v>
      </c>
      <c r="C67" s="120" t="inlineStr">
        <is>
          <t>Silicone</t>
        </is>
      </c>
    </row>
    <row r="68">
      <c r="B68" s="120" t="n">
        <v>29.9</v>
      </c>
      <c r="C68" s="120" t="inlineStr">
        <is>
          <t xml:space="preserve">Tesoura caixa primeiros socorros </t>
        </is>
      </c>
    </row>
    <row r="69">
      <c r="B69" s="120" t="n">
        <v>66.40000000000001</v>
      </c>
      <c r="C69" s="120" t="inlineStr">
        <is>
          <t>Araldite e cola durepox</t>
        </is>
      </c>
    </row>
    <row r="70">
      <c r="B70" s="120" t="n">
        <v>94.40000000000001</v>
      </c>
      <c r="C70" s="120" t="inlineStr">
        <is>
          <t>spray verde</t>
        </is>
      </c>
    </row>
    <row r="71">
      <c r="B71" s="120" t="n">
        <v>226.7</v>
      </c>
      <c r="C71" s="120" t="inlineStr">
        <is>
          <t>Comjunto retratil</t>
        </is>
      </c>
    </row>
    <row r="72">
      <c r="B72" s="120" t="n">
        <v>177.9</v>
      </c>
      <c r="C72" s="120" t="inlineStr">
        <is>
          <t>chuveiro e torneira</t>
        </is>
      </c>
    </row>
    <row r="73">
      <c r="B73" s="120" t="n">
        <v>100</v>
      </c>
      <c r="C73" s="120" t="inlineStr">
        <is>
          <t>Filtro e fita 3m</t>
        </is>
      </c>
    </row>
    <row r="74">
      <c r="B74" s="120" t="n">
        <v>112</v>
      </c>
      <c r="C74" s="120" t="inlineStr">
        <is>
          <t>Solupan,intercap</t>
        </is>
      </c>
    </row>
    <row r="75">
      <c r="B75" s="120" t="n">
        <v>17.55</v>
      </c>
      <c r="C75" s="120" t="inlineStr">
        <is>
          <t xml:space="preserve">Pregos </t>
        </is>
      </c>
    </row>
    <row r="76">
      <c r="B76" s="120" t="n">
        <v>131.86</v>
      </c>
      <c r="C76" s="120" t="inlineStr">
        <is>
          <t xml:space="preserve">espuma expansiva </t>
        </is>
      </c>
    </row>
    <row r="77">
      <c r="B77" s="120" t="n">
        <v>290.91</v>
      </c>
      <c r="C77" s="120" t="inlineStr">
        <is>
          <t>cinta e catraca</t>
        </is>
      </c>
    </row>
    <row r="78">
      <c r="B78" s="120" t="n">
        <v>450</v>
      </c>
      <c r="C78" s="120" t="inlineStr">
        <is>
          <t>Gas mistura m3</t>
        </is>
      </c>
    </row>
    <row r="79">
      <c r="B79" s="120" t="n">
        <v>12.6</v>
      </c>
      <c r="C79" s="120" t="inlineStr">
        <is>
          <t>correia b 46</t>
        </is>
      </c>
    </row>
    <row r="80">
      <c r="B80" s="120" t="n">
        <v>3999</v>
      </c>
      <c r="C80" s="120" t="inlineStr">
        <is>
          <t>chave de impacto e makita 18v</t>
        </is>
      </c>
    </row>
    <row r="81">
      <c r="B81" s="120" t="n">
        <v>200</v>
      </c>
      <c r="C81" s="120" t="inlineStr">
        <is>
          <t>Ração peixe</t>
        </is>
      </c>
    </row>
    <row r="82">
      <c r="B82" s="120" t="n">
        <v>237.46</v>
      </c>
      <c r="C82" s="120" t="inlineStr">
        <is>
          <t>Kit reparo e limitador de altura para corta grama</t>
        </is>
      </c>
    </row>
    <row r="83">
      <c r="B83" s="120" t="n">
        <v>253.45</v>
      </c>
      <c r="C83" s="120" t="inlineStr">
        <is>
          <t>marcarrão, fita isolante, disco desbate</t>
        </is>
      </c>
    </row>
    <row r="84">
      <c r="B84" s="120" t="n">
        <v>359.46</v>
      </c>
      <c r="C84" s="120" t="inlineStr">
        <is>
          <t xml:space="preserve">Bico de corte e parafusos </t>
        </is>
      </c>
    </row>
    <row r="85">
      <c r="B85" s="120" t="n">
        <v>112</v>
      </c>
      <c r="C85" s="120" t="inlineStr">
        <is>
          <t>intercap e solupan</t>
        </is>
      </c>
    </row>
    <row r="86">
      <c r="B86" s="120" t="n">
        <v>156.6</v>
      </c>
      <c r="C86" s="120" t="inlineStr">
        <is>
          <t>estopa</t>
        </is>
      </c>
    </row>
    <row r="87">
      <c r="B87" s="120" t="n">
        <v>295</v>
      </c>
      <c r="C87" s="120" t="inlineStr">
        <is>
          <t>peça para maquina de graxa</t>
        </is>
      </c>
    </row>
    <row r="88">
      <c r="B88" s="120" t="n">
        <v>1716.9</v>
      </c>
      <c r="C88" s="120" t="inlineStr">
        <is>
          <t>Aditivo</t>
        </is>
      </c>
    </row>
    <row r="89">
      <c r="B89" s="120" t="n">
        <v>400</v>
      </c>
      <c r="C89" s="120" t="inlineStr">
        <is>
          <t>Chave de venda isolada e rele fotocelula</t>
        </is>
      </c>
    </row>
    <row r="90">
      <c r="B90" s="120" t="n">
        <v>278.5</v>
      </c>
      <c r="C90" s="120" t="inlineStr">
        <is>
          <t xml:space="preserve">Soquete sextavado e gravador </t>
        </is>
      </c>
    </row>
    <row r="91">
      <c r="B91" s="120" t="n">
        <v>155</v>
      </c>
      <c r="C91" s="120" t="inlineStr">
        <is>
          <t xml:space="preserve">Lima enxada </t>
        </is>
      </c>
    </row>
    <row r="92">
      <c r="B92" s="120" t="n">
        <v>91</v>
      </c>
      <c r="C92" s="120" t="inlineStr">
        <is>
          <t>porca e trava</t>
        </is>
      </c>
    </row>
    <row r="93">
      <c r="B93" s="120" t="n">
        <v>220.25</v>
      </c>
      <c r="C93" s="120" t="inlineStr">
        <is>
          <t>soquete impacto e adaptador</t>
        </is>
      </c>
    </row>
    <row r="94">
      <c r="B94" s="120" t="n">
        <v>830.36</v>
      </c>
      <c r="C94" s="120" t="inlineStr">
        <is>
          <t>Rolamentos para rolo faca</t>
        </is>
      </c>
    </row>
    <row r="95">
      <c r="B95" s="120" t="n">
        <v>1870</v>
      </c>
      <c r="C95" s="120" t="inlineStr">
        <is>
          <t>Rolamentos para rolo faca</t>
        </is>
      </c>
    </row>
  </sheetData>
  <pageMargins left="0.511811024" right="0.511811024" top="0.787401575" bottom="0.787401575" header="0.31496062" footer="0.31496062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selection activeCell="G8" sqref="G8"/>
    </sheetView>
  </sheetViews>
  <sheetFormatPr baseColWidth="8" defaultColWidth="8.85546875" defaultRowHeight="12.75"/>
  <cols>
    <col width="45.42578125" customWidth="1" style="410" min="1" max="1"/>
    <col width="11.42578125" customWidth="1" style="410" min="2" max="2"/>
    <col width="18.7109375" customWidth="1" style="410" min="3" max="3"/>
    <col width="17.5703125" customWidth="1" style="410" min="4" max="4"/>
    <col width="8.85546875" customWidth="1" style="410" min="5" max="7"/>
    <col width="12.42578125" bestFit="1" customWidth="1" style="410" min="8" max="8"/>
    <col width="8.85546875" customWidth="1" style="410" min="9" max="16384"/>
  </cols>
  <sheetData>
    <row r="1" ht="15" customHeight="1" s="1173">
      <c r="A1" s="1309" t="inlineStr">
        <is>
          <t>ORÇAMENTO BAZE ZERO SAFRA 2022/2023 - Esccritorio Balança Agroinvest.</t>
        </is>
      </c>
      <c r="B1" s="1309" t="inlineStr">
        <is>
          <t>ORÇAMENTO BAZE ZERO SAFRA 2022/2023 - Esccritorio Balança Agroinvest.</t>
        </is>
      </c>
      <c r="C1" s="1309" t="inlineStr">
        <is>
          <t>ORÇAMENTO BAZE ZERO SAFRA 2022/2023 - Esccritorio Balança Agroinvest.</t>
        </is>
      </c>
      <c r="D1" s="1309" t="inlineStr">
        <is>
          <t>ORÇAMENTO BAZE ZERO SAFRA 2022/2023 - Esccritorio Balança Agroinvest.</t>
        </is>
      </c>
    </row>
    <row r="2" ht="15" customHeight="1" s="1173">
      <c r="A2" s="1309" t="inlineStr">
        <is>
          <t>ORÇAMENTO BAZE ZERO SAFRA 2022/2023 - Esccritorio Balança Agroinvest.</t>
        </is>
      </c>
      <c r="B2" s="1309" t="inlineStr">
        <is>
          <t>ORÇAMENTO BAZE ZERO SAFRA 2022/2023 - Esccritorio Balança Agroinvest.</t>
        </is>
      </c>
      <c r="C2" s="1309" t="inlineStr">
        <is>
          <t>ORÇAMENTO BAZE ZERO SAFRA 2022/2023 - Esccritorio Balança Agroinvest.</t>
        </is>
      </c>
      <c r="D2" s="1309" t="inlineStr">
        <is>
          <t>ORÇAMENTO BAZE ZERO SAFRA 2022/2023 - Esccritorio Balança Agroinvest.</t>
        </is>
      </c>
    </row>
    <row r="3" ht="15" customHeight="1" s="1173">
      <c r="A3" s="625" t="inlineStr">
        <is>
          <t>Itens</t>
        </is>
      </c>
      <c r="B3" s="625" t="inlineStr">
        <is>
          <t>Quantidade</t>
        </is>
      </c>
      <c r="C3" s="625" t="inlineStr">
        <is>
          <t>Valor</t>
        </is>
      </c>
      <c r="D3" s="637" t="inlineStr">
        <is>
          <t>Valor total</t>
        </is>
      </c>
    </row>
    <row r="4" ht="15" customHeight="1" s="1173">
      <c r="A4" s="820" t="inlineStr">
        <is>
          <t>Calculadora</t>
        </is>
      </c>
      <c r="B4" s="820" t="n">
        <v>1</v>
      </c>
      <c r="C4" s="1668" t="n">
        <v>35</v>
      </c>
      <c r="D4" s="819">
        <f>B4*C4</f>
        <v/>
      </c>
      <c r="E4" s="569" t="n"/>
    </row>
    <row r="5" ht="15" customHeight="1" s="1173">
      <c r="A5" s="820" t="inlineStr">
        <is>
          <t>Comodato impressora  12xR$ 240</t>
        </is>
      </c>
      <c r="B5" s="820" t="n">
        <v>12</v>
      </c>
      <c r="C5" s="1668" t="n">
        <v>150</v>
      </c>
      <c r="D5" s="819">
        <f>B5*C5</f>
        <v/>
      </c>
      <c r="E5" s="569" t="n"/>
    </row>
    <row r="6" ht="15" customHeight="1" s="1173">
      <c r="A6" s="425" t="inlineStr">
        <is>
          <t>Concerto noobrak</t>
        </is>
      </c>
      <c r="B6" s="425" t="n">
        <v>1</v>
      </c>
      <c r="C6" s="1669" t="n">
        <v>250</v>
      </c>
      <c r="D6" s="819">
        <f>B6*C6</f>
        <v/>
      </c>
      <c r="E6" s="569" t="n"/>
    </row>
    <row r="7" ht="15" customHeight="1" s="1173">
      <c r="A7" s="120" t="inlineStr">
        <is>
          <t>Concerto ar condicionado</t>
        </is>
      </c>
      <c r="B7" s="120" t="n">
        <v>1</v>
      </c>
      <c r="C7" s="1518" t="n">
        <v>650</v>
      </c>
      <c r="D7" s="819">
        <f>B7*C7</f>
        <v/>
      </c>
      <c r="E7" s="569" t="n"/>
    </row>
    <row r="8" ht="15" customHeight="1" s="1173">
      <c r="A8" s="820" t="inlineStr">
        <is>
          <t>Caneta cx</t>
        </is>
      </c>
      <c r="B8" s="820" t="n">
        <v>1</v>
      </c>
      <c r="C8" s="1668" t="n">
        <v>46</v>
      </c>
      <c r="D8" s="819">
        <f>B8*C8</f>
        <v/>
      </c>
      <c r="E8" s="569" t="n"/>
    </row>
    <row r="9" ht="15" customHeight="1" s="1173">
      <c r="A9" s="822" t="inlineStr">
        <is>
          <t>Cx com 5 mil Granpos 26/6 para grampeador</t>
        </is>
      </c>
      <c r="B9" s="822" t="n">
        <v>1</v>
      </c>
      <c r="C9" s="1670" t="n">
        <v>25</v>
      </c>
      <c r="D9" s="819">
        <f>B9*C9</f>
        <v/>
      </c>
      <c r="E9" s="569" t="n"/>
    </row>
    <row r="10" ht="15" customHeight="1" s="1173">
      <c r="A10" s="822" t="inlineStr">
        <is>
          <t xml:space="preserve">Cx com 48 unidades de prendedor de papel 25mm </t>
        </is>
      </c>
      <c r="B10" s="822" t="n">
        <v>1</v>
      </c>
      <c r="C10" s="1670" t="n">
        <v>17.5</v>
      </c>
      <c r="D10" s="819">
        <f>B10*C10</f>
        <v/>
      </c>
      <c r="E10" s="569" t="n"/>
    </row>
    <row r="11" ht="15" customHeight="1" s="1173">
      <c r="A11" s="822" t="inlineStr">
        <is>
          <t xml:space="preserve">Cx com 12 unidades de prendedor de papel 51mm </t>
        </is>
      </c>
      <c r="B11" s="822" t="n">
        <v>2</v>
      </c>
      <c r="C11" s="1670" t="n">
        <v>33</v>
      </c>
      <c r="D11" s="819">
        <f>B11*C11</f>
        <v/>
      </c>
      <c r="E11" s="569" t="n"/>
    </row>
    <row r="12" ht="15" customHeight="1" s="1173">
      <c r="A12" s="822" t="inlineStr">
        <is>
          <t>Grampeador</t>
        </is>
      </c>
      <c r="B12" s="822" t="n">
        <v>1</v>
      </c>
      <c r="C12" s="1670" t="n">
        <v>60</v>
      </c>
      <c r="D12" s="819">
        <f>B12*C12</f>
        <v/>
      </c>
      <c r="E12" s="569" t="n"/>
    </row>
    <row r="13" ht="15" customHeight="1" s="1173">
      <c r="A13" s="820" t="inlineStr">
        <is>
          <t>Lampadas para  escritorio</t>
        </is>
      </c>
      <c r="B13" s="820" t="n">
        <v>2</v>
      </c>
      <c r="C13" s="1668" t="n">
        <v>37</v>
      </c>
      <c r="D13" s="819">
        <f>B13*C13</f>
        <v/>
      </c>
      <c r="E13" s="569" t="n"/>
    </row>
    <row r="14" ht="15" customHeight="1" s="1173">
      <c r="A14" s="822" t="inlineStr">
        <is>
          <t>Lixeira 15 lt com pedal</t>
        </is>
      </c>
      <c r="B14" s="822" t="n">
        <v>0</v>
      </c>
      <c r="C14" s="1670" t="n">
        <v>270</v>
      </c>
      <c r="D14" s="819">
        <f>B14*C14</f>
        <v/>
      </c>
      <c r="E14" s="569" t="n"/>
    </row>
    <row r="15" ht="15" customHeight="1" s="1173">
      <c r="A15" s="820" t="inlineStr">
        <is>
          <t>Marcador permanente</t>
        </is>
      </c>
      <c r="B15" s="820" t="n">
        <v>6</v>
      </c>
      <c r="C15" s="1668" t="n">
        <v>8</v>
      </c>
      <c r="D15" s="819">
        <f>B15*C15</f>
        <v/>
      </c>
      <c r="E15" s="569" t="n"/>
    </row>
    <row r="16" ht="15" customHeight="1" s="1173">
      <c r="A16" s="120" t="inlineStr">
        <is>
          <t>Marca texto verde</t>
        </is>
      </c>
      <c r="B16" s="120" t="n">
        <v>2</v>
      </c>
      <c r="C16" s="1518" t="n">
        <v>5</v>
      </c>
      <c r="D16" s="819">
        <f>B16*C16</f>
        <v/>
      </c>
      <c r="G16" s="88" t="inlineStr">
        <is>
          <t>TOTAL</t>
        </is>
      </c>
      <c r="H16" s="571">
        <f>D21+D29</f>
        <v/>
      </c>
    </row>
    <row r="17" ht="15" customHeight="1" s="1173">
      <c r="A17" s="820" t="inlineStr">
        <is>
          <t>Papel A4  cx</t>
        </is>
      </c>
      <c r="B17" s="820" t="n">
        <v>2</v>
      </c>
      <c r="C17" s="1668" t="n">
        <v>200</v>
      </c>
      <c r="D17" s="819">
        <f>B17*C17</f>
        <v/>
      </c>
      <c r="E17" s="569" t="n"/>
    </row>
    <row r="18" ht="15" customHeight="1" s="1173">
      <c r="A18" s="120" t="inlineStr">
        <is>
          <t>Pilhas AAA pares</t>
        </is>
      </c>
      <c r="B18" s="120" t="n">
        <v>2</v>
      </c>
      <c r="C18" s="1518" t="n">
        <v>13</v>
      </c>
      <c r="D18" s="819">
        <f>B18*C18</f>
        <v/>
      </c>
    </row>
    <row r="19" ht="15" customHeight="1" s="1173">
      <c r="A19" s="120" t="inlineStr">
        <is>
          <t>Ticket lavoura soja e milho</t>
        </is>
      </c>
      <c r="B19" s="120" t="n">
        <v>8</v>
      </c>
      <c r="C19" s="1671" t="n">
        <v>40</v>
      </c>
      <c r="D19" s="819">
        <f>B19*C19</f>
        <v/>
      </c>
      <c r="E19" s="572" t="n"/>
      <c r="F19" s="572" t="n"/>
      <c r="G19" s="572" t="n"/>
      <c r="H19" s="572" t="n"/>
    </row>
    <row r="20" ht="15" customHeight="1" s="1173">
      <c r="A20" s="120" t="inlineStr">
        <is>
          <t>Ar condicionado (manutenção)</t>
        </is>
      </c>
      <c r="B20" s="120" t="n">
        <v>1</v>
      </c>
      <c r="C20" s="1518" t="n">
        <v>250</v>
      </c>
      <c r="D20" s="819">
        <f>B20*C20</f>
        <v/>
      </c>
    </row>
    <row r="21" ht="15" customHeight="1" s="1173">
      <c r="A21" s="626" t="n"/>
      <c r="B21" s="626" t="n"/>
      <c r="C21" s="1672" t="inlineStr">
        <is>
          <t>Total</t>
        </is>
      </c>
      <c r="D21" s="639">
        <f>SUM(D4:D20)</f>
        <v/>
      </c>
    </row>
    <row r="22" ht="15" customHeight="1" s="1173">
      <c r="C22" s="1515" t="n"/>
    </row>
    <row r="23" ht="15" customHeight="1" s="1173">
      <c r="C23" s="1515" t="n"/>
    </row>
    <row r="24" ht="15" customHeight="1" s="1173">
      <c r="A24" s="119" t="inlineStr">
        <is>
          <t xml:space="preserve">Horas extras colaboradores </t>
        </is>
      </c>
      <c r="B24" s="423" t="inlineStr">
        <is>
          <t>horas</t>
        </is>
      </c>
      <c r="C24" s="423" t="inlineStr">
        <is>
          <t>Quantidade</t>
        </is>
      </c>
      <c r="D24" s="423" t="inlineStr">
        <is>
          <t>Valor total</t>
        </is>
      </c>
    </row>
    <row r="25" ht="15" customHeight="1" s="1173">
      <c r="A25" s="1310" t="inlineStr">
        <is>
          <t>AUXILIAR 1: SALARIO 2.200,00 R$</t>
        </is>
      </c>
      <c r="B25" s="573" t="inlineStr">
        <is>
          <t>HE 50%</t>
        </is>
      </c>
      <c r="C25" s="574" t="n">
        <v>90</v>
      </c>
      <c r="D25" s="124" t="n"/>
      <c r="E25" s="29" t="n"/>
    </row>
    <row r="26" ht="15" customHeight="1" s="1173">
      <c r="A26" s="1673" t="inlineStr">
        <is>
          <t>AUXILIAR 1: SALARIO 2.200,00 R$</t>
        </is>
      </c>
      <c r="B26" s="573" t="inlineStr">
        <is>
          <t>HE 100%</t>
        </is>
      </c>
      <c r="C26" s="574" t="n">
        <v>60</v>
      </c>
      <c r="D26" s="124" t="n"/>
      <c r="E26" s="29" t="inlineStr">
        <is>
          <t>Se tiver estagiario conseguimos reduzir estas.</t>
        </is>
      </c>
    </row>
    <row r="27" ht="15" customHeight="1" s="1173">
      <c r="A27" s="575" t="n"/>
      <c r="B27" s="576" t="n"/>
      <c r="C27" s="577" t="n"/>
      <c r="D27" s="29" t="n"/>
      <c r="E27" s="29" t="n"/>
    </row>
    <row r="28" ht="15" customHeight="1" s="1173">
      <c r="A28" s="1310" t="inlineStr">
        <is>
          <t>AUXILIAR 1: Estagiario Salario 1.500,00 R$</t>
        </is>
      </c>
      <c r="B28" s="573" t="inlineStr">
        <is>
          <t>HE 50%</t>
        </is>
      </c>
      <c r="C28" s="574" t="n"/>
      <c r="D28" s="124" t="n"/>
    </row>
    <row r="29" ht="15" customHeight="1" s="1173">
      <c r="A29" s="1673" t="inlineStr">
        <is>
          <t>AUXILIAR 1: Estagiario Salario 1.500,00 R$</t>
        </is>
      </c>
      <c r="B29" s="573" t="inlineStr">
        <is>
          <t>HE 100%</t>
        </is>
      </c>
      <c r="C29" s="574" t="n"/>
      <c r="D29" s="124" t="n"/>
    </row>
    <row r="30" ht="15" customHeight="1" s="1173"/>
    <row r="31" ht="15" customHeight="1" s="1173"/>
    <row r="32" ht="15.75" customHeight="1" s="1173">
      <c r="A32" s="1312" t="inlineStr">
        <is>
          <t>CUSTOS SEG COMPAY E   LCI</t>
        </is>
      </c>
      <c r="B32" s="1312" t="inlineStr">
        <is>
          <t>CUSTOS SEG COMPAY E   LCI</t>
        </is>
      </c>
      <c r="C32" s="1312" t="inlineStr">
        <is>
          <t>CUSTOS SEG COMPAY E   LCI</t>
        </is>
      </c>
      <c r="D32" s="1312" t="inlineStr">
        <is>
          <t>CUSTOS SEG COMPAY E   LCI</t>
        </is>
      </c>
    </row>
    <row r="33" ht="15" customHeight="1" s="1173">
      <c r="A33" s="578" t="inlineStr">
        <is>
          <t>TRABALHO</t>
        </is>
      </c>
      <c r="B33" s="578" t="inlineStr">
        <is>
          <t>EMPRESA</t>
        </is>
      </c>
      <c r="C33" s="578" t="inlineStr">
        <is>
          <t>VALOR UNIT.</t>
        </is>
      </c>
      <c r="D33" s="578" t="inlineStr">
        <is>
          <t>VALOR TOTAL</t>
        </is>
      </c>
    </row>
    <row r="34" ht="15" customHeight="1" s="1173">
      <c r="A34" s="120" t="inlineStr">
        <is>
          <t>ATUALIZAÇÃO PCMSO</t>
        </is>
      </c>
      <c r="B34" s="120" t="inlineStr">
        <is>
          <t>AMB</t>
        </is>
      </c>
      <c r="C34" s="1518" t="n">
        <v>2000</v>
      </c>
      <c r="D34" s="579">
        <f>C34*12</f>
        <v/>
      </c>
      <c r="G34" s="88" t="inlineStr">
        <is>
          <t>TOTAL</t>
        </is>
      </c>
      <c r="H34" s="571">
        <f>D37+D56+D74+D81+D92+D104</f>
        <v/>
      </c>
      <c r="J34" s="682" t="n"/>
    </row>
    <row r="35" ht="15" customHeight="1" s="1173">
      <c r="A35" s="120" t="inlineStr">
        <is>
          <t>ATUALIZAÇÃO PGRTR</t>
        </is>
      </c>
      <c r="B35" s="120" t="inlineStr">
        <is>
          <t>AMB</t>
        </is>
      </c>
      <c r="C35" s="1518" t="n">
        <v>0</v>
      </c>
      <c r="D35" s="579">
        <f>C35*1</f>
        <v/>
      </c>
      <c r="E35" t="inlineStr">
        <is>
          <t>Com alteração da NR31 passou ser bianual renovação</t>
        </is>
      </c>
      <c r="J35" s="682" t="n"/>
    </row>
    <row r="36" ht="15" customHeight="1" s="1173">
      <c r="A36" s="120" t="inlineStr">
        <is>
          <t>MENSALIDADE/e-social</t>
        </is>
      </c>
      <c r="B36" s="120" t="inlineStr">
        <is>
          <t>AMB</t>
        </is>
      </c>
      <c r="C36" s="1518" t="n">
        <v>0</v>
      </c>
      <c r="D36" s="579" t="n"/>
      <c r="J36" s="682" t="n"/>
    </row>
    <row r="37" ht="15" customHeight="1" s="1173">
      <c r="A37" s="673" t="n"/>
      <c r="B37" s="674" t="n"/>
      <c r="C37" s="1674" t="inlineStr">
        <is>
          <t>Total</t>
        </is>
      </c>
      <c r="D37" s="675">
        <f>SUM(D34:D36)</f>
        <v/>
      </c>
      <c r="E37" s="673" t="n"/>
      <c r="F37" s="673" t="n"/>
      <c r="G37" s="673" t="n"/>
      <c r="H37" s="673" t="n"/>
      <c r="I37" s="673" t="n"/>
      <c r="J37" s="682" t="n"/>
    </row>
    <row r="38" ht="15" customHeight="1" s="1173">
      <c r="A38" s="673" t="n"/>
      <c r="B38" s="673" t="n"/>
      <c r="C38" s="673" t="n"/>
      <c r="D38" s="673" t="n"/>
      <c r="E38" s="673" t="n"/>
      <c r="F38" s="673" t="n"/>
      <c r="G38" s="673" t="n"/>
      <c r="H38" s="673" t="n"/>
      <c r="I38" s="673" t="n"/>
      <c r="J38" s="682" t="n"/>
    </row>
    <row r="39" ht="15" customHeight="1" s="1173"/>
    <row r="40" ht="18.75" customHeight="1" s="1173">
      <c r="A40" s="1313" t="inlineStr">
        <is>
          <t>Recarga de extintores</t>
        </is>
      </c>
      <c r="B40" s="1313" t="inlineStr">
        <is>
          <t>Recarga de extintores</t>
        </is>
      </c>
      <c r="C40" s="1313" t="inlineStr">
        <is>
          <t>Recarga de extintores</t>
        </is>
      </c>
      <c r="D40" s="1313" t="inlineStr">
        <is>
          <t>Recarga de extintores</t>
        </is>
      </c>
    </row>
    <row r="41" ht="15" customHeight="1" s="1173">
      <c r="A41" s="641" t="inlineStr">
        <is>
          <t>ITEM</t>
        </is>
      </c>
      <c r="B41" s="642" t="inlineStr">
        <is>
          <t>Quantidade</t>
        </is>
      </c>
      <c r="C41" s="642" t="inlineStr">
        <is>
          <t>Valor Unit.</t>
        </is>
      </c>
      <c r="D41" s="642" t="inlineStr">
        <is>
          <t>Valor total.</t>
        </is>
      </c>
    </row>
    <row r="42" ht="15" customHeight="1" s="1173">
      <c r="A42" s="816" t="inlineStr">
        <is>
          <t>Recarga de agua 10 Lt</t>
        </is>
      </c>
      <c r="B42" s="535" t="n">
        <v>6</v>
      </c>
      <c r="C42" s="1675" t="n">
        <v>40</v>
      </c>
      <c r="D42" s="818">
        <f>B42*C42</f>
        <v/>
      </c>
    </row>
    <row r="43" ht="15" customHeight="1" s="1173">
      <c r="A43" s="816" t="inlineStr">
        <is>
          <t>Recarga de agua 75 Lt</t>
        </is>
      </c>
      <c r="B43" s="535" t="n">
        <v>1</v>
      </c>
      <c r="C43" s="1675" t="n">
        <v>140</v>
      </c>
      <c r="D43" s="819">
        <f>B43*C43</f>
        <v/>
      </c>
    </row>
    <row r="44" ht="15" customHeight="1" s="1173">
      <c r="A44" s="820" t="inlineStr">
        <is>
          <t>Recarga de pó 4 kg</t>
        </is>
      </c>
      <c r="B44" s="536" t="n">
        <v>2</v>
      </c>
      <c r="C44" s="1676" t="n">
        <v>60</v>
      </c>
      <c r="D44" s="819">
        <f>B44*C44</f>
        <v/>
      </c>
    </row>
    <row r="45" ht="15" customHeight="1" s="1173">
      <c r="A45" s="820" t="inlineStr">
        <is>
          <t>Recarga de pó 6 kg</t>
        </is>
      </c>
      <c r="B45" s="536" t="n">
        <v>7</v>
      </c>
      <c r="C45" s="1676" t="n">
        <v>80</v>
      </c>
      <c r="D45" s="819">
        <f>B45*C45</f>
        <v/>
      </c>
    </row>
    <row r="46" ht="15" customHeight="1" s="1173">
      <c r="A46" s="820" t="inlineStr">
        <is>
          <t>Recarga de pó 8 kg</t>
        </is>
      </c>
      <c r="B46" s="536" t="n">
        <v>1</v>
      </c>
      <c r="C46" s="1676" t="n">
        <v>85</v>
      </c>
      <c r="D46" s="819">
        <f>B46*C46</f>
        <v/>
      </c>
    </row>
    <row r="47" ht="15" customHeight="1" s="1173">
      <c r="A47" s="820" t="inlineStr">
        <is>
          <t>Recarga de pó 12 kg</t>
        </is>
      </c>
      <c r="B47" s="536" t="n">
        <v>6</v>
      </c>
      <c r="C47" s="1676" t="n">
        <v>100</v>
      </c>
      <c r="D47" s="819">
        <f>B47*C47</f>
        <v/>
      </c>
    </row>
    <row r="48" ht="15" customHeight="1" s="1173">
      <c r="A48" s="820" t="inlineStr">
        <is>
          <t>Recarga de Co2  6 kg</t>
        </is>
      </c>
      <c r="B48" s="536" t="n">
        <v>1</v>
      </c>
      <c r="C48" s="1676" t="n">
        <v>145</v>
      </c>
      <c r="D48" s="819">
        <f>B48*C48</f>
        <v/>
      </c>
    </row>
    <row r="49" ht="15" customHeight="1" s="1173">
      <c r="A49" s="820" t="inlineStr">
        <is>
          <t>Recarga de Co2  4 kg</t>
        </is>
      </c>
      <c r="B49" s="536" t="n">
        <v>1</v>
      </c>
      <c r="C49" s="1676" t="n">
        <v>95</v>
      </c>
      <c r="D49" s="819">
        <f>B49*C49</f>
        <v/>
      </c>
    </row>
    <row r="50" ht="15" customHeight="1" s="1173">
      <c r="A50" s="820" t="inlineStr">
        <is>
          <t>Travas</t>
        </is>
      </c>
      <c r="B50" s="536" t="n">
        <v>4</v>
      </c>
      <c r="C50" s="1676" t="n">
        <v>3.5</v>
      </c>
      <c r="D50" s="819">
        <f>B50*C50</f>
        <v/>
      </c>
    </row>
    <row r="51" ht="15" customHeight="1" s="1173">
      <c r="A51" s="820" t="inlineStr">
        <is>
          <t>Pintura</t>
        </is>
      </c>
      <c r="B51" s="536" t="n">
        <v>5</v>
      </c>
      <c r="C51" s="1676" t="n">
        <v>20</v>
      </c>
      <c r="D51" s="819">
        <f>B51*C51</f>
        <v/>
      </c>
    </row>
    <row r="52" ht="15" customHeight="1" s="1173">
      <c r="A52" s="820" t="inlineStr">
        <is>
          <t>Difusor</t>
        </is>
      </c>
      <c r="B52" s="536" t="n">
        <v>1</v>
      </c>
      <c r="C52" s="1676" t="n">
        <v>17</v>
      </c>
      <c r="D52" s="819">
        <f>B52*C52</f>
        <v/>
      </c>
    </row>
    <row r="53" ht="15" customHeight="1" s="1173">
      <c r="A53" s="820" t="inlineStr">
        <is>
          <t>Teste Hidrostatico</t>
        </is>
      </c>
      <c r="B53" s="536" t="n">
        <v>1</v>
      </c>
      <c r="C53" s="1676" t="n">
        <v>20</v>
      </c>
      <c r="D53" s="819">
        <f>B53*C53</f>
        <v/>
      </c>
    </row>
    <row r="54" ht="15" customHeight="1" s="1173">
      <c r="A54" s="820" t="inlineStr">
        <is>
          <t>Mangueira</t>
        </is>
      </c>
      <c r="B54" s="536" t="n">
        <v>1</v>
      </c>
      <c r="C54" s="1676" t="n">
        <v>28</v>
      </c>
      <c r="D54" s="819">
        <f>B54*C54</f>
        <v/>
      </c>
    </row>
    <row r="55" ht="15" customHeight="1" s="1173">
      <c r="A55" s="820" t="inlineStr">
        <is>
          <t>Manometro</t>
        </is>
      </c>
      <c r="B55" s="536" t="n">
        <v>4</v>
      </c>
      <c r="C55" s="1676" t="n">
        <v>10</v>
      </c>
      <c r="D55" s="819">
        <f>B55*C55</f>
        <v/>
      </c>
    </row>
    <row r="56" ht="15" customHeight="1" s="1173">
      <c r="A56" s="626" t="n"/>
      <c r="B56" s="626" t="n"/>
      <c r="C56" s="643" t="inlineStr">
        <is>
          <t>Total</t>
        </is>
      </c>
      <c r="D56" s="644">
        <f>SUM(D42:D55)</f>
        <v/>
      </c>
    </row>
    <row r="57" ht="15" customHeight="1" s="1173"/>
    <row r="58" ht="15" customHeight="1" s="1173"/>
    <row r="59" ht="18.75" customHeight="1" s="1173">
      <c r="A59" s="1302" t="inlineStr">
        <is>
          <t>PRIMEIROS SOCORROS</t>
        </is>
      </c>
      <c r="B59" s="1302" t="inlineStr">
        <is>
          <t>PRIMEIROS SOCORROS</t>
        </is>
      </c>
      <c r="C59" s="1302" t="inlineStr">
        <is>
          <t>PRIMEIROS SOCORROS</t>
        </is>
      </c>
      <c r="D59" s="1302" t="inlineStr">
        <is>
          <t>PRIMEIROS SOCORROS</t>
        </is>
      </c>
    </row>
    <row r="60" ht="15" customHeight="1" s="1173">
      <c r="A60" s="642" t="inlineStr">
        <is>
          <t>ITEM</t>
        </is>
      </c>
      <c r="B60" s="642" t="inlineStr">
        <is>
          <t>Quantidade</t>
        </is>
      </c>
      <c r="C60" s="642" t="inlineStr">
        <is>
          <t>Valor Unit.</t>
        </is>
      </c>
      <c r="D60" s="642" t="inlineStr">
        <is>
          <t>Valor total</t>
        </is>
      </c>
    </row>
    <row r="61" ht="15" customHeight="1" s="1173">
      <c r="A61" s="822" t="inlineStr">
        <is>
          <t>Algodão 50gr</t>
        </is>
      </c>
      <c r="B61" s="823" t="n">
        <v>5</v>
      </c>
      <c r="C61" s="1596" t="n">
        <v>5</v>
      </c>
      <c r="D61" s="1676">
        <f>B61*C61</f>
        <v/>
      </c>
    </row>
    <row r="62" ht="15" customHeight="1" s="1173">
      <c r="A62" s="822" t="inlineStr">
        <is>
          <t xml:space="preserve">Atadura de crepom </t>
        </is>
      </c>
      <c r="B62" s="823" t="n">
        <v>13</v>
      </c>
      <c r="C62" s="1596" t="n">
        <v>5</v>
      </c>
      <c r="D62" s="1676">
        <f>B62*C62</f>
        <v/>
      </c>
    </row>
    <row r="63" ht="15" customHeight="1" s="1173">
      <c r="A63" s="822" t="inlineStr">
        <is>
          <t>Compressa de gaze 7,5x7,5cm</t>
        </is>
      </c>
      <c r="B63" s="823" t="n">
        <v>25</v>
      </c>
      <c r="C63" s="1596" t="n">
        <v>2.25</v>
      </c>
      <c r="D63" s="1676">
        <f>B63*C63</f>
        <v/>
      </c>
    </row>
    <row r="64" ht="15" customHeight="1" s="1173">
      <c r="A64" s="822" t="inlineStr">
        <is>
          <t>Cotonete</t>
        </is>
      </c>
      <c r="B64" s="823" t="n">
        <v>7</v>
      </c>
      <c r="C64" s="1596" t="n">
        <v>3.9</v>
      </c>
      <c r="D64" s="1676">
        <f>B64*C64</f>
        <v/>
      </c>
    </row>
    <row r="65" ht="15" customHeight="1" s="1173">
      <c r="A65" s="822" t="inlineStr">
        <is>
          <t>Band eid</t>
        </is>
      </c>
      <c r="B65" s="823" t="n">
        <v>7</v>
      </c>
      <c r="C65" s="1596" t="n">
        <v>8</v>
      </c>
      <c r="D65" s="1676">
        <f>B65*C65</f>
        <v/>
      </c>
    </row>
    <row r="66" ht="15" customHeight="1" s="1173">
      <c r="A66" s="822" t="inlineStr">
        <is>
          <t>Esparadrapo  10x4,5 cm</t>
        </is>
      </c>
      <c r="B66" s="823" t="n">
        <v>7</v>
      </c>
      <c r="C66" s="1596" t="n">
        <v>15</v>
      </c>
      <c r="D66" s="1676">
        <f>B66*C66</f>
        <v/>
      </c>
    </row>
    <row r="67" ht="15" customHeight="1" s="1173">
      <c r="A67" s="822" t="inlineStr">
        <is>
          <t xml:space="preserve">Lanterna pequena  </t>
        </is>
      </c>
      <c r="B67" s="823" t="n">
        <v>5</v>
      </c>
      <c r="C67" s="1596" t="n">
        <v>25</v>
      </c>
      <c r="D67" s="1676">
        <f>B67*C67</f>
        <v/>
      </c>
    </row>
    <row r="68" ht="15" customHeight="1" s="1173">
      <c r="A68" s="822" t="inlineStr">
        <is>
          <t>Luvas de procedimentos cirurgico cx</t>
        </is>
      </c>
      <c r="B68" s="823" t="n">
        <v>1</v>
      </c>
      <c r="C68" s="1596" t="n">
        <v>22</v>
      </c>
      <c r="D68" s="1676">
        <f>B68*C68</f>
        <v/>
      </c>
    </row>
    <row r="69" ht="15" customHeight="1" s="1173">
      <c r="A69" s="822" t="inlineStr">
        <is>
          <t xml:space="preserve">Sabão liquido bactericida </t>
        </is>
      </c>
      <c r="B69" s="823" t="n">
        <v>7</v>
      </c>
      <c r="C69" s="1596" t="n">
        <v>13.84</v>
      </c>
      <c r="D69" s="1676">
        <f>B69*C69</f>
        <v/>
      </c>
    </row>
    <row r="70" ht="15" customHeight="1" s="1173">
      <c r="A70" s="822" t="inlineStr">
        <is>
          <t>Polvidine 100 ml</t>
        </is>
      </c>
      <c r="B70" s="823" t="n">
        <v>7</v>
      </c>
      <c r="C70" s="1596" t="n">
        <v>17.76</v>
      </c>
      <c r="D70" s="1676">
        <f>B70*C70</f>
        <v/>
      </c>
    </row>
    <row r="71" ht="15" customHeight="1" s="1173">
      <c r="A71" s="822" t="inlineStr">
        <is>
          <t>Soro fisiologico    0,9%</t>
        </is>
      </c>
      <c r="B71" s="823" t="n">
        <v>5</v>
      </c>
      <c r="C71" s="1596" t="n">
        <v>4</v>
      </c>
      <c r="D71" s="1676">
        <f>B71*C71</f>
        <v/>
      </c>
    </row>
    <row r="72" ht="15" customHeight="1" s="1173">
      <c r="A72" s="822" t="inlineStr">
        <is>
          <t>Tesoura sem ponto</t>
        </is>
      </c>
      <c r="B72" s="823" t="n">
        <v>4</v>
      </c>
      <c r="C72" s="1596" t="n">
        <v>7</v>
      </c>
      <c r="D72" s="1676">
        <f>B72*C72</f>
        <v/>
      </c>
    </row>
    <row r="73" ht="15" customHeight="1" s="1173">
      <c r="A73" s="822" t="inlineStr">
        <is>
          <t>Caixa para colocar o material</t>
        </is>
      </c>
      <c r="B73" s="823" t="n">
        <v>1</v>
      </c>
      <c r="C73" s="1596" t="n">
        <v>55</v>
      </c>
      <c r="D73" s="1676">
        <f>B73*C73</f>
        <v/>
      </c>
    </row>
    <row r="74" ht="15" customHeight="1" s="1173">
      <c r="A74" s="626" t="n"/>
      <c r="B74" s="626" t="n"/>
      <c r="C74" s="643" t="inlineStr">
        <is>
          <t>Total</t>
        </is>
      </c>
      <c r="D74" s="1677">
        <f>SUM(D61:D73)</f>
        <v/>
      </c>
    </row>
    <row r="75" ht="15" customHeight="1" s="1173"/>
    <row r="76" ht="15.75" customHeight="1" s="1173">
      <c r="A76" s="1304" t="inlineStr">
        <is>
          <t>PLACAS DE SEGURANÇA/FILTRO BEBEDOUROS</t>
        </is>
      </c>
      <c r="B76" s="1304" t="inlineStr">
        <is>
          <t>PLACAS DE SEGURANÇA/FILTRO BEBEDOUROS</t>
        </is>
      </c>
      <c r="C76" s="1304" t="inlineStr">
        <is>
          <t>PLACAS DE SEGURANÇA/FILTRO BEBEDOUROS</t>
        </is>
      </c>
      <c r="D76" s="1304" t="inlineStr">
        <is>
          <t>PLACAS DE SEGURANÇA/FILTRO BEBEDOUROS</t>
        </is>
      </c>
    </row>
    <row r="77" ht="15" customHeight="1" s="1173">
      <c r="A77" s="642" t="inlineStr">
        <is>
          <t>ITEM</t>
        </is>
      </c>
      <c r="B77" s="642" t="inlineStr">
        <is>
          <t>Quantidade</t>
        </is>
      </c>
      <c r="C77" s="642" t="inlineStr">
        <is>
          <t>Valor Unit.</t>
        </is>
      </c>
      <c r="D77" s="642" t="inlineStr">
        <is>
          <t>Valor total</t>
        </is>
      </c>
    </row>
    <row r="78" ht="15" customHeight="1" s="1173">
      <c r="A78" s="120" t="inlineStr">
        <is>
          <t>PLACAS DE SEGURANÇA</t>
        </is>
      </c>
      <c r="B78" s="122" t="n">
        <v>1</v>
      </c>
      <c r="C78" s="1518" t="n">
        <v>1200</v>
      </c>
      <c r="D78" s="1518" t="n">
        <v>1200</v>
      </c>
    </row>
    <row r="79" ht="15" customHeight="1" s="1173">
      <c r="A79" s="816" t="inlineStr">
        <is>
          <t>Filtro dos bebedouros C3 IBBL</t>
        </is>
      </c>
      <c r="B79" s="535" t="n">
        <v>2</v>
      </c>
      <c r="C79" s="1678" t="n">
        <v>120</v>
      </c>
      <c r="D79" s="819">
        <f>B79*C79</f>
        <v/>
      </c>
    </row>
    <row r="80" ht="15" customHeight="1" s="1173">
      <c r="A80" s="816" t="inlineStr">
        <is>
          <t>Filtro dos bebedouros 888 ACQUA GELADA</t>
        </is>
      </c>
      <c r="B80" s="535" t="n">
        <v>2</v>
      </c>
      <c r="C80" s="1678" t="n">
        <v>80</v>
      </c>
      <c r="D80" s="819">
        <f>B80*C80</f>
        <v/>
      </c>
    </row>
    <row r="81" ht="15" customHeight="1" s="1173">
      <c r="A81" s="626" t="n"/>
      <c r="B81" s="626" t="n"/>
      <c r="C81" s="643" t="inlineStr">
        <is>
          <t>Total</t>
        </is>
      </c>
      <c r="D81" s="1677">
        <f>SUM(D78:D80)</f>
        <v/>
      </c>
    </row>
    <row r="82" ht="15" customHeight="1" s="1173"/>
    <row r="83" ht="15.75" customHeight="1" s="1173">
      <c r="A83" s="1305" t="inlineStr">
        <is>
          <t>AFERIÇÕES/CALIBRAÇÕES/ INSPEÇÕES / POTABILIDADE</t>
        </is>
      </c>
      <c r="B83" s="1305" t="inlineStr">
        <is>
          <t>AFERIÇÕES/CALIBRAÇÕES/ INSPEÇÕES / POTABILIDADE</t>
        </is>
      </c>
      <c r="C83" s="1305" t="inlineStr">
        <is>
          <t>AFERIÇÕES/CALIBRAÇÕES/ INSPEÇÕES / POTABILIDADE</t>
        </is>
      </c>
      <c r="D83" s="1305" t="inlineStr">
        <is>
          <t>AFERIÇÕES/CALIBRAÇÕES/ INSPEÇÕES / POTABILIDADE</t>
        </is>
      </c>
    </row>
    <row r="84" ht="15" customHeight="1" s="1173">
      <c r="A84" s="581" t="inlineStr">
        <is>
          <t>ITEM</t>
        </is>
      </c>
      <c r="B84" s="581" t="inlineStr">
        <is>
          <t>Quantidade</t>
        </is>
      </c>
      <c r="C84" s="581" t="inlineStr">
        <is>
          <t>Valor Unit.</t>
        </is>
      </c>
      <c r="D84" s="581" t="inlineStr">
        <is>
          <t>Valor total</t>
        </is>
      </c>
    </row>
    <row r="85" ht="15" customHeight="1" s="1173">
      <c r="A85" s="120" t="inlineStr">
        <is>
          <t>Inspeção Caldeira</t>
        </is>
      </c>
      <c r="B85" s="122" t="n">
        <v>1</v>
      </c>
      <c r="C85" s="1518" t="n">
        <v>7875</v>
      </c>
      <c r="D85" s="579">
        <f>B85*C85</f>
        <v/>
      </c>
    </row>
    <row r="86" ht="15" customHeight="1" s="1173">
      <c r="A86" s="120" t="inlineStr">
        <is>
          <t xml:space="preserve">Tratamanto agua caldeira </t>
        </is>
      </c>
      <c r="B86" s="122" t="n">
        <v>1</v>
      </c>
      <c r="C86" s="1518" t="n">
        <v>7000</v>
      </c>
      <c r="D86" s="579">
        <f>B86*C86</f>
        <v/>
      </c>
    </row>
    <row r="87" ht="15" customHeight="1" s="1173">
      <c r="A87" s="120" t="inlineStr">
        <is>
          <t>Inspeção Compressor</t>
        </is>
      </c>
      <c r="B87" s="122" t="n">
        <v>2</v>
      </c>
      <c r="C87" s="1518" t="n">
        <v>700</v>
      </c>
      <c r="D87" s="579">
        <f>B87*C87</f>
        <v/>
      </c>
    </row>
    <row r="88" ht="15" customHeight="1" s="1173">
      <c r="A88" s="120" t="inlineStr">
        <is>
          <t>Calibração Gasalert</t>
        </is>
      </c>
      <c r="B88" s="122" t="n">
        <v>2</v>
      </c>
      <c r="C88" s="1518" t="n">
        <v>950</v>
      </c>
      <c r="D88" s="579">
        <f>B88*C88</f>
        <v/>
      </c>
    </row>
    <row r="89" ht="15" customHeight="1" s="1173">
      <c r="A89" s="120" t="inlineStr">
        <is>
          <t>Aferição balança Imetro</t>
        </is>
      </c>
      <c r="B89" s="122" t="n">
        <v>1</v>
      </c>
      <c r="C89" s="1518" t="n">
        <v>2500</v>
      </c>
      <c r="D89" s="579">
        <f>B89*C89</f>
        <v/>
      </c>
    </row>
    <row r="90" ht="15" customHeight="1" s="1173">
      <c r="A90" s="120" t="inlineStr">
        <is>
          <t>Manutençao balança</t>
        </is>
      </c>
      <c r="B90" s="122" t="n">
        <v>1</v>
      </c>
      <c r="C90" s="1518" t="n">
        <v>3500</v>
      </c>
      <c r="D90" s="579">
        <f>B90*C90</f>
        <v/>
      </c>
    </row>
    <row r="91" ht="15" customHeight="1" s="1173">
      <c r="A91" s="120" t="inlineStr">
        <is>
          <t xml:space="preserve">Potabilidade agua </t>
        </is>
      </c>
      <c r="B91" s="122" t="n">
        <v>4</v>
      </c>
      <c r="C91" s="1518" t="n">
        <v>225</v>
      </c>
      <c r="D91" s="579">
        <f>B91*C91</f>
        <v/>
      </c>
    </row>
    <row r="92" ht="15" customHeight="1" s="1173">
      <c r="C92" s="582" t="inlineStr">
        <is>
          <t>Total</t>
        </is>
      </c>
      <c r="D92" s="580">
        <f>SUM(D85:D91)</f>
        <v/>
      </c>
    </row>
    <row r="93" ht="15" customHeight="1" s="1173"/>
    <row r="94" ht="15" customHeight="1" s="1173"/>
    <row r="95" ht="15.75" customHeight="1" s="1173">
      <c r="A95" s="1306" t="inlineStr">
        <is>
          <t>AMBIENTALIX ( coleta, transporte, tratamento e disposição final )</t>
        </is>
      </c>
      <c r="B95" s="1306" t="inlineStr">
        <is>
          <t>AMBIENTALIX ( coleta, transporte, tratamento e disposição final )</t>
        </is>
      </c>
      <c r="C95" s="1306" t="inlineStr">
        <is>
          <t>AMBIENTALIX ( coleta, transporte, tratamento e disposição final )</t>
        </is>
      </c>
      <c r="D95" s="1306" t="inlineStr">
        <is>
          <t>AMBIENTALIX ( coleta, transporte, tratamento e disposição final )</t>
        </is>
      </c>
      <c r="E95" s="569" t="n"/>
      <c r="F95" s="569" t="n"/>
      <c r="G95" s="569" t="n"/>
      <c r="H95" s="569" t="n"/>
      <c r="I95" s="569" t="n"/>
    </row>
    <row r="96" ht="15.75" customHeight="1" s="1173">
      <c r="A96" s="671" t="inlineStr">
        <is>
          <t>ITEM</t>
        </is>
      </c>
      <c r="B96" s="671" t="inlineStr">
        <is>
          <t>Quantidade</t>
        </is>
      </c>
      <c r="C96" s="671" t="inlineStr">
        <is>
          <t>Valor Unit.</t>
        </is>
      </c>
      <c r="D96" s="672" t="inlineStr">
        <is>
          <t>Valor Total</t>
        </is>
      </c>
      <c r="E96" s="569" t="n"/>
      <c r="F96" s="569" t="n"/>
      <c r="G96" s="569" t="n"/>
      <c r="H96" s="569" t="n"/>
      <c r="I96" s="569" t="n"/>
    </row>
    <row r="97" ht="15" customHeight="1" s="1173">
      <c r="A97" s="816" t="inlineStr">
        <is>
          <t>Lampada</t>
        </is>
      </c>
      <c r="B97" s="535" t="n">
        <v>5</v>
      </c>
      <c r="C97" s="1675" t="n">
        <v>15</v>
      </c>
      <c r="D97" s="819">
        <f>B97*C97</f>
        <v/>
      </c>
      <c r="E97" s="569" t="n"/>
      <c r="F97" s="569" t="n"/>
      <c r="G97" s="569" t="n"/>
      <c r="H97" s="569" t="n"/>
      <c r="I97" s="569" t="n"/>
    </row>
    <row r="98" ht="15" customHeight="1" s="1173">
      <c r="A98" s="820" t="inlineStr">
        <is>
          <t>Baterias</t>
        </is>
      </c>
      <c r="B98" s="536" t="n">
        <v>20</v>
      </c>
      <c r="C98" s="1675" t="n">
        <v>4.5</v>
      </c>
      <c r="D98" s="819">
        <f>B98*C98</f>
        <v/>
      </c>
      <c r="E98" s="569" t="n"/>
      <c r="F98" s="569" t="n"/>
      <c r="G98" s="569" t="n"/>
      <c r="H98" s="569" t="n"/>
      <c r="I98" s="569" t="n"/>
    </row>
    <row r="99" ht="15" customHeight="1" s="1173">
      <c r="A99" s="820" t="inlineStr">
        <is>
          <t>Residuos oleosos</t>
        </is>
      </c>
      <c r="B99" s="536" t="n">
        <v>80</v>
      </c>
      <c r="C99" s="1675" t="n">
        <v>4.5</v>
      </c>
      <c r="D99" s="819">
        <f>B99*C99</f>
        <v/>
      </c>
      <c r="E99" s="569" t="n"/>
      <c r="F99" s="569" t="n"/>
      <c r="G99" s="569" t="n"/>
      <c r="H99" s="569" t="n"/>
      <c r="I99" s="569" t="n"/>
    </row>
    <row r="100" ht="15" customHeight="1" s="1173">
      <c r="A100" s="820" t="inlineStr">
        <is>
          <t>Residuos misto</t>
        </is>
      </c>
      <c r="B100" s="536" t="n">
        <v>80</v>
      </c>
      <c r="C100" s="1675" t="n">
        <v>4.5</v>
      </c>
      <c r="D100" s="819">
        <f>B100*C100</f>
        <v/>
      </c>
      <c r="E100" s="569" t="n"/>
      <c r="F100" s="569" t="n"/>
      <c r="G100" s="569" t="n"/>
      <c r="H100" s="569" t="n"/>
      <c r="I100" s="569" t="n"/>
    </row>
    <row r="101" ht="15" customHeight="1" s="1173">
      <c r="A101" s="820" t="inlineStr">
        <is>
          <t>Rejeitos</t>
        </is>
      </c>
      <c r="B101" s="536" t="n">
        <v>90</v>
      </c>
      <c r="C101" s="1675" t="n">
        <v>4.5</v>
      </c>
      <c r="D101" s="819">
        <f>B101*C101</f>
        <v/>
      </c>
      <c r="E101" s="569" t="n"/>
      <c r="F101" s="569" t="n"/>
      <c r="G101" s="569" t="n"/>
      <c r="H101" s="569" t="n"/>
      <c r="I101" s="569" t="n"/>
    </row>
    <row r="102" ht="15" customHeight="1" s="1173">
      <c r="A102" s="820" t="inlineStr">
        <is>
          <t>Plastico</t>
        </is>
      </c>
      <c r="B102" s="536" t="n">
        <v>60</v>
      </c>
      <c r="C102" s="1675" t="n">
        <v>4.5</v>
      </c>
      <c r="D102" s="819">
        <f>B102*C102</f>
        <v/>
      </c>
      <c r="E102" s="569" t="n"/>
      <c r="F102" s="569" t="n"/>
      <c r="G102" s="569" t="n"/>
      <c r="H102" s="569" t="n"/>
      <c r="I102" s="569" t="n"/>
    </row>
    <row r="103" ht="15" customHeight="1" s="1173">
      <c r="A103" s="820" t="inlineStr">
        <is>
          <t>Borracha</t>
        </is>
      </c>
      <c r="B103" s="536" t="n">
        <v>90</v>
      </c>
      <c r="C103" s="1675" t="n">
        <v>4.5</v>
      </c>
      <c r="D103" s="819">
        <f>B103*C103</f>
        <v/>
      </c>
      <c r="E103" s="1679" t="n"/>
      <c r="F103" s="569" t="n"/>
      <c r="G103" s="569" t="n"/>
      <c r="H103" s="569" t="n"/>
      <c r="I103" s="569" t="n"/>
    </row>
    <row r="104" ht="15" customHeight="1" s="1173">
      <c r="A104" s="673" t="n"/>
      <c r="B104" s="673" t="n"/>
      <c r="C104" s="674" t="inlineStr">
        <is>
          <t>Total</t>
        </is>
      </c>
      <c r="D104" s="675">
        <f>SUM(D97:D103)</f>
        <v/>
      </c>
    </row>
    <row r="105" ht="15" customHeight="1" s="1173"/>
    <row r="106" ht="15" customHeight="1" s="1173"/>
  </sheetData>
  <pageMargins left="0.511811024" right="0.511811024" top="0.787401575" bottom="0.787401575" header="0.31496062" footer="0.31496062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Marcos Schuh</dc:creator>
  <dcterms:created xmlns:dcterms="http://purl.org/dc/terms/" xmlns:xsi="http://www.w3.org/2001/XMLSchema-instance" xsi:type="dcterms:W3CDTF">2020-10-24T11:04:45Z</dcterms:created>
  <dcterms:modified xmlns:dcterms="http://purl.org/dc/terms/" xmlns:xsi="http://www.w3.org/2001/XMLSchema-instance" xsi:type="dcterms:W3CDTF">2025-11-07T20:15:50Z</dcterms:modified>
  <cp:lastModifiedBy>Romerio Cotrim</cp:lastModifiedBy>
</cp:coreProperties>
</file>