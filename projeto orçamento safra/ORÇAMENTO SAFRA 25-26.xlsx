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er\Dropbox\Orçamento Fazendas 25-26\Agroinvest\"/>
    </mc:Choice>
  </mc:AlternateContent>
  <xr:revisionPtr revIDLastSave="0" documentId="13_ncr:1_{EB64A802-84B8-4576-B6EB-5A07F114C4E9}" xr6:coauthVersionLast="47" xr6:coauthVersionMax="47" xr10:uidLastSave="{00000000-0000-0000-0000-000000000000}"/>
  <bookViews>
    <workbookView xWindow="-120" yWindow="-120" windowWidth="20730" windowHeight="11040" tabRatio="829" xr2:uid="{90FAE943-27FD-4E69-88E2-F65BB0BB50F9}"/>
  </bookViews>
  <sheets>
    <sheet name="Orçam-Realiza" sheetId="12" r:id="rId1"/>
    <sheet name="Orçamento Resumo" sheetId="11" r:id="rId2"/>
    <sheet name="Combust. Lubrif" sheetId="1" r:id="rId3"/>
    <sheet name="peças " sheetId="2" r:id="rId4"/>
    <sheet name="Alimentação " sheetId="3" r:id="rId5"/>
    <sheet name="Utilidades e Veiculos" sheetId="5" r:id="rId6"/>
    <sheet name="Supriment-Ser Profiss" sheetId="6" r:id="rId7"/>
    <sheet name="Folha pagamento " sheetId="7" r:id="rId8"/>
    <sheet name="Quimi. Fert. Semente" sheetId="8" r:id="rId9"/>
    <sheet name="Contratação serviç." sheetId="9" r:id="rId10"/>
    <sheet name="Avião" sheetId="10" r:id="rId11"/>
    <sheet name="Deprecisação " sheetId="20" r:id="rId12"/>
    <sheet name="Compras " sheetId="21" r:id="rId13"/>
    <sheet name="Pedro" sheetId="13" r:id="rId14"/>
    <sheet name="RH" sheetId="18" r:id="rId15"/>
    <sheet name="Tecnico" sheetId="14" r:id="rId16"/>
    <sheet name="Oficina" sheetId="22" r:id="rId17"/>
    <sheet name="Angelo" sheetId="15" r:id="rId18"/>
  </sheets>
  <externalReferences>
    <externalReference r:id="rId19"/>
  </externalReferences>
  <definedNames>
    <definedName name="_xlnm._FilterDatabase" localSheetId="5" hidden="1">'Utilidades e Veiculos'!$A$19:$P$58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1" l="1"/>
  <c r="Q96" i="10"/>
  <c r="Q94" i="10"/>
  <c r="H13" i="12"/>
  <c r="D68" i="12"/>
  <c r="P27" i="11"/>
  <c r="O27" i="11"/>
  <c r="N27" i="11"/>
  <c r="M27" i="11"/>
  <c r="L27" i="11"/>
  <c r="K27" i="11"/>
  <c r="J27" i="11"/>
  <c r="I27" i="11"/>
  <c r="H27" i="11"/>
  <c r="G27" i="11"/>
  <c r="F27" i="11"/>
  <c r="E27" i="11"/>
  <c r="G16" i="7"/>
  <c r="G15" i="7"/>
  <c r="G14" i="7"/>
  <c r="G11" i="7"/>
  <c r="G10" i="7"/>
  <c r="G9" i="7"/>
  <c r="G7" i="7"/>
  <c r="G5" i="7"/>
  <c r="G4" i="7"/>
  <c r="N22" i="7"/>
  <c r="G23" i="8" l="1"/>
  <c r="D8" i="8"/>
  <c r="Q173" i="20" l="1"/>
  <c r="Q172" i="20"/>
  <c r="Q171" i="20"/>
  <c r="Q174" i="20" s="1"/>
  <c r="S167" i="20"/>
  <c r="R167" i="20"/>
  <c r="S158" i="20"/>
  <c r="R158" i="20"/>
  <c r="S155" i="20"/>
  <c r="R155" i="20"/>
  <c r="S149" i="20"/>
  <c r="R149" i="20"/>
  <c r="S146" i="20"/>
  <c r="R146" i="20"/>
  <c r="S143" i="20"/>
  <c r="R143" i="20"/>
  <c r="S140" i="20"/>
  <c r="R140" i="20"/>
  <c r="S137" i="20"/>
  <c r="R137" i="20"/>
  <c r="S134" i="20"/>
  <c r="R134" i="20"/>
  <c r="S131" i="20"/>
  <c r="R131" i="20"/>
  <c r="S116" i="20"/>
  <c r="R116" i="20"/>
  <c r="S113" i="20"/>
  <c r="R113" i="20"/>
  <c r="S110" i="20"/>
  <c r="R110" i="20"/>
  <c r="S107" i="20"/>
  <c r="R107" i="20"/>
  <c r="S104" i="20"/>
  <c r="R104" i="20"/>
  <c r="S101" i="20"/>
  <c r="R101" i="20"/>
  <c r="S89" i="20"/>
  <c r="R89" i="20"/>
  <c r="S71" i="20"/>
  <c r="R71" i="20"/>
  <c r="S68" i="20"/>
  <c r="R68" i="20"/>
  <c r="Q183" i="20" s="1"/>
  <c r="Q184" i="20" s="1"/>
  <c r="S62" i="20"/>
  <c r="R62" i="20"/>
  <c r="S59" i="20"/>
  <c r="R59" i="20"/>
  <c r="S56" i="20"/>
  <c r="R56" i="20"/>
  <c r="S53" i="20"/>
  <c r="R53" i="20"/>
  <c r="S50" i="20"/>
  <c r="R50" i="20"/>
  <c r="S47" i="20"/>
  <c r="R47" i="20"/>
  <c r="S44" i="20"/>
  <c r="S169" i="20" s="1"/>
  <c r="R44" i="20"/>
  <c r="E63" i="3" l="1"/>
  <c r="F33" i="12"/>
  <c r="H33" i="12"/>
  <c r="H37" i="12"/>
  <c r="H36" i="12"/>
  <c r="N18" i="7" l="1"/>
  <c r="T19" i="11" l="1"/>
  <c r="T18" i="11"/>
  <c r="N23" i="7" l="1"/>
  <c r="B23" i="7"/>
  <c r="Q92" i="10"/>
  <c r="G92" i="10"/>
  <c r="F92" i="10"/>
  <c r="E92" i="10"/>
  <c r="D92" i="10"/>
  <c r="L91" i="10"/>
  <c r="L92" i="10" s="1"/>
  <c r="K91" i="10"/>
  <c r="K92" i="10" s="1"/>
  <c r="J91" i="10"/>
  <c r="J92" i="10" s="1"/>
  <c r="I91" i="10"/>
  <c r="I92" i="10" s="1"/>
  <c r="H91" i="10"/>
  <c r="H92" i="10" s="1"/>
  <c r="G91" i="10"/>
  <c r="F91" i="10"/>
  <c r="E91" i="10"/>
  <c r="D91" i="10"/>
  <c r="O85" i="10"/>
  <c r="O86" i="10" s="1"/>
  <c r="N85" i="10"/>
  <c r="N86" i="10" s="1"/>
  <c r="M85" i="10"/>
  <c r="M86" i="10" s="1"/>
  <c r="L85" i="10"/>
  <c r="L86" i="10" s="1"/>
  <c r="K85" i="10"/>
  <c r="K86" i="10" s="1"/>
  <c r="J85" i="10"/>
  <c r="J86" i="10" s="1"/>
  <c r="I85" i="10"/>
  <c r="I86" i="10" s="1"/>
  <c r="H85" i="10"/>
  <c r="H86" i="10" s="1"/>
  <c r="G85" i="10"/>
  <c r="G86" i="10" s="1"/>
  <c r="F85" i="10"/>
  <c r="F86" i="10" s="1"/>
  <c r="E85" i="10"/>
  <c r="E86" i="10" s="1"/>
  <c r="D85" i="10"/>
  <c r="D86" i="10" s="1"/>
  <c r="O80" i="10"/>
  <c r="Q80" i="10" s="1"/>
  <c r="O79" i="10"/>
  <c r="Q79" i="10" s="1"/>
  <c r="O78" i="10"/>
  <c r="Q78" i="10" s="1"/>
  <c r="Q77" i="10"/>
  <c r="O77" i="10"/>
  <c r="O76" i="10"/>
  <c r="Q76" i="10" s="1"/>
  <c r="O75" i="10"/>
  <c r="Q75" i="10" s="1"/>
  <c r="O74" i="10"/>
  <c r="Q74" i="10" s="1"/>
  <c r="O73" i="10"/>
  <c r="Q73" i="10" s="1"/>
  <c r="G71" i="10"/>
  <c r="F71" i="10"/>
  <c r="Q71" i="10" s="1"/>
  <c r="Q70" i="10"/>
  <c r="O69" i="10"/>
  <c r="Q69" i="10" s="1"/>
  <c r="Q68" i="10"/>
  <c r="O67" i="10"/>
  <c r="Q67" i="10" s="1"/>
  <c r="O66" i="10"/>
  <c r="Q66" i="10" s="1"/>
  <c r="Q64" i="10"/>
  <c r="O64" i="10"/>
  <c r="O63" i="10"/>
  <c r="Q63" i="10" s="1"/>
  <c r="O62" i="10"/>
  <c r="Q62" i="10" s="1"/>
  <c r="O61" i="10"/>
  <c r="Q61" i="10" s="1"/>
  <c r="O60" i="10"/>
  <c r="Q60" i="10" s="1"/>
  <c r="Q59" i="10"/>
  <c r="O59" i="10"/>
  <c r="Q58" i="10"/>
  <c r="O57" i="10"/>
  <c r="Q57" i="10" s="1"/>
  <c r="J56" i="10"/>
  <c r="I56" i="10"/>
  <c r="H56" i="10"/>
  <c r="G56" i="10"/>
  <c r="F56" i="10"/>
  <c r="E56" i="10"/>
  <c r="D56" i="10"/>
  <c r="O56" i="10" s="1"/>
  <c r="Q56" i="10" s="1"/>
  <c r="O55" i="10"/>
  <c r="Q53" i="10"/>
  <c r="O52" i="10"/>
  <c r="Q52" i="10" s="1"/>
  <c r="Q51" i="10"/>
  <c r="O50" i="10"/>
  <c r="Q50" i="10" s="1"/>
  <c r="O49" i="10"/>
  <c r="Q49" i="10" s="1"/>
  <c r="O48" i="10"/>
  <c r="Q48" i="10" s="1"/>
  <c r="O47" i="10"/>
  <c r="Q47" i="10" s="1"/>
  <c r="O46" i="10"/>
  <c r="Q46" i="10" s="1"/>
  <c r="Q45" i="10"/>
  <c r="O45" i="10"/>
  <c r="O44" i="10"/>
  <c r="Q44" i="10" s="1"/>
  <c r="O43" i="10"/>
  <c r="Q43" i="10" s="1"/>
  <c r="O42" i="10"/>
  <c r="Q42" i="10" s="1"/>
  <c r="O41" i="10"/>
  <c r="Q41" i="10" s="1"/>
  <c r="O40" i="10"/>
  <c r="Q40" i="10" s="1"/>
  <c r="Q39" i="10"/>
  <c r="O39" i="10"/>
  <c r="O37" i="10"/>
  <c r="Q37" i="10" s="1"/>
  <c r="O36" i="10"/>
  <c r="Q36" i="10" s="1"/>
  <c r="O35" i="10"/>
  <c r="Q35" i="10" s="1"/>
  <c r="O34" i="10"/>
  <c r="Q34" i="10" s="1"/>
  <c r="Q33" i="10"/>
  <c r="Q32" i="10"/>
  <c r="Q31" i="10"/>
  <c r="O30" i="10"/>
  <c r="Q30" i="10" s="1"/>
  <c r="O29" i="10"/>
  <c r="Q29" i="10" s="1"/>
  <c r="O28" i="10"/>
  <c r="Q28" i="10" s="1"/>
  <c r="Q27" i="10"/>
  <c r="O25" i="10"/>
  <c r="Q25" i="10" s="1"/>
  <c r="Q24" i="10"/>
  <c r="O23" i="10"/>
  <c r="Q23" i="10" s="1"/>
  <c r="O22" i="10"/>
  <c r="Q22" i="10" s="1"/>
  <c r="O21" i="10"/>
  <c r="Q21" i="10" s="1"/>
  <c r="O20" i="10"/>
  <c r="Q20" i="10" s="1"/>
  <c r="Q19" i="10"/>
  <c r="O18" i="10"/>
  <c r="Q18" i="10" s="1"/>
  <c r="O17" i="10"/>
  <c r="Q17" i="10" s="1"/>
  <c r="Q16" i="10"/>
  <c r="O16" i="10"/>
  <c r="Q15" i="10"/>
  <c r="G11" i="10"/>
  <c r="F11" i="10"/>
  <c r="E11" i="10"/>
  <c r="D11" i="10"/>
  <c r="G10" i="10"/>
  <c r="D10" i="10"/>
  <c r="J9" i="10"/>
  <c r="I9" i="10"/>
  <c r="I10" i="10" s="1"/>
  <c r="H9" i="10"/>
  <c r="H10" i="10" s="1"/>
  <c r="G9" i="10"/>
  <c r="F9" i="10"/>
  <c r="F10" i="10" s="1"/>
  <c r="E9" i="10"/>
  <c r="E10" i="10" s="1"/>
  <c r="D9" i="10"/>
  <c r="O8" i="10"/>
  <c r="O6" i="10"/>
  <c r="O10" i="10" l="1"/>
  <c r="Q10" i="10" s="1"/>
  <c r="Q86" i="10"/>
  <c r="O9" i="10"/>
  <c r="H11" i="10"/>
  <c r="O11" i="10" s="1"/>
  <c r="Q11" i="10" s="1"/>
  <c r="M20" i="18" l="1"/>
  <c r="H46" i="6" s="1"/>
  <c r="O20" i="18"/>
  <c r="H49" i="6"/>
  <c r="H48" i="6"/>
  <c r="C7" i="6"/>
  <c r="C3" i="6"/>
  <c r="C33" i="18"/>
  <c r="C32" i="18"/>
  <c r="C34" i="18" s="1"/>
  <c r="B29" i="18"/>
  <c r="C29" i="18" s="1"/>
  <c r="C28" i="18"/>
  <c r="C27" i="18"/>
  <c r="C26" i="18"/>
  <c r="C30" i="18" s="1"/>
  <c r="P18" i="18"/>
  <c r="P17" i="18"/>
  <c r="P16" i="18"/>
  <c r="P15" i="18"/>
  <c r="P14" i="18"/>
  <c r="P13" i="18"/>
  <c r="P19" i="18" s="1"/>
  <c r="C13" i="18"/>
  <c r="C22" i="18" s="1"/>
  <c r="P10" i="18"/>
  <c r="C10" i="18"/>
  <c r="P9" i="18"/>
  <c r="C9" i="18"/>
  <c r="P8" i="18"/>
  <c r="C8" i="18"/>
  <c r="P7" i="18"/>
  <c r="C7" i="18"/>
  <c r="P6" i="18"/>
  <c r="C6" i="18"/>
  <c r="P5" i="18"/>
  <c r="H5" i="18"/>
  <c r="I5" i="18" s="1"/>
  <c r="C5" i="18"/>
  <c r="P4" i="18"/>
  <c r="H4" i="18"/>
  <c r="I4" i="18" s="1"/>
  <c r="C4" i="18"/>
  <c r="P3" i="18"/>
  <c r="H3" i="18"/>
  <c r="H7" i="18" s="1"/>
  <c r="C3" i="18"/>
  <c r="C11" i="18" s="1"/>
  <c r="C36" i="18" s="1"/>
  <c r="P2" i="18"/>
  <c r="P11" i="18" s="1"/>
  <c r="P22" i="18" s="1"/>
  <c r="N2" i="18"/>
  <c r="C2" i="18"/>
  <c r="I3" i="18" l="1"/>
  <c r="I7" i="18" s="1"/>
  <c r="I36" i="18" s="1"/>
  <c r="C3" i="7" l="1"/>
  <c r="I3" i="7" s="1"/>
  <c r="J3" i="7" l="1"/>
  <c r="L3" i="7" s="1"/>
  <c r="I23" i="8"/>
  <c r="J23" i="8" s="1"/>
  <c r="G22" i="8"/>
  <c r="F36" i="12" s="1"/>
  <c r="F34" i="12" s="1"/>
  <c r="K3" i="7" l="1"/>
  <c r="M3" i="7" s="1"/>
  <c r="N3" i="7" s="1"/>
  <c r="I22" i="8"/>
  <c r="I24" i="8" l="1"/>
  <c r="J24" i="8" s="1"/>
  <c r="J22" i="8"/>
  <c r="I42" i="6" l="1"/>
  <c r="J42" i="6"/>
  <c r="H41" i="6" s="1"/>
  <c r="E30" i="13"/>
  <c r="C11" i="6"/>
  <c r="C58" i="6" s="1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54" i="6"/>
  <c r="C61" i="6"/>
  <c r="C62" i="6"/>
  <c r="C63" i="6"/>
  <c r="C64" i="6"/>
  <c r="C76" i="6" s="1"/>
  <c r="C65" i="6"/>
  <c r="C66" i="6"/>
  <c r="C67" i="6"/>
  <c r="C68" i="6"/>
  <c r="C69" i="6"/>
  <c r="C70" i="6"/>
  <c r="C71" i="6"/>
  <c r="C72" i="6"/>
  <c r="C73" i="6"/>
  <c r="C74" i="6"/>
  <c r="C79" i="6"/>
  <c r="C80" i="6"/>
  <c r="C81" i="6"/>
  <c r="C92" i="6" s="1"/>
  <c r="C82" i="6"/>
  <c r="C83" i="6"/>
  <c r="C84" i="6"/>
  <c r="C85" i="6"/>
  <c r="C86" i="6"/>
  <c r="C87" i="6"/>
  <c r="C88" i="6"/>
  <c r="C89" i="6"/>
  <c r="C90" i="6"/>
  <c r="C91" i="6"/>
  <c r="C32" i="9" l="1"/>
  <c r="G11" i="6"/>
  <c r="H11" i="6"/>
  <c r="I11" i="6"/>
  <c r="H6" i="6"/>
  <c r="D14" i="9"/>
  <c r="D10" i="9"/>
  <c r="D9" i="9"/>
  <c r="D8" i="9"/>
  <c r="N19" i="7"/>
  <c r="H7" i="6" l="1"/>
  <c r="M22" i="7"/>
  <c r="J8" i="7"/>
  <c r="I8" i="7"/>
  <c r="L8" i="7" s="1"/>
  <c r="F9" i="11"/>
  <c r="F8" i="11"/>
  <c r="F7" i="11"/>
  <c r="I17" i="9"/>
  <c r="G18" i="9" s="1"/>
  <c r="K8" i="7" l="1"/>
  <c r="P14" i="5" l="1"/>
  <c r="P5" i="5"/>
  <c r="H63" i="5"/>
  <c r="G60" i="5"/>
  <c r="E6" i="7"/>
  <c r="G6" i="7"/>
  <c r="F6" i="7"/>
  <c r="E5" i="7"/>
  <c r="N15" i="11"/>
  <c r="D74" i="12" s="1"/>
  <c r="P15" i="5" l="1"/>
  <c r="H6" i="7"/>
  <c r="J6" i="7" s="1"/>
  <c r="I6" i="7"/>
  <c r="Q97" i="10"/>
  <c r="AA11" i="10"/>
  <c r="AA10" i="10"/>
  <c r="AA9" i="10"/>
  <c r="AA8" i="10"/>
  <c r="AE7" i="10"/>
  <c r="AA7" i="10"/>
  <c r="AA6" i="10"/>
  <c r="AA5" i="10"/>
  <c r="AA4" i="10"/>
  <c r="AA12" i="10" s="1"/>
  <c r="K6" i="7" l="1"/>
  <c r="L6" i="7"/>
  <c r="M6" i="7" s="1"/>
  <c r="N6" i="7" s="1"/>
  <c r="Q99" i="10" l="1"/>
  <c r="Q98" i="10"/>
  <c r="B18" i="7" l="1"/>
  <c r="L6" i="11"/>
  <c r="L7" i="11"/>
  <c r="L8" i="11"/>
  <c r="L9" i="11"/>
  <c r="L5" i="11"/>
  <c r="U18" i="11"/>
  <c r="G38" i="8" l="1"/>
  <c r="E12" i="5" l="1"/>
  <c r="F4" i="7" l="1"/>
  <c r="K14" i="1" l="1"/>
  <c r="N17" i="7" l="1"/>
  <c r="G12" i="7"/>
  <c r="F9" i="7"/>
  <c r="F7" i="7"/>
  <c r="D5" i="8" l="1"/>
  <c r="E29" i="21" l="1"/>
  <c r="E23" i="21"/>
  <c r="G20" i="2" s="1"/>
  <c r="O20" i="2" s="1"/>
  <c r="E9" i="21"/>
  <c r="O15" i="2" l="1"/>
  <c r="I33" i="8"/>
  <c r="J33" i="8" s="1"/>
  <c r="I32" i="8"/>
  <c r="J32" i="8" l="1"/>
  <c r="I34" i="8"/>
  <c r="J34" i="8" s="1"/>
  <c r="H68" i="6" l="1"/>
  <c r="H50" i="6"/>
  <c r="C6" i="6"/>
  <c r="C5" i="6"/>
  <c r="H31" i="6"/>
  <c r="C35" i="9"/>
  <c r="C25" i="9"/>
  <c r="C26" i="9"/>
  <c r="H39" i="6"/>
  <c r="D34" i="15"/>
  <c r="H34" i="6"/>
  <c r="C8" i="6" l="1"/>
  <c r="O11" i="6"/>
  <c r="N11" i="6"/>
  <c r="M11" i="6"/>
  <c r="L11" i="6"/>
  <c r="K11" i="6"/>
  <c r="J11" i="6"/>
  <c r="F16" i="7" l="1"/>
  <c r="F10" i="7"/>
  <c r="F15" i="7"/>
  <c r="F12" i="7"/>
  <c r="H10" i="7" l="1"/>
  <c r="I10" i="7" s="1"/>
  <c r="H15" i="7"/>
  <c r="I15" i="7" s="1"/>
  <c r="J10" i="7" l="1"/>
  <c r="K10" i="7" s="1"/>
  <c r="L10" i="7" s="1"/>
  <c r="J15" i="7"/>
  <c r="K15" i="7" s="1"/>
  <c r="L15" i="7" s="1"/>
  <c r="M15" i="7" l="1"/>
  <c r="N15" i="7" s="1"/>
  <c r="M10" i="7"/>
  <c r="N10" i="7" s="1"/>
  <c r="F11" i="7"/>
  <c r="H11" i="7" l="1"/>
  <c r="J11" i="7" l="1"/>
  <c r="I11" i="7"/>
  <c r="K11" i="7" l="1"/>
  <c r="L11" i="7" s="1"/>
  <c r="M11" i="7" l="1"/>
  <c r="N11" i="7" s="1"/>
  <c r="D15" i="9"/>
  <c r="D4" i="9"/>
  <c r="D5" i="9" s="1"/>
  <c r="D3" i="9"/>
  <c r="E14" i="5"/>
  <c r="E13" i="5"/>
  <c r="E11" i="5"/>
  <c r="E10" i="5"/>
  <c r="E9" i="5"/>
  <c r="E8" i="5"/>
  <c r="E7" i="5"/>
  <c r="E6" i="5"/>
  <c r="E5" i="5"/>
  <c r="E4" i="5"/>
  <c r="E3" i="5"/>
  <c r="N25" i="11"/>
  <c r="C28" i="2"/>
  <c r="E3" i="11" s="1"/>
  <c r="O27" i="2"/>
  <c r="O26" i="2"/>
  <c r="O25" i="2"/>
  <c r="O24" i="2"/>
  <c r="O23" i="2"/>
  <c r="O22" i="2"/>
  <c r="O21" i="2"/>
  <c r="O19" i="2"/>
  <c r="O18" i="2"/>
  <c r="O17" i="2"/>
  <c r="O16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28" i="2" l="1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 l="1"/>
  <c r="K23" i="1" l="1"/>
  <c r="K22" i="1"/>
  <c r="K21" i="1"/>
  <c r="K20" i="1"/>
  <c r="K15" i="1"/>
  <c r="L23" i="1" s="1"/>
  <c r="K13" i="1"/>
  <c r="K12" i="1"/>
  <c r="K11" i="1"/>
  <c r="K10" i="1"/>
  <c r="K9" i="1"/>
  <c r="K8" i="1"/>
  <c r="K7" i="1"/>
  <c r="K5" i="1"/>
  <c r="K3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4" i="11" l="1"/>
  <c r="D26" i="1"/>
  <c r="D27" i="1" s="1"/>
  <c r="B3" i="11" s="1"/>
  <c r="D6" i="11" l="1"/>
  <c r="D13" i="11"/>
  <c r="D5" i="11"/>
  <c r="D12" i="11"/>
  <c r="D14" i="11"/>
  <c r="D7" i="11"/>
  <c r="D11" i="11"/>
  <c r="D8" i="11"/>
  <c r="D10" i="11"/>
  <c r="D3" i="11"/>
  <c r="D9" i="11"/>
  <c r="B12" i="11"/>
  <c r="B11" i="11"/>
  <c r="B10" i="11"/>
  <c r="B9" i="11"/>
  <c r="B8" i="11"/>
  <c r="B7" i="11"/>
  <c r="B14" i="11"/>
  <c r="B13" i="11"/>
  <c r="B5" i="11"/>
  <c r="B4" i="11"/>
  <c r="B6" i="11"/>
  <c r="E29" i="13"/>
  <c r="E28" i="13"/>
  <c r="E27" i="13"/>
  <c r="E26" i="13"/>
  <c r="E25" i="13"/>
  <c r="E24" i="13"/>
  <c r="E23" i="13"/>
  <c r="E22" i="13"/>
  <c r="E21" i="13"/>
  <c r="E20" i="13"/>
  <c r="E19" i="13"/>
  <c r="E18" i="13"/>
  <c r="A18" i="13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E17" i="13"/>
  <c r="D15" i="11" l="1"/>
  <c r="C95" i="6"/>
  <c r="D34" i="14"/>
  <c r="H43" i="6" s="1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5" i="15"/>
  <c r="D37" i="15"/>
  <c r="D103" i="15"/>
  <c r="H22" i="6" s="1"/>
  <c r="D102" i="15"/>
  <c r="H21" i="6" s="1"/>
  <c r="D101" i="15"/>
  <c r="H20" i="6" s="1"/>
  <c r="D100" i="15"/>
  <c r="H19" i="6" s="1"/>
  <c r="D99" i="15"/>
  <c r="H18" i="6" s="1"/>
  <c r="D98" i="15"/>
  <c r="H17" i="6" s="1"/>
  <c r="D97" i="15"/>
  <c r="H16" i="6" s="1"/>
  <c r="D91" i="15"/>
  <c r="H76" i="6" s="1"/>
  <c r="D90" i="15"/>
  <c r="D89" i="15"/>
  <c r="D88" i="15"/>
  <c r="H73" i="6" s="1"/>
  <c r="D87" i="15"/>
  <c r="H72" i="6" s="1"/>
  <c r="D86" i="15"/>
  <c r="H71" i="6" s="1"/>
  <c r="D85" i="15"/>
  <c r="H70" i="6" s="1"/>
  <c r="D80" i="15"/>
  <c r="D79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74" i="15" l="1"/>
  <c r="D56" i="15"/>
  <c r="D13" i="9" l="1"/>
  <c r="I19" i="7" l="1"/>
  <c r="J19" i="7"/>
  <c r="C21" i="7"/>
  <c r="I21" i="7" l="1"/>
  <c r="F14" i="7"/>
  <c r="K19" i="7"/>
  <c r="H16" i="7"/>
  <c r="L19" i="7"/>
  <c r="I18" i="7"/>
  <c r="J21" i="7"/>
  <c r="K21" i="7" s="1"/>
  <c r="J18" i="7"/>
  <c r="H7" i="7"/>
  <c r="H4" i="7"/>
  <c r="H12" i="7"/>
  <c r="M19" i="7" l="1"/>
  <c r="I16" i="7"/>
  <c r="J7" i="7"/>
  <c r="J4" i="7"/>
  <c r="H14" i="7"/>
  <c r="J14" i="7" s="1"/>
  <c r="J16" i="7"/>
  <c r="K18" i="7"/>
  <c r="M18" i="7" s="1"/>
  <c r="M20" i="7"/>
  <c r="N20" i="7" s="1"/>
  <c r="L21" i="7"/>
  <c r="M21" i="7" s="1"/>
  <c r="N21" i="7" s="1"/>
  <c r="L18" i="7"/>
  <c r="J12" i="7"/>
  <c r="I12" i="7"/>
  <c r="I4" i="7"/>
  <c r="I7" i="7"/>
  <c r="K7" i="7" l="1"/>
  <c r="K4" i="7"/>
  <c r="I14" i="7"/>
  <c r="K14" i="7" s="1"/>
  <c r="K16" i="7"/>
  <c r="K12" i="7"/>
  <c r="L12" i="7" s="1"/>
  <c r="M12" i="7" s="1"/>
  <c r="N12" i="7" s="1"/>
  <c r="C27" i="9"/>
  <c r="D16" i="9"/>
  <c r="C28" i="9"/>
  <c r="F5" i="7" l="1"/>
  <c r="C29" i="9"/>
  <c r="L14" i="7"/>
  <c r="M14" i="7" s="1"/>
  <c r="N14" i="7" s="1"/>
  <c r="L16" i="7"/>
  <c r="M16" i="7" s="1"/>
  <c r="N16" i="7" s="1"/>
  <c r="P6" i="5" l="1"/>
  <c r="T21" i="11"/>
  <c r="P3" i="5" l="1"/>
  <c r="O25" i="3"/>
  <c r="M25" i="3"/>
  <c r="K25" i="3"/>
  <c r="I25" i="3"/>
  <c r="G25" i="3"/>
  <c r="AA84" i="3" l="1"/>
  <c r="Y84" i="3"/>
  <c r="U84" i="3"/>
  <c r="S84" i="3"/>
  <c r="Q84" i="3"/>
  <c r="O84" i="3"/>
  <c r="M84" i="3"/>
  <c r="K84" i="3"/>
  <c r="I84" i="3"/>
  <c r="G84" i="3"/>
  <c r="E84" i="3"/>
  <c r="AA83" i="3"/>
  <c r="Y83" i="3"/>
  <c r="U83" i="3"/>
  <c r="S83" i="3"/>
  <c r="Q83" i="3"/>
  <c r="O83" i="3"/>
  <c r="M83" i="3"/>
  <c r="K83" i="3"/>
  <c r="I83" i="3"/>
  <c r="G83" i="3"/>
  <c r="E83" i="3"/>
  <c r="AA82" i="3"/>
  <c r="Y82" i="3"/>
  <c r="U82" i="3"/>
  <c r="S82" i="3"/>
  <c r="Q82" i="3"/>
  <c r="O82" i="3"/>
  <c r="M82" i="3"/>
  <c r="K82" i="3"/>
  <c r="I82" i="3"/>
  <c r="G82" i="3"/>
  <c r="E82" i="3"/>
  <c r="AA81" i="3"/>
  <c r="Y81" i="3"/>
  <c r="U81" i="3"/>
  <c r="S81" i="3"/>
  <c r="Q81" i="3"/>
  <c r="O81" i="3"/>
  <c r="M81" i="3"/>
  <c r="K81" i="3"/>
  <c r="I81" i="3"/>
  <c r="G81" i="3"/>
  <c r="E81" i="3"/>
  <c r="AA80" i="3"/>
  <c r="Y80" i="3"/>
  <c r="U80" i="3"/>
  <c r="S80" i="3"/>
  <c r="Q80" i="3"/>
  <c r="O80" i="3"/>
  <c r="M80" i="3"/>
  <c r="K80" i="3"/>
  <c r="I80" i="3"/>
  <c r="G80" i="3"/>
  <c r="E80" i="3"/>
  <c r="AA79" i="3"/>
  <c r="Y79" i="3"/>
  <c r="U79" i="3"/>
  <c r="S79" i="3"/>
  <c r="Q79" i="3"/>
  <c r="O79" i="3"/>
  <c r="M79" i="3"/>
  <c r="K79" i="3"/>
  <c r="I79" i="3"/>
  <c r="G79" i="3"/>
  <c r="E79" i="3"/>
  <c r="AA78" i="3"/>
  <c r="Y78" i="3"/>
  <c r="U78" i="3"/>
  <c r="S78" i="3"/>
  <c r="Q78" i="3"/>
  <c r="O78" i="3"/>
  <c r="M78" i="3"/>
  <c r="K78" i="3"/>
  <c r="I78" i="3"/>
  <c r="G78" i="3"/>
  <c r="E78" i="3"/>
  <c r="AA77" i="3"/>
  <c r="Y77" i="3"/>
  <c r="U77" i="3"/>
  <c r="S77" i="3"/>
  <c r="Q77" i="3"/>
  <c r="O77" i="3"/>
  <c r="M77" i="3"/>
  <c r="K77" i="3"/>
  <c r="I77" i="3"/>
  <c r="G77" i="3"/>
  <c r="E77" i="3"/>
  <c r="AA76" i="3"/>
  <c r="Y76" i="3"/>
  <c r="U76" i="3"/>
  <c r="S76" i="3"/>
  <c r="Q76" i="3"/>
  <c r="O76" i="3"/>
  <c r="M76" i="3"/>
  <c r="K76" i="3"/>
  <c r="I76" i="3"/>
  <c r="G76" i="3"/>
  <c r="E76" i="3"/>
  <c r="AA75" i="3"/>
  <c r="Y75" i="3"/>
  <c r="U75" i="3"/>
  <c r="S75" i="3"/>
  <c r="Q75" i="3"/>
  <c r="O75" i="3"/>
  <c r="M75" i="3"/>
  <c r="K75" i="3"/>
  <c r="I75" i="3"/>
  <c r="G75" i="3"/>
  <c r="E75" i="3"/>
  <c r="AA74" i="3"/>
  <c r="Y74" i="3"/>
  <c r="U74" i="3"/>
  <c r="S74" i="3"/>
  <c r="Q74" i="3"/>
  <c r="O74" i="3"/>
  <c r="M74" i="3"/>
  <c r="K74" i="3"/>
  <c r="I74" i="3"/>
  <c r="G74" i="3"/>
  <c r="E74" i="3"/>
  <c r="AA73" i="3"/>
  <c r="Y73" i="3"/>
  <c r="U73" i="3"/>
  <c r="S73" i="3"/>
  <c r="Q73" i="3"/>
  <c r="O73" i="3"/>
  <c r="M73" i="3"/>
  <c r="K73" i="3"/>
  <c r="I73" i="3"/>
  <c r="G73" i="3"/>
  <c r="E73" i="3"/>
  <c r="AA72" i="3"/>
  <c r="Y72" i="3"/>
  <c r="U72" i="3"/>
  <c r="S72" i="3"/>
  <c r="Q72" i="3"/>
  <c r="O72" i="3"/>
  <c r="M72" i="3"/>
  <c r="K72" i="3"/>
  <c r="I72" i="3"/>
  <c r="G72" i="3"/>
  <c r="E72" i="3"/>
  <c r="AA71" i="3"/>
  <c r="Y71" i="3"/>
  <c r="U71" i="3"/>
  <c r="S71" i="3"/>
  <c r="Q71" i="3"/>
  <c r="O71" i="3"/>
  <c r="M71" i="3"/>
  <c r="K71" i="3"/>
  <c r="I71" i="3"/>
  <c r="G71" i="3"/>
  <c r="E71" i="3"/>
  <c r="AA70" i="3"/>
  <c r="Y70" i="3"/>
  <c r="U70" i="3"/>
  <c r="S70" i="3"/>
  <c r="Q70" i="3"/>
  <c r="O70" i="3"/>
  <c r="M70" i="3"/>
  <c r="K70" i="3"/>
  <c r="I70" i="3"/>
  <c r="G70" i="3"/>
  <c r="E70" i="3"/>
  <c r="AA69" i="3"/>
  <c r="Y69" i="3"/>
  <c r="U69" i="3"/>
  <c r="S69" i="3"/>
  <c r="Q69" i="3"/>
  <c r="O69" i="3"/>
  <c r="M69" i="3"/>
  <c r="K69" i="3"/>
  <c r="I69" i="3"/>
  <c r="G69" i="3"/>
  <c r="E69" i="3"/>
  <c r="AA68" i="3"/>
  <c r="Y68" i="3"/>
  <c r="U68" i="3"/>
  <c r="S68" i="3"/>
  <c r="Q68" i="3"/>
  <c r="O68" i="3"/>
  <c r="M68" i="3"/>
  <c r="K68" i="3"/>
  <c r="I68" i="3"/>
  <c r="G68" i="3"/>
  <c r="E68" i="3"/>
  <c r="AA67" i="3"/>
  <c r="Y67" i="3"/>
  <c r="U67" i="3"/>
  <c r="S67" i="3"/>
  <c r="Q67" i="3"/>
  <c r="O67" i="3"/>
  <c r="M67" i="3"/>
  <c r="K67" i="3"/>
  <c r="I67" i="3"/>
  <c r="G67" i="3"/>
  <c r="E67" i="3"/>
  <c r="AA66" i="3"/>
  <c r="Y66" i="3"/>
  <c r="U66" i="3"/>
  <c r="S66" i="3"/>
  <c r="Q66" i="3"/>
  <c r="O66" i="3"/>
  <c r="M66" i="3"/>
  <c r="K66" i="3"/>
  <c r="I66" i="3"/>
  <c r="G66" i="3"/>
  <c r="E66" i="3"/>
  <c r="AA65" i="3"/>
  <c r="Y65" i="3"/>
  <c r="U65" i="3"/>
  <c r="S65" i="3"/>
  <c r="Q65" i="3"/>
  <c r="O65" i="3"/>
  <c r="M65" i="3"/>
  <c r="K65" i="3"/>
  <c r="I65" i="3"/>
  <c r="G65" i="3"/>
  <c r="E65" i="3"/>
  <c r="AA62" i="3"/>
  <c r="Y62" i="3"/>
  <c r="U62" i="3"/>
  <c r="S62" i="3"/>
  <c r="Q62" i="3"/>
  <c r="O62" i="3"/>
  <c r="M62" i="3"/>
  <c r="K62" i="3"/>
  <c r="I62" i="3"/>
  <c r="G62" i="3"/>
  <c r="E62" i="3"/>
  <c r="AA61" i="3"/>
  <c r="Y61" i="3"/>
  <c r="U61" i="3"/>
  <c r="S61" i="3"/>
  <c r="Q61" i="3"/>
  <c r="O61" i="3"/>
  <c r="M61" i="3"/>
  <c r="K61" i="3"/>
  <c r="I61" i="3"/>
  <c r="G61" i="3"/>
  <c r="E61" i="3"/>
  <c r="AA60" i="3"/>
  <c r="Y60" i="3"/>
  <c r="U60" i="3"/>
  <c r="S60" i="3"/>
  <c r="Q60" i="3"/>
  <c r="O60" i="3"/>
  <c r="M60" i="3"/>
  <c r="K60" i="3"/>
  <c r="I60" i="3"/>
  <c r="G60" i="3"/>
  <c r="E60" i="3"/>
  <c r="AA59" i="3"/>
  <c r="Y59" i="3"/>
  <c r="U59" i="3"/>
  <c r="S59" i="3"/>
  <c r="Q59" i="3"/>
  <c r="O59" i="3"/>
  <c r="M59" i="3"/>
  <c r="K59" i="3"/>
  <c r="I59" i="3"/>
  <c r="G59" i="3"/>
  <c r="E59" i="3"/>
  <c r="AA58" i="3"/>
  <c r="Y58" i="3"/>
  <c r="U58" i="3"/>
  <c r="S58" i="3"/>
  <c r="Q58" i="3"/>
  <c r="O58" i="3"/>
  <c r="M58" i="3"/>
  <c r="K58" i="3"/>
  <c r="I58" i="3"/>
  <c r="G58" i="3"/>
  <c r="E58" i="3"/>
  <c r="AA57" i="3"/>
  <c r="Y57" i="3"/>
  <c r="U57" i="3"/>
  <c r="S57" i="3"/>
  <c r="Q57" i="3"/>
  <c r="O57" i="3"/>
  <c r="M57" i="3"/>
  <c r="K57" i="3"/>
  <c r="I57" i="3"/>
  <c r="G57" i="3"/>
  <c r="E57" i="3"/>
  <c r="AA56" i="3"/>
  <c r="Y56" i="3"/>
  <c r="U56" i="3"/>
  <c r="S56" i="3"/>
  <c r="Q56" i="3"/>
  <c r="O56" i="3"/>
  <c r="M56" i="3"/>
  <c r="K56" i="3"/>
  <c r="I56" i="3"/>
  <c r="G56" i="3"/>
  <c r="E56" i="3"/>
  <c r="AA55" i="3"/>
  <c r="Y55" i="3"/>
  <c r="U55" i="3"/>
  <c r="S55" i="3"/>
  <c r="Q55" i="3"/>
  <c r="O55" i="3"/>
  <c r="M55" i="3"/>
  <c r="K55" i="3"/>
  <c r="I55" i="3"/>
  <c r="G55" i="3"/>
  <c r="E55" i="3"/>
  <c r="AA54" i="3"/>
  <c r="Y54" i="3"/>
  <c r="U54" i="3"/>
  <c r="S54" i="3"/>
  <c r="Q54" i="3"/>
  <c r="O54" i="3"/>
  <c r="M54" i="3"/>
  <c r="K54" i="3"/>
  <c r="I54" i="3"/>
  <c r="G54" i="3"/>
  <c r="E54" i="3"/>
  <c r="AA53" i="3"/>
  <c r="Y53" i="3"/>
  <c r="U53" i="3"/>
  <c r="S53" i="3"/>
  <c r="Q53" i="3"/>
  <c r="O53" i="3"/>
  <c r="M53" i="3"/>
  <c r="K53" i="3"/>
  <c r="I53" i="3"/>
  <c r="G53" i="3"/>
  <c r="E53" i="3"/>
  <c r="AA52" i="3"/>
  <c r="Y52" i="3"/>
  <c r="U52" i="3"/>
  <c r="S52" i="3"/>
  <c r="Q52" i="3"/>
  <c r="O52" i="3"/>
  <c r="M52" i="3"/>
  <c r="K52" i="3"/>
  <c r="I52" i="3"/>
  <c r="G52" i="3"/>
  <c r="E52" i="3"/>
  <c r="AA51" i="3"/>
  <c r="Y51" i="3"/>
  <c r="U51" i="3"/>
  <c r="S51" i="3"/>
  <c r="Q51" i="3"/>
  <c r="O51" i="3"/>
  <c r="M51" i="3"/>
  <c r="K51" i="3"/>
  <c r="I51" i="3"/>
  <c r="G51" i="3"/>
  <c r="E51" i="3"/>
  <c r="AA50" i="3"/>
  <c r="Y50" i="3"/>
  <c r="U50" i="3"/>
  <c r="S50" i="3"/>
  <c r="Q50" i="3"/>
  <c r="O50" i="3"/>
  <c r="M50" i="3"/>
  <c r="K50" i="3"/>
  <c r="I50" i="3"/>
  <c r="G50" i="3"/>
  <c r="E50" i="3"/>
  <c r="AA49" i="3"/>
  <c r="Y49" i="3"/>
  <c r="U49" i="3"/>
  <c r="S49" i="3"/>
  <c r="Q49" i="3"/>
  <c r="O49" i="3"/>
  <c r="M49" i="3"/>
  <c r="K49" i="3"/>
  <c r="I49" i="3"/>
  <c r="G49" i="3"/>
  <c r="E49" i="3"/>
  <c r="AA48" i="3"/>
  <c r="Y48" i="3"/>
  <c r="U48" i="3"/>
  <c r="S48" i="3"/>
  <c r="Q48" i="3"/>
  <c r="O48" i="3"/>
  <c r="M48" i="3"/>
  <c r="K48" i="3"/>
  <c r="I48" i="3"/>
  <c r="G48" i="3"/>
  <c r="E48" i="3"/>
  <c r="AA47" i="3"/>
  <c r="Y47" i="3"/>
  <c r="U47" i="3"/>
  <c r="S47" i="3"/>
  <c r="Q47" i="3"/>
  <c r="O47" i="3"/>
  <c r="M47" i="3"/>
  <c r="K47" i="3"/>
  <c r="I47" i="3"/>
  <c r="G47" i="3"/>
  <c r="E47" i="3"/>
  <c r="AA46" i="3"/>
  <c r="Y46" i="3"/>
  <c r="U46" i="3"/>
  <c r="S46" i="3"/>
  <c r="Q46" i="3"/>
  <c r="O46" i="3"/>
  <c r="M46" i="3"/>
  <c r="K46" i="3"/>
  <c r="I46" i="3"/>
  <c r="G46" i="3"/>
  <c r="E46" i="3"/>
  <c r="AA45" i="3"/>
  <c r="Y45" i="3"/>
  <c r="U45" i="3"/>
  <c r="S45" i="3"/>
  <c r="Q45" i="3"/>
  <c r="O45" i="3"/>
  <c r="M45" i="3"/>
  <c r="K45" i="3"/>
  <c r="I45" i="3"/>
  <c r="G45" i="3"/>
  <c r="E45" i="3"/>
  <c r="AA44" i="3"/>
  <c r="Y44" i="3"/>
  <c r="U44" i="3"/>
  <c r="S44" i="3"/>
  <c r="Q44" i="3"/>
  <c r="O44" i="3"/>
  <c r="M44" i="3"/>
  <c r="K44" i="3"/>
  <c r="I44" i="3"/>
  <c r="G44" i="3"/>
  <c r="E44" i="3"/>
  <c r="AA43" i="3"/>
  <c r="Y43" i="3"/>
  <c r="U43" i="3"/>
  <c r="S43" i="3"/>
  <c r="Q43" i="3"/>
  <c r="O43" i="3"/>
  <c r="M43" i="3"/>
  <c r="K43" i="3"/>
  <c r="I43" i="3"/>
  <c r="G43" i="3"/>
  <c r="E43" i="3"/>
  <c r="AA42" i="3"/>
  <c r="Y42" i="3"/>
  <c r="U42" i="3"/>
  <c r="S42" i="3"/>
  <c r="Q42" i="3"/>
  <c r="O42" i="3"/>
  <c r="M42" i="3"/>
  <c r="K42" i="3"/>
  <c r="I42" i="3"/>
  <c r="G42" i="3"/>
  <c r="E42" i="3"/>
  <c r="AA41" i="3"/>
  <c r="Y41" i="3"/>
  <c r="U41" i="3"/>
  <c r="S41" i="3"/>
  <c r="Q41" i="3"/>
  <c r="O41" i="3"/>
  <c r="M41" i="3"/>
  <c r="K41" i="3"/>
  <c r="I41" i="3"/>
  <c r="G41" i="3"/>
  <c r="E41" i="3"/>
  <c r="AA40" i="3"/>
  <c r="Y40" i="3"/>
  <c r="U40" i="3"/>
  <c r="S40" i="3"/>
  <c r="Q40" i="3"/>
  <c r="O40" i="3"/>
  <c r="M40" i="3"/>
  <c r="K40" i="3"/>
  <c r="I40" i="3"/>
  <c r="G40" i="3"/>
  <c r="E40" i="3"/>
  <c r="AA39" i="3"/>
  <c r="Y39" i="3"/>
  <c r="U39" i="3"/>
  <c r="S39" i="3"/>
  <c r="Q39" i="3"/>
  <c r="O39" i="3"/>
  <c r="M39" i="3"/>
  <c r="K39" i="3"/>
  <c r="I39" i="3"/>
  <c r="G39" i="3"/>
  <c r="E39" i="3"/>
  <c r="AA38" i="3"/>
  <c r="Y38" i="3"/>
  <c r="U38" i="3"/>
  <c r="S38" i="3"/>
  <c r="Q38" i="3"/>
  <c r="O38" i="3"/>
  <c r="M38" i="3"/>
  <c r="K38" i="3"/>
  <c r="I38" i="3"/>
  <c r="G38" i="3"/>
  <c r="E38" i="3"/>
  <c r="AA37" i="3"/>
  <c r="Y37" i="3"/>
  <c r="U37" i="3"/>
  <c r="S37" i="3"/>
  <c r="Q37" i="3"/>
  <c r="O37" i="3"/>
  <c r="M37" i="3"/>
  <c r="K37" i="3"/>
  <c r="I37" i="3"/>
  <c r="G37" i="3"/>
  <c r="E37" i="3"/>
  <c r="AA36" i="3"/>
  <c r="Y36" i="3"/>
  <c r="U36" i="3"/>
  <c r="S36" i="3"/>
  <c r="Q36" i="3"/>
  <c r="O36" i="3"/>
  <c r="M36" i="3"/>
  <c r="K36" i="3"/>
  <c r="I36" i="3"/>
  <c r="G36" i="3"/>
  <c r="E36" i="3"/>
  <c r="AA35" i="3"/>
  <c r="Y35" i="3"/>
  <c r="U35" i="3"/>
  <c r="S35" i="3"/>
  <c r="Q35" i="3"/>
  <c r="O35" i="3"/>
  <c r="M35" i="3"/>
  <c r="K35" i="3"/>
  <c r="I35" i="3"/>
  <c r="G35" i="3"/>
  <c r="E35" i="3"/>
  <c r="AA34" i="3"/>
  <c r="Y34" i="3"/>
  <c r="U34" i="3"/>
  <c r="S34" i="3"/>
  <c r="Q34" i="3"/>
  <c r="O34" i="3"/>
  <c r="M34" i="3"/>
  <c r="K34" i="3"/>
  <c r="I34" i="3"/>
  <c r="G34" i="3"/>
  <c r="E34" i="3"/>
  <c r="AA33" i="3"/>
  <c r="Y33" i="3"/>
  <c r="U33" i="3"/>
  <c r="S33" i="3"/>
  <c r="Q33" i="3"/>
  <c r="O33" i="3"/>
  <c r="M33" i="3"/>
  <c r="K33" i="3"/>
  <c r="I33" i="3"/>
  <c r="G33" i="3"/>
  <c r="E33" i="3"/>
  <c r="AA32" i="3"/>
  <c r="Y32" i="3"/>
  <c r="U32" i="3"/>
  <c r="S32" i="3"/>
  <c r="Q32" i="3"/>
  <c r="O32" i="3"/>
  <c r="M32" i="3"/>
  <c r="K32" i="3"/>
  <c r="I32" i="3"/>
  <c r="G32" i="3"/>
  <c r="E32" i="3"/>
  <c r="AA31" i="3"/>
  <c r="Y31" i="3"/>
  <c r="U31" i="3"/>
  <c r="S31" i="3"/>
  <c r="Q31" i="3"/>
  <c r="O31" i="3"/>
  <c r="M31" i="3"/>
  <c r="K31" i="3"/>
  <c r="I31" i="3"/>
  <c r="G31" i="3"/>
  <c r="E31" i="3"/>
  <c r="AA30" i="3"/>
  <c r="Y30" i="3"/>
  <c r="U30" i="3"/>
  <c r="S30" i="3"/>
  <c r="Q30" i="3"/>
  <c r="O30" i="3"/>
  <c r="M30" i="3"/>
  <c r="K30" i="3"/>
  <c r="I30" i="3"/>
  <c r="G30" i="3"/>
  <c r="E30" i="3"/>
  <c r="AA29" i="3"/>
  <c r="Y29" i="3"/>
  <c r="U29" i="3"/>
  <c r="S29" i="3"/>
  <c r="Q29" i="3"/>
  <c r="O29" i="3"/>
  <c r="M29" i="3"/>
  <c r="K29" i="3"/>
  <c r="I29" i="3"/>
  <c r="G29" i="3"/>
  <c r="E29" i="3"/>
  <c r="AA28" i="3"/>
  <c r="Y28" i="3"/>
  <c r="U28" i="3"/>
  <c r="S28" i="3"/>
  <c r="Q28" i="3"/>
  <c r="O28" i="3"/>
  <c r="M28" i="3"/>
  <c r="K28" i="3"/>
  <c r="I28" i="3"/>
  <c r="G28" i="3"/>
  <c r="E28" i="3"/>
  <c r="AA27" i="3"/>
  <c r="Y27" i="3"/>
  <c r="U27" i="3"/>
  <c r="S27" i="3"/>
  <c r="Q27" i="3"/>
  <c r="O27" i="3"/>
  <c r="M27" i="3"/>
  <c r="K27" i="3"/>
  <c r="I27" i="3"/>
  <c r="G27" i="3"/>
  <c r="E27" i="3"/>
  <c r="AA26" i="3"/>
  <c r="Y26" i="3"/>
  <c r="U26" i="3"/>
  <c r="S26" i="3"/>
  <c r="Q26" i="3"/>
  <c r="O26" i="3"/>
  <c r="M26" i="3"/>
  <c r="K26" i="3"/>
  <c r="I26" i="3"/>
  <c r="G26" i="3"/>
  <c r="E26" i="3"/>
  <c r="E25" i="3"/>
  <c r="AA24" i="3"/>
  <c r="Y24" i="3"/>
  <c r="U24" i="3"/>
  <c r="S24" i="3"/>
  <c r="Q24" i="3"/>
  <c r="O24" i="3"/>
  <c r="M24" i="3"/>
  <c r="K24" i="3"/>
  <c r="I24" i="3"/>
  <c r="G24" i="3"/>
  <c r="E24" i="3"/>
  <c r="AA23" i="3"/>
  <c r="Y23" i="3"/>
  <c r="U23" i="3"/>
  <c r="S23" i="3"/>
  <c r="Q23" i="3"/>
  <c r="O23" i="3"/>
  <c r="M23" i="3"/>
  <c r="K23" i="3"/>
  <c r="I23" i="3"/>
  <c r="G23" i="3"/>
  <c r="E23" i="3"/>
  <c r="AA22" i="3"/>
  <c r="Y22" i="3"/>
  <c r="U22" i="3"/>
  <c r="S22" i="3"/>
  <c r="Q22" i="3"/>
  <c r="O22" i="3"/>
  <c r="M22" i="3"/>
  <c r="K22" i="3"/>
  <c r="I22" i="3"/>
  <c r="G22" i="3"/>
  <c r="E22" i="3"/>
  <c r="AA21" i="3"/>
  <c r="Y21" i="3"/>
  <c r="U21" i="3"/>
  <c r="S21" i="3"/>
  <c r="Q21" i="3"/>
  <c r="O21" i="3"/>
  <c r="M21" i="3"/>
  <c r="K21" i="3"/>
  <c r="I21" i="3"/>
  <c r="G21" i="3"/>
  <c r="E21" i="3"/>
  <c r="AA20" i="3"/>
  <c r="Y20" i="3"/>
  <c r="U20" i="3"/>
  <c r="S20" i="3"/>
  <c r="Q20" i="3"/>
  <c r="O20" i="3"/>
  <c r="M20" i="3"/>
  <c r="K20" i="3"/>
  <c r="I20" i="3"/>
  <c r="G20" i="3"/>
  <c r="E20" i="3"/>
  <c r="AA19" i="3"/>
  <c r="Y19" i="3"/>
  <c r="U19" i="3"/>
  <c r="S19" i="3"/>
  <c r="Q19" i="3"/>
  <c r="O19" i="3"/>
  <c r="M19" i="3"/>
  <c r="K19" i="3"/>
  <c r="I19" i="3"/>
  <c r="G19" i="3"/>
  <c r="E19" i="3"/>
  <c r="AA18" i="3"/>
  <c r="Y18" i="3"/>
  <c r="U18" i="3"/>
  <c r="S18" i="3"/>
  <c r="Q18" i="3"/>
  <c r="O18" i="3"/>
  <c r="M18" i="3"/>
  <c r="K18" i="3"/>
  <c r="I18" i="3"/>
  <c r="G18" i="3"/>
  <c r="E18" i="3"/>
  <c r="AA17" i="3"/>
  <c r="Y17" i="3"/>
  <c r="U17" i="3"/>
  <c r="S17" i="3"/>
  <c r="Q17" i="3"/>
  <c r="O17" i="3"/>
  <c r="M17" i="3"/>
  <c r="K17" i="3"/>
  <c r="I17" i="3"/>
  <c r="G17" i="3"/>
  <c r="E17" i="3"/>
  <c r="AA16" i="3"/>
  <c r="Y16" i="3"/>
  <c r="U16" i="3"/>
  <c r="S16" i="3"/>
  <c r="Q16" i="3"/>
  <c r="O16" i="3"/>
  <c r="M16" i="3"/>
  <c r="K16" i="3"/>
  <c r="I16" i="3"/>
  <c r="G16" i="3"/>
  <c r="E16" i="3"/>
  <c r="AA15" i="3"/>
  <c r="Y15" i="3"/>
  <c r="U15" i="3"/>
  <c r="S15" i="3"/>
  <c r="Q15" i="3"/>
  <c r="O15" i="3"/>
  <c r="M15" i="3"/>
  <c r="K15" i="3"/>
  <c r="I15" i="3"/>
  <c r="G15" i="3"/>
  <c r="E15" i="3"/>
  <c r="AA14" i="3"/>
  <c r="Y14" i="3"/>
  <c r="U14" i="3"/>
  <c r="S14" i="3"/>
  <c r="Q14" i="3"/>
  <c r="O14" i="3"/>
  <c r="M14" i="3"/>
  <c r="K14" i="3"/>
  <c r="I14" i="3"/>
  <c r="G14" i="3"/>
  <c r="E14" i="3"/>
  <c r="AA13" i="3"/>
  <c r="Y13" i="3"/>
  <c r="U13" i="3"/>
  <c r="S13" i="3"/>
  <c r="Q13" i="3"/>
  <c r="O13" i="3"/>
  <c r="M13" i="3"/>
  <c r="K13" i="3"/>
  <c r="I13" i="3"/>
  <c r="G13" i="3"/>
  <c r="E13" i="3"/>
  <c r="AA12" i="3"/>
  <c r="Y12" i="3"/>
  <c r="U12" i="3"/>
  <c r="S12" i="3"/>
  <c r="Q12" i="3"/>
  <c r="O12" i="3"/>
  <c r="M12" i="3"/>
  <c r="K12" i="3"/>
  <c r="I12" i="3"/>
  <c r="G12" i="3"/>
  <c r="E12" i="3"/>
  <c r="AA11" i="3"/>
  <c r="Y11" i="3"/>
  <c r="U11" i="3"/>
  <c r="S11" i="3"/>
  <c r="Q11" i="3"/>
  <c r="O11" i="3"/>
  <c r="M11" i="3"/>
  <c r="K11" i="3"/>
  <c r="I11" i="3"/>
  <c r="G11" i="3"/>
  <c r="E11" i="3"/>
  <c r="AA10" i="3"/>
  <c r="Y10" i="3"/>
  <c r="U10" i="3"/>
  <c r="S10" i="3"/>
  <c r="Q10" i="3"/>
  <c r="O10" i="3"/>
  <c r="M10" i="3"/>
  <c r="K10" i="3"/>
  <c r="I10" i="3"/>
  <c r="G10" i="3"/>
  <c r="E10" i="3"/>
  <c r="AA9" i="3"/>
  <c r="Y9" i="3"/>
  <c r="U9" i="3"/>
  <c r="S9" i="3"/>
  <c r="Q9" i="3"/>
  <c r="O9" i="3"/>
  <c r="M9" i="3"/>
  <c r="K9" i="3"/>
  <c r="I9" i="3"/>
  <c r="G9" i="3"/>
  <c r="E9" i="3"/>
  <c r="AA8" i="3"/>
  <c r="Y8" i="3"/>
  <c r="U8" i="3"/>
  <c r="S8" i="3"/>
  <c r="Q8" i="3"/>
  <c r="O8" i="3"/>
  <c r="M8" i="3"/>
  <c r="K8" i="3"/>
  <c r="I8" i="3"/>
  <c r="G8" i="3"/>
  <c r="E8" i="3"/>
  <c r="AA7" i="3"/>
  <c r="Y7" i="3"/>
  <c r="U7" i="3"/>
  <c r="S7" i="3"/>
  <c r="Q7" i="3"/>
  <c r="O7" i="3"/>
  <c r="M7" i="3"/>
  <c r="K7" i="3"/>
  <c r="I7" i="3"/>
  <c r="G7" i="3"/>
  <c r="E7" i="3"/>
  <c r="AA6" i="3"/>
  <c r="Y6" i="3"/>
  <c r="U6" i="3"/>
  <c r="S6" i="3"/>
  <c r="Q6" i="3"/>
  <c r="O6" i="3"/>
  <c r="M6" i="3"/>
  <c r="K6" i="3"/>
  <c r="I6" i="3"/>
  <c r="G6" i="3"/>
  <c r="E6" i="3"/>
  <c r="AA5" i="3"/>
  <c r="Y5" i="3"/>
  <c r="U5" i="3"/>
  <c r="S5" i="3"/>
  <c r="Q5" i="3"/>
  <c r="O5" i="3"/>
  <c r="M5" i="3"/>
  <c r="K5" i="3"/>
  <c r="I5" i="3"/>
  <c r="G5" i="3"/>
  <c r="E5" i="3"/>
  <c r="AA4" i="3"/>
  <c r="Y4" i="3"/>
  <c r="U4" i="3"/>
  <c r="S4" i="3"/>
  <c r="Q4" i="3"/>
  <c r="O4" i="3"/>
  <c r="M4" i="3"/>
  <c r="K4" i="3"/>
  <c r="I4" i="3"/>
  <c r="G4" i="3"/>
  <c r="E4" i="3"/>
  <c r="AA3" i="3"/>
  <c r="Y3" i="3"/>
  <c r="U3" i="3"/>
  <c r="S3" i="3"/>
  <c r="Q3" i="3"/>
  <c r="O3" i="3"/>
  <c r="M3" i="3"/>
  <c r="K3" i="3"/>
  <c r="I3" i="3"/>
  <c r="G3" i="3"/>
  <c r="E3" i="3"/>
  <c r="AA2" i="3"/>
  <c r="Y2" i="3"/>
  <c r="U2" i="3"/>
  <c r="S2" i="3"/>
  <c r="Q2" i="3"/>
  <c r="O2" i="3"/>
  <c r="M2" i="3"/>
  <c r="K2" i="3"/>
  <c r="I2" i="3"/>
  <c r="G2" i="3"/>
  <c r="E2" i="3"/>
  <c r="E85" i="3" l="1"/>
  <c r="AA85" i="3"/>
  <c r="Y85" i="3"/>
  <c r="P13" i="11" s="1"/>
  <c r="P12" i="11"/>
  <c r="U85" i="3"/>
  <c r="P11" i="11" s="1"/>
  <c r="S85" i="3"/>
  <c r="P10" i="11" s="1"/>
  <c r="Q85" i="3"/>
  <c r="P9" i="11" s="1"/>
  <c r="O85" i="3"/>
  <c r="P8" i="11" s="1"/>
  <c r="M85" i="3"/>
  <c r="P7" i="11" s="1"/>
  <c r="K85" i="3"/>
  <c r="P6" i="11" s="1"/>
  <c r="I85" i="3"/>
  <c r="P5" i="11" s="1"/>
  <c r="G85" i="3"/>
  <c r="P4" i="11" s="1"/>
  <c r="P3" i="11" l="1"/>
  <c r="AB85" i="3"/>
  <c r="AB86" i="3" s="1"/>
  <c r="P14" i="11"/>
  <c r="P15" i="11" s="1"/>
  <c r="P25" i="11" s="1"/>
  <c r="M74" i="12" l="1"/>
  <c r="H7" i="12" l="1"/>
  <c r="F7" i="12"/>
  <c r="H5" i="6" l="1"/>
  <c r="G6" i="11" l="1"/>
  <c r="M68" i="12" l="1"/>
  <c r="F16" i="12"/>
  <c r="F37" i="12" l="1"/>
  <c r="H16" i="12"/>
  <c r="D45" i="12" s="1"/>
  <c r="W95" i="12"/>
  <c r="U93" i="12"/>
  <c r="W87" i="12"/>
  <c r="U86" i="12"/>
  <c r="D86" i="12"/>
  <c r="U82" i="12"/>
  <c r="K79" i="12"/>
  <c r="J79" i="12"/>
  <c r="H79" i="12"/>
  <c r="L78" i="12"/>
  <c r="L77" i="12"/>
  <c r="L76" i="12"/>
  <c r="L75" i="12"/>
  <c r="L74" i="12"/>
  <c r="L73" i="12"/>
  <c r="L72" i="12"/>
  <c r="L71" i="12"/>
  <c r="L70" i="12"/>
  <c r="L69" i="12"/>
  <c r="U68" i="12"/>
  <c r="S68" i="12"/>
  <c r="Q68" i="12"/>
  <c r="L67" i="12"/>
  <c r="W66" i="12"/>
  <c r="V66" i="12"/>
  <c r="L66" i="12"/>
  <c r="W65" i="12"/>
  <c r="V65" i="12"/>
  <c r="V68" i="12" s="1"/>
  <c r="L65" i="12"/>
  <c r="L63" i="12"/>
  <c r="D63" i="12"/>
  <c r="L62" i="12"/>
  <c r="D62" i="12"/>
  <c r="L61" i="12"/>
  <c r="D61" i="12"/>
  <c r="L60" i="12"/>
  <c r="L59" i="12"/>
  <c r="L58" i="12"/>
  <c r="L57" i="12"/>
  <c r="L56" i="12"/>
  <c r="L55" i="12"/>
  <c r="D47" i="12"/>
  <c r="S41" i="12"/>
  <c r="Q41" i="12"/>
  <c r="O41" i="12"/>
  <c r="P40" i="12"/>
  <c r="H35" i="12"/>
  <c r="H32" i="12" s="1"/>
  <c r="F35" i="12"/>
  <c r="F32" i="12" s="1"/>
  <c r="D35" i="12"/>
  <c r="D32" i="12" s="1"/>
  <c r="F21" i="12"/>
  <c r="J16" i="12"/>
  <c r="D46" i="12" s="1"/>
  <c r="D16" i="12"/>
  <c r="D43" i="12" s="1"/>
  <c r="Q14" i="12"/>
  <c r="Q15" i="12" s="1"/>
  <c r="Q16" i="12" s="1"/>
  <c r="L7" i="12"/>
  <c r="H8" i="12" s="1"/>
  <c r="L5" i="12"/>
  <c r="F6" i="12" s="1"/>
  <c r="W68" i="12" l="1"/>
  <c r="Q17" i="12"/>
  <c r="H6" i="12"/>
  <c r="L79" i="12"/>
  <c r="AA12" i="12"/>
  <c r="AA11" i="12"/>
  <c r="D8" i="12"/>
  <c r="D44" i="12"/>
  <c r="D90" i="12" s="1"/>
  <c r="D6" i="12"/>
  <c r="F8" i="12"/>
  <c r="H34" i="12"/>
  <c r="D48" i="12" l="1"/>
  <c r="H81" i="6" s="1"/>
  <c r="I38" i="8"/>
  <c r="L6" i="12"/>
  <c r="D94" i="12"/>
  <c r="L8" i="12"/>
  <c r="AA13" i="12"/>
  <c r="F90" i="12" l="1"/>
  <c r="D49" i="12"/>
  <c r="D53" i="12" s="1"/>
  <c r="F44" i="12"/>
  <c r="F94" i="12"/>
  <c r="F91" i="12"/>
  <c r="F50" i="12"/>
  <c r="F82" i="12"/>
  <c r="F85" i="12"/>
  <c r="F48" i="12"/>
  <c r="F89" i="12"/>
  <c r="F84" i="12"/>
  <c r="F83" i="12"/>
  <c r="F93" i="12"/>
  <c r="F92" i="12"/>
  <c r="F47" i="12"/>
  <c r="F86" i="12"/>
  <c r="F45" i="12"/>
  <c r="F46" i="12"/>
  <c r="F43" i="12"/>
  <c r="F49" i="12" l="1"/>
  <c r="F53" i="12"/>
  <c r="O3" i="11" l="1"/>
  <c r="P9" i="5"/>
  <c r="O9" i="11" s="1"/>
  <c r="D59" i="12" l="1"/>
  <c r="T22" i="11" l="1"/>
  <c r="H38" i="6" l="1"/>
  <c r="O6" i="11"/>
  <c r="P7" i="5"/>
  <c r="O7" i="11" s="1"/>
  <c r="P12" i="5"/>
  <c r="O5" i="11"/>
  <c r="P8" i="5"/>
  <c r="O8" i="11" s="1"/>
  <c r="P13" i="5" l="1"/>
  <c r="O13" i="11" s="1"/>
  <c r="E15" i="5"/>
  <c r="P11" i="5"/>
  <c r="O11" i="11" s="1"/>
  <c r="P10" i="5"/>
  <c r="O10" i="11" s="1"/>
  <c r="P4" i="5"/>
  <c r="O14" i="11"/>
  <c r="O12" i="11"/>
  <c r="O4" i="11" l="1"/>
  <c r="H75" i="6" l="1"/>
  <c r="H74" i="6"/>
  <c r="H77" i="6" s="1"/>
  <c r="I57" i="6"/>
  <c r="H57" i="6"/>
  <c r="H60" i="6" s="1"/>
  <c r="H53" i="6"/>
  <c r="H23" i="6" l="1"/>
  <c r="H15" i="11"/>
  <c r="O15" i="11"/>
  <c r="J31" i="11"/>
  <c r="I32" i="11"/>
  <c r="H25" i="11" l="1"/>
  <c r="O25" i="11"/>
  <c r="J32" i="11"/>
  <c r="D77" i="12"/>
  <c r="M77" i="12" s="1"/>
  <c r="D76" i="12"/>
  <c r="M76" i="12" s="1"/>
  <c r="G15" i="11"/>
  <c r="G25" i="11" l="1"/>
  <c r="L15" i="11"/>
  <c r="D73" i="12"/>
  <c r="M73" i="12" s="1"/>
  <c r="D67" i="12" l="1"/>
  <c r="M67" i="12" s="1"/>
  <c r="L25" i="11"/>
  <c r="N28" i="2"/>
  <c r="E14" i="11" s="1"/>
  <c r="M28" i="2"/>
  <c r="L28" i="2"/>
  <c r="E12" i="11" s="1"/>
  <c r="K28" i="2"/>
  <c r="E11" i="11" s="1"/>
  <c r="J28" i="2"/>
  <c r="I28" i="2"/>
  <c r="E9" i="11" s="1"/>
  <c r="H28" i="2"/>
  <c r="E8" i="11" s="1"/>
  <c r="G28" i="2"/>
  <c r="E7" i="11" s="1"/>
  <c r="F28" i="2"/>
  <c r="E6" i="11" s="1"/>
  <c r="E28" i="2"/>
  <c r="E5" i="11" s="1"/>
  <c r="D28" i="2"/>
  <c r="E4" i="11" s="1"/>
  <c r="E10" i="11" l="1"/>
  <c r="E13" i="11"/>
  <c r="C14" i="11"/>
  <c r="E15" i="11" l="1"/>
  <c r="E25" i="11" s="1"/>
  <c r="D70" i="12"/>
  <c r="C4" i="11"/>
  <c r="C8" i="11"/>
  <c r="G31" i="11" s="1"/>
  <c r="C7" i="11"/>
  <c r="C10" i="11"/>
  <c r="C13" i="11"/>
  <c r="C5" i="11"/>
  <c r="C3" i="11"/>
  <c r="C11" i="11"/>
  <c r="C9" i="11"/>
  <c r="C12" i="11"/>
  <c r="C6" i="11"/>
  <c r="H30" i="6"/>
  <c r="M70" i="12" l="1"/>
  <c r="D69" i="12"/>
  <c r="M69" i="12" s="1"/>
  <c r="C15" i="11"/>
  <c r="D104" i="15" l="1"/>
  <c r="D92" i="15"/>
  <c r="D81" i="15"/>
  <c r="H34" i="15" l="1"/>
  <c r="D21" i="15" l="1"/>
  <c r="H16" i="15" l="1"/>
  <c r="G42" i="14"/>
  <c r="G41" i="14"/>
  <c r="D39" i="14"/>
  <c r="H42" i="6" s="1"/>
  <c r="H29" i="14"/>
  <c r="C96" i="6" l="1"/>
  <c r="F11" i="13"/>
  <c r="F10" i="13"/>
  <c r="F9" i="13"/>
  <c r="F8" i="13"/>
  <c r="F7" i="13"/>
  <c r="F6" i="13"/>
  <c r="F5" i="13"/>
  <c r="F4" i="13"/>
  <c r="F3" i="13"/>
  <c r="I9" i="11" l="1"/>
  <c r="I3" i="11"/>
  <c r="I13" i="11"/>
  <c r="F12" i="13"/>
  <c r="E24" i="7"/>
  <c r="D24" i="7" l="1"/>
  <c r="B24" i="7"/>
  <c r="I7" i="11" l="1"/>
  <c r="I14" i="11"/>
  <c r="I4" i="11"/>
  <c r="I12" i="11"/>
  <c r="I11" i="11"/>
  <c r="I8" i="11"/>
  <c r="I6" i="11"/>
  <c r="I10" i="11"/>
  <c r="I5" i="11"/>
  <c r="H9" i="7"/>
  <c r="F24" i="7"/>
  <c r="J22" i="6"/>
  <c r="J21" i="6"/>
  <c r="I22" i="6"/>
  <c r="I15" i="11" l="1"/>
  <c r="J9" i="7"/>
  <c r="I9" i="7"/>
  <c r="J23" i="6"/>
  <c r="J38" i="8"/>
  <c r="I37" i="8"/>
  <c r="J37" i="8" s="1"/>
  <c r="I15" i="5"/>
  <c r="D15" i="5"/>
  <c r="D75" i="12" l="1"/>
  <c r="M75" i="12" s="1"/>
  <c r="I25" i="11"/>
  <c r="K9" i="7"/>
  <c r="L4" i="7"/>
  <c r="M4" i="7" s="1"/>
  <c r="N4" i="7" s="1"/>
  <c r="I39" i="8"/>
  <c r="J39" i="8" s="1"/>
  <c r="M8" i="7" l="1"/>
  <c r="N8" i="7" s="1"/>
  <c r="L7" i="7"/>
  <c r="M7" i="7" s="1"/>
  <c r="N7" i="7" s="1"/>
  <c r="L9" i="7"/>
  <c r="M9" i="7" s="1"/>
  <c r="N9" i="7" s="1"/>
  <c r="K15" i="5" l="1"/>
  <c r="H44" i="6" l="1"/>
  <c r="H82" i="6" s="1"/>
  <c r="G45" i="8" l="1"/>
  <c r="H46" i="8" l="1"/>
  <c r="I46" i="8"/>
  <c r="J46" i="8" s="1"/>
  <c r="I45" i="8"/>
  <c r="I47" i="8" l="1"/>
  <c r="J45" i="8"/>
  <c r="J47" i="8" s="1"/>
  <c r="D18" i="9" l="1"/>
  <c r="B19" i="9" s="1"/>
  <c r="G13" i="8"/>
  <c r="I13" i="8" s="1"/>
  <c r="D13" i="8"/>
  <c r="G12" i="8"/>
  <c r="I12" i="8" s="1"/>
  <c r="D12" i="8"/>
  <c r="G11" i="8"/>
  <c r="I11" i="8" s="1"/>
  <c r="D11" i="8"/>
  <c r="G10" i="8"/>
  <c r="D10" i="8"/>
  <c r="G9" i="8"/>
  <c r="D9" i="8"/>
  <c r="G8" i="8"/>
  <c r="I8" i="8" s="1"/>
  <c r="D56" i="12"/>
  <c r="G7" i="8"/>
  <c r="I7" i="8" s="1"/>
  <c r="D7" i="8"/>
  <c r="G6" i="8"/>
  <c r="I6" i="8" s="1"/>
  <c r="D6" i="8"/>
  <c r="G5" i="8"/>
  <c r="O9" i="6"/>
  <c r="N9" i="6"/>
  <c r="M9" i="6"/>
  <c r="L9" i="6"/>
  <c r="K9" i="6"/>
  <c r="J9" i="6"/>
  <c r="I9" i="6"/>
  <c r="H9" i="6"/>
  <c r="G9" i="6"/>
  <c r="I5" i="8" l="1"/>
  <c r="D60" i="12" s="1"/>
  <c r="D57" i="12"/>
  <c r="L7" i="8"/>
  <c r="N7" i="8" s="1"/>
  <c r="I42" i="8"/>
  <c r="J42" i="8" s="1"/>
  <c r="I41" i="8"/>
  <c r="D14" i="8"/>
  <c r="D15" i="8" s="1"/>
  <c r="S15" i="11" s="1"/>
  <c r="L6" i="8"/>
  <c r="N6" i="8" s="1"/>
  <c r="D55" i="12" s="1"/>
  <c r="I10" i="8"/>
  <c r="L5" i="8"/>
  <c r="I9" i="8"/>
  <c r="I14" i="8" s="1"/>
  <c r="I15" i="8" s="1"/>
  <c r="X96" i="6"/>
  <c r="X95" i="6"/>
  <c r="U92" i="6"/>
  <c r="X92" i="6" s="1"/>
  <c r="H64" i="6"/>
  <c r="N15" i="5"/>
  <c r="M10" i="11" l="1"/>
  <c r="M8" i="11"/>
  <c r="M9" i="11"/>
  <c r="J41" i="8"/>
  <c r="J43" i="8" s="1"/>
  <c r="I43" i="8"/>
  <c r="R15" i="11"/>
  <c r="N5" i="8"/>
  <c r="D58" i="12" s="1"/>
  <c r="X97" i="6"/>
  <c r="M15" i="11" l="1"/>
  <c r="M25" i="11" s="1"/>
  <c r="N9" i="8"/>
  <c r="N10" i="8" s="1"/>
  <c r="Q15" i="11" s="1"/>
  <c r="D71" i="12" l="1"/>
  <c r="M71" i="12" s="1"/>
  <c r="F15" i="11"/>
  <c r="F25" i="11" l="1"/>
  <c r="D72" i="12"/>
  <c r="M72" i="12" s="1"/>
  <c r="B15" i="11" l="1"/>
  <c r="B25" i="11" s="1"/>
  <c r="D66" i="12" l="1"/>
  <c r="M66" i="12" l="1"/>
  <c r="H5" i="7" l="1"/>
  <c r="G24" i="7"/>
  <c r="J5" i="7" l="1"/>
  <c r="J24" i="7" s="1"/>
  <c r="I5" i="7"/>
  <c r="I24" i="7" s="1"/>
  <c r="H24" i="7"/>
  <c r="K5" i="7" l="1"/>
  <c r="K24" i="7" s="1"/>
  <c r="L5" i="7" l="1"/>
  <c r="L24" i="7" s="1"/>
  <c r="M5" i="7" l="1"/>
  <c r="N5" i="7" s="1"/>
  <c r="M24" i="7"/>
  <c r="N24" i="7"/>
  <c r="K6" i="11" l="1"/>
  <c r="K3" i="11"/>
  <c r="N27" i="7"/>
  <c r="K13" i="11"/>
  <c r="K12" i="11"/>
  <c r="K11" i="11"/>
  <c r="K10" i="11"/>
  <c r="K9" i="11"/>
  <c r="K7" i="11"/>
  <c r="J3" i="11"/>
  <c r="N28" i="7" l="1"/>
  <c r="N29" i="7" s="1"/>
  <c r="J7" i="11"/>
  <c r="J14" i="11"/>
  <c r="J6" i="11"/>
  <c r="J10" i="11"/>
  <c r="J8" i="11"/>
  <c r="J13" i="11"/>
  <c r="J5" i="11"/>
  <c r="J9" i="11"/>
  <c r="J12" i="11"/>
  <c r="J4" i="11"/>
  <c r="J11" i="11"/>
  <c r="K14" i="11" l="1"/>
  <c r="K8" i="11"/>
  <c r="K5" i="11"/>
  <c r="K4" i="11"/>
  <c r="N40" i="7"/>
  <c r="J15" i="11"/>
  <c r="D78" i="12" s="1"/>
  <c r="J25" i="11" l="1"/>
  <c r="M78" i="12" l="1"/>
  <c r="M79" i="12" s="1"/>
  <c r="T3" i="11" l="1"/>
  <c r="T5" i="11"/>
  <c r="N25" i="7"/>
  <c r="T4" i="11" s="1"/>
  <c r="T8" i="11"/>
  <c r="T7" i="11" l="1"/>
  <c r="T11" i="11"/>
  <c r="T13" i="11"/>
  <c r="T9" i="11"/>
  <c r="T14" i="11"/>
  <c r="T10" i="11"/>
  <c r="T12" i="11"/>
  <c r="K15" i="11"/>
  <c r="D65" i="12" s="1"/>
  <c r="D103" i="12" s="1"/>
  <c r="D104" i="12" s="1"/>
  <c r="T6" i="11"/>
  <c r="F104" i="12" l="1"/>
  <c r="F103" i="12"/>
  <c r="D79" i="12"/>
  <c r="D80" i="12" s="1"/>
  <c r="F80" i="12" s="1"/>
  <c r="T15" i="11"/>
  <c r="V18" i="11" s="1"/>
  <c r="U15" i="11"/>
  <c r="U14" i="11" s="1"/>
  <c r="V14" i="11" s="1"/>
  <c r="O34" i="11"/>
  <c r="O35" i="11" s="1"/>
  <c r="K25" i="11"/>
  <c r="M65" i="12" l="1"/>
  <c r="F74" i="12" l="1"/>
  <c r="F62" i="12"/>
  <c r="F63" i="12"/>
  <c r="F76" i="12"/>
  <c r="F70" i="12"/>
  <c r="F73" i="12"/>
  <c r="F78" i="12"/>
  <c r="F57" i="12"/>
  <c r="F68" i="12"/>
  <c r="F67" i="12"/>
  <c r="F69" i="12"/>
  <c r="F72" i="12"/>
  <c r="F61" i="12"/>
  <c r="F77" i="12"/>
  <c r="F60" i="12"/>
  <c r="F58" i="12"/>
  <c r="F64" i="12"/>
  <c r="F66" i="12"/>
  <c r="F75" i="12"/>
  <c r="F71" i="12"/>
  <c r="F56" i="12"/>
  <c r="F55" i="12"/>
  <c r="F59" i="12"/>
  <c r="F65" i="12"/>
  <c r="F79" i="12" l="1"/>
  <c r="AB6" i="12"/>
  <c r="AB19" i="12" s="1"/>
  <c r="D87" i="12"/>
  <c r="D96" i="12" l="1"/>
  <c r="F96" i="12" s="1"/>
  <c r="F87" i="12"/>
  <c r="AA9" i="12"/>
  <c r="AB8" i="12" l="1"/>
  <c r="AB3" i="12"/>
  <c r="AB9" i="12"/>
  <c r="AB15" i="12"/>
  <c r="AB14" i="12"/>
  <c r="AB13" i="12"/>
  <c r="AB11" i="12"/>
  <c r="AB4" i="12"/>
  <c r="AB2" i="12"/>
  <c r="AB12" i="12"/>
  <c r="AB7" i="12"/>
  <c r="AB10" i="12"/>
  <c r="AB5" i="12"/>
  <c r="AB20" i="12"/>
  <c r="AC20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DavidJohnWeihs</author>
    <author>Kelly Carroll</author>
  </authors>
  <commentList>
    <comment ref="C49" authorId="0" shapeId="0" xr:uid="{7546D237-F0CD-4FC5-BEF7-41F2597166DD}">
      <text>
        <r>
          <rPr>
            <b/>
            <sz val="9"/>
            <color indexed="81"/>
            <rFont val="Tahoma"/>
            <family val="2"/>
          </rPr>
          <t>Senar que seria 0,25%
Não tem ICMS, PIS ou COFINS
IRPJ – 1,2%
CSLL – 1,08%
Adicional IRPJ – mais ou menos 1% das vendas.</t>
        </r>
      </text>
    </comment>
    <comment ref="C53" authorId="0" shapeId="0" xr:uid="{95056611-929C-4A99-8E5E-0A16D68E810B}">
      <text>
        <r>
          <rPr>
            <b/>
            <sz val="9"/>
            <color indexed="81"/>
            <rFont val="Tahoma"/>
            <family val="2"/>
          </rPr>
          <t>DavidJohnWeihs:</t>
        </r>
        <r>
          <rPr>
            <sz val="9"/>
            <color indexed="81"/>
            <rFont val="Tahoma"/>
            <family val="2"/>
          </rPr>
          <t xml:space="preserve">
Estamos lucro presumido em vez do lucro real.</t>
        </r>
      </text>
    </comment>
    <comment ref="D90" authorId="1" shapeId="0" xr:uid="{C3612B6A-1F9A-4EA6-9D46-D0AAAEF197AC}">
      <text>
        <r>
          <rPr>
            <b/>
            <sz val="9"/>
            <color indexed="81"/>
            <rFont val="Tahoma"/>
            <family val="2"/>
          </rPr>
          <t>Kelly Carroll:</t>
        </r>
        <r>
          <rPr>
            <sz val="9"/>
            <color indexed="81"/>
            <rFont val="Tahoma"/>
            <family val="2"/>
          </rPr>
          <t xml:space="preserve">
presumindo pluma e soja = ir &amp; csll only (2.28%)
corn - IR, CSLL, Senar &amp; Funrural (5.13%)</t>
        </r>
      </text>
    </comment>
    <comment ref="D92" authorId="1" shapeId="0" xr:uid="{369ACB63-734A-43DD-BADE-E0717F7F9205}">
      <text>
        <r>
          <rPr>
            <b/>
            <sz val="9"/>
            <color indexed="81"/>
            <rFont val="Tahoma"/>
            <family val="2"/>
          </rPr>
          <t>Kelly Carroll:</t>
        </r>
        <r>
          <rPr>
            <sz val="9"/>
            <color indexed="81"/>
            <rFont val="Tahoma"/>
            <family val="2"/>
          </rPr>
          <t xml:space="preserve">
fines = in carroll and john operational plus interest expense Agroservice &amp; juros pago marine bank, emprestimo pago set 2018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H3" authorId="0" shapeId="0" xr:uid="{8B10EC0F-EAFF-4E92-8A18-914F26838EC4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aluguel trator puxar pipa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Romerio Cotrim</author>
  </authors>
  <commentList>
    <comment ref="C18" authorId="0" shapeId="0" xr:uid="{E3AF87AC-E159-4482-AA90-5E8606B2892A}">
      <text>
        <r>
          <rPr>
            <b/>
            <sz val="9"/>
            <color indexed="81"/>
            <rFont val="Segoe UI"/>
            <family val="2"/>
          </rPr>
          <t>Romerio Cotrim:</t>
        </r>
        <r>
          <rPr>
            <sz val="9"/>
            <color indexed="81"/>
            <rFont val="Segoe UI"/>
            <family val="2"/>
          </rPr>
          <t xml:space="preserve">
reforma da cabine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  <author>Marcos Luiz Schuh</author>
    <author>David Weihs</author>
    <author>Romerio</author>
  </authors>
  <commentList>
    <comment ref="H5" authorId="0" shapeId="0" xr:uid="{9860ED56-F063-4064-B903-36D340D3609C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fica mensal 68.20% do salario vigente que baseado no salario de hoje, dará R$ 750,20.</t>
        </r>
      </text>
    </comment>
    <comment ref="G28" authorId="1" shapeId="0" xr:uid="{5E99603C-9684-45E5-8A37-CC71834D83BC}">
      <text>
        <r>
          <rPr>
            <b/>
            <sz val="9"/>
            <color indexed="81"/>
            <rFont val="Segoe UI"/>
            <family val="2"/>
          </rPr>
          <t>Marcos Luiz Schuh:</t>
        </r>
        <r>
          <rPr>
            <sz val="9"/>
            <color indexed="81"/>
            <rFont val="Segoe UI"/>
            <family val="2"/>
          </rPr>
          <t xml:space="preserve">
sem area de algodão </t>
        </r>
      </text>
    </comment>
    <comment ref="G29" authorId="1" shapeId="0" xr:uid="{0294AC18-DE6D-49BE-97F0-D9F2873A90D3}">
      <text>
        <r>
          <rPr>
            <b/>
            <sz val="9"/>
            <color indexed="81"/>
            <rFont val="Segoe UI"/>
            <family val="2"/>
          </rPr>
          <t>Marcos Luiz Schuh:</t>
        </r>
        <r>
          <rPr>
            <sz val="9"/>
            <color indexed="81"/>
            <rFont val="Segoe UI"/>
            <family val="2"/>
          </rPr>
          <t xml:space="preserve">
sem area de algodão </t>
        </r>
      </text>
    </comment>
    <comment ref="H31" authorId="0" shapeId="0" xr:uid="{D7FD0A56-0ED8-44CA-B55E-738C1B417629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$15.000/ano.
50% escritorio
50% fazenda (35% Agroinvest e 65% Agrosercie</t>
        </r>
      </text>
    </comment>
    <comment ref="H32" authorId="0" shapeId="0" xr:uid="{1950B0FA-67AA-4329-82AE-97566AF4B045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Sf 2 - 3 meses 
Sf3 - 1 ano
Controle de sesão </t>
        </r>
      </text>
    </comment>
    <comment ref="K32" authorId="2" shapeId="0" xr:uid="{6C026F9B-0DAE-4917-B1D7-DC8900AB933B}">
      <text>
        <r>
          <rPr>
            <b/>
            <sz val="9"/>
            <color indexed="81"/>
            <rFont val="Segoe UI"/>
            <family val="2"/>
          </rPr>
          <t>David Weihs:</t>
        </r>
        <r>
          <rPr>
            <sz val="9"/>
            <color indexed="81"/>
            <rFont val="Segoe UI"/>
            <family val="2"/>
          </rPr>
          <t xml:space="preserve">
Foi 12 mil para Nic e 6 mil para Carlos.
Na proxima reuniao Nic ja avisou que o custo para ter ele participar inves de R$12.000 vai aumentar para R$13.000.</t>
        </r>
      </text>
    </comment>
    <comment ref="I41" authorId="3" shapeId="0" xr:uid="{56A2B35D-76B2-46D2-9494-349F5FA85103}">
      <text>
        <r>
          <rPr>
            <b/>
            <sz val="9"/>
            <color indexed="81"/>
            <rFont val="Segoe UI"/>
            <family val="2"/>
          </rPr>
          <t>Romerio:</t>
        </r>
        <r>
          <rPr>
            <sz val="9"/>
            <color indexed="81"/>
            <rFont val="Segoe UI"/>
            <family val="2"/>
          </rPr>
          <t xml:space="preserve">
Analise macronutrientes </t>
        </r>
      </text>
    </comment>
    <comment ref="J41" authorId="3" shapeId="0" xr:uid="{EEE3180E-591E-4FA6-A32A-17CE972BE675}">
      <text>
        <r>
          <rPr>
            <b/>
            <sz val="9"/>
            <color indexed="81"/>
            <rFont val="Segoe UI"/>
            <family val="2"/>
          </rPr>
          <t>Romerio:</t>
        </r>
        <r>
          <rPr>
            <sz val="9"/>
            <color indexed="81"/>
            <rFont val="Segoe UI"/>
            <family val="2"/>
          </rPr>
          <t xml:space="preserve">
Analises macro e micro nutrientes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Meu Computador</author>
    <author>Romerio</author>
  </authors>
  <commentList>
    <comment ref="I1" authorId="0" shapeId="0" xr:uid="{5F4F7D59-2DF5-4CFF-981D-9A1632FBE5CA}">
      <text>
        <r>
          <rPr>
            <b/>
            <sz val="9"/>
            <color indexed="81"/>
            <rFont val="Tahoma"/>
            <family val="2"/>
          </rPr>
          <t xml:space="preserve">Eliz:Salário+HE/12
</t>
        </r>
      </text>
    </comment>
    <comment ref="K1" authorId="0" shapeId="0" xr:uid="{80297928-F694-47FC-A654-62C3FDE603D6}">
      <text>
        <r>
          <rPr>
            <b/>
            <sz val="9"/>
            <color indexed="81"/>
            <rFont val="Tahoma"/>
            <family val="2"/>
          </rPr>
          <t>Eliz:Soma-se c+d+e+f+g+h*2.7% é a participação da empresa ao INSS do empregado.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00F58CD8-9B98-43F4-8F7D-2502A9728AFB}">
      <text>
        <r>
          <rPr>
            <b/>
            <sz val="9"/>
            <color indexed="81"/>
            <rFont val="Tahoma"/>
            <family val="2"/>
          </rPr>
          <t xml:space="preserve">Eliz:c+d+e+f+g*8%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8" authorId="1" shapeId="0" xr:uid="{F76ED94A-929E-4E28-BC49-BB336D9F80D6}">
      <text>
        <r>
          <rPr>
            <b/>
            <sz val="9"/>
            <color indexed="81"/>
            <rFont val="Segoe UI"/>
            <family val="2"/>
          </rPr>
          <t>Romerio:</t>
        </r>
        <r>
          <rPr>
            <sz val="9"/>
            <color indexed="81"/>
            <rFont val="Segoe UI"/>
            <family val="2"/>
          </rPr>
          <t xml:space="preserve">
30% de custo mensal da agroinvest 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C4" authorId="0" shapeId="0" xr:uid="{17CA38DF-9305-4628-968D-AAD59899D242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1,5 sc de milho/ha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  <author>Angelo</author>
    <author>Marcio</author>
  </authors>
  <commentList>
    <comment ref="D6" authorId="0" shapeId="0" xr:uid="{A127343F-3CF0-4821-ADD3-31D645E75AB9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aplicação micronutriente soja/milho/algodão</t>
        </r>
      </text>
    </comment>
    <comment ref="O8" authorId="0" shapeId="0" xr:uid="{10FF16C0-9A71-4D6C-B5E8-9F6A3D50E634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solido 500reais/H
mix cobertura.
</t>
        </r>
      </text>
    </comment>
    <comment ref="Z10" authorId="1" shapeId="0" xr:uid="{C67EFC5F-3156-4FBB-A8D5-05B493D22D87}">
      <text>
        <r>
          <rPr>
            <b/>
            <sz val="9"/>
            <color indexed="81"/>
            <rFont val="Segoe UI"/>
            <charset val="1"/>
          </rPr>
          <t>Angelo:</t>
        </r>
        <r>
          <rPr>
            <sz val="9"/>
            <color indexed="81"/>
            <rFont val="Segoe UI"/>
            <charset val="1"/>
          </rPr>
          <t xml:space="preserve">
750 litros mês a 7,50 r$.
Considerando voar 5 Hr/mês de media, consumo medio 150l/hr.</t>
        </r>
      </text>
    </comment>
    <comment ref="Q15" authorId="2" shapeId="0" xr:uid="{60C3CFCE-6B95-4FC6-B9A4-E5D0A93D0852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DIVIDIDO POR 10 ANOS
Feito em2020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Cliente</author>
  </authors>
  <commentList>
    <comment ref="F5" authorId="0" shapeId="0" xr:uid="{5D4FFB2A-7ADA-4E5B-BE68-CA17F1E44DE1}">
      <text>
        <r>
          <rPr>
            <b/>
            <sz val="9"/>
            <color indexed="81"/>
            <rFont val="Segoe UI"/>
            <charset val="1"/>
          </rPr>
          <t>Lenovo:</t>
        </r>
        <r>
          <rPr>
            <sz val="9"/>
            <color indexed="81"/>
            <rFont val="Segoe UI"/>
            <charset val="1"/>
          </rPr>
          <t xml:space="preserve">
motorista, talvez estagiario</t>
        </r>
      </text>
    </comment>
    <comment ref="C8" authorId="1" shapeId="0" xr:uid="{9593E7A8-AF58-4D2B-A5F9-067D1B765BBA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chaveiro, sacola, chocolate</t>
        </r>
      </text>
    </comment>
    <comment ref="A9" authorId="1" shapeId="0" xr:uid="{15B05935-9AB9-4231-B744-0817E40E0D15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Caneca</t>
        </r>
      </text>
    </comment>
    <comment ref="C13" authorId="0" shapeId="0" xr:uid="{1E9D16D5-DAB2-45FB-B328-4B7E235EB649}">
      <text>
        <r>
          <rPr>
            <b/>
            <sz val="9"/>
            <color indexed="81"/>
            <rFont val="Segoe UI"/>
            <charset val="1"/>
          </rPr>
          <t>Lenovo:</t>
        </r>
        <r>
          <rPr>
            <sz val="9"/>
            <color indexed="81"/>
            <rFont val="Segoe UI"/>
            <charset val="1"/>
          </rPr>
          <t xml:space="preserve">
85 por pessoa
12 colaboradores 
cada um levar alguem 24</t>
        </r>
      </text>
    </comment>
    <comment ref="B29" authorId="0" shapeId="0" xr:uid="{6602CD0C-54F7-4B70-B1AF-1E4A4CF04EF2}">
      <text>
        <r>
          <rPr>
            <b/>
            <sz val="9"/>
            <color indexed="81"/>
            <rFont val="Segoe UI"/>
            <charset val="1"/>
          </rPr>
          <t>Lenovo:</t>
        </r>
        <r>
          <rPr>
            <sz val="9"/>
            <color indexed="81"/>
            <rFont val="Segoe UI"/>
            <charset val="1"/>
          </rPr>
          <t xml:space="preserve">
referente a Wanderson e Romerio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3" authorId="0" shapeId="0" xr:uid="{887AFFDD-C9A6-4C15-A0A1-903BB188C7FD}">
      <text>
        <r>
          <rPr>
            <b/>
            <sz val="9"/>
            <color indexed="81"/>
            <rFont val="Segoe UI"/>
            <family val="2"/>
          </rPr>
          <t xml:space="preserve">3 horas cada semana a partir de Novembro + 6 sabados de Novembro a Janeiro. 
Novembro= 22 horas 
Dezembro=22 horas
Janeiro= 22 horas
 </t>
        </r>
      </text>
    </comment>
    <comment ref="L3" authorId="0" shapeId="0" xr:uid="{3A3E6731-7F2D-45D5-BA80-4B800937C6A8}">
      <text>
        <r>
          <rPr>
            <b/>
            <sz val="9"/>
            <color indexed="81"/>
            <rFont val="Segoe UI"/>
            <family val="2"/>
          </rPr>
          <t xml:space="preserve">Feriado dia 02 e 15 de Novembro. </t>
        </r>
      </text>
    </comment>
    <comment ref="J5" authorId="0" shapeId="0" xr:uid="{98517593-E6FC-413E-BD55-FC88749F6700}">
      <text>
        <r>
          <rPr>
            <b/>
            <sz val="9"/>
            <color indexed="81"/>
            <rFont val="Segoe UI"/>
            <family val="2"/>
          </rPr>
          <t>Referente a safra 21-22</t>
        </r>
      </text>
    </comment>
    <comment ref="C18" authorId="0" shapeId="0" xr:uid="{121719B1-B564-40CB-96B3-62CFC245843D}">
      <text>
        <r>
          <rPr>
            <b/>
            <sz val="9"/>
            <color indexed="81"/>
            <rFont val="Segoe UI"/>
            <family val="2"/>
          </rPr>
          <t xml:space="preserve">Media 11 km/litro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Angelo</author>
  </authors>
  <commentList>
    <comment ref="C7" authorId="0" shapeId="0" xr:uid="{E0D60025-2EA1-4FC0-B68F-F095000AF379}">
      <text>
        <r>
          <rPr>
            <b/>
            <sz val="9"/>
            <color indexed="81"/>
            <rFont val="Segoe UI"/>
            <family val="2"/>
          </rPr>
          <t>Angelo:</t>
        </r>
        <r>
          <rPr>
            <sz val="9"/>
            <color indexed="81"/>
            <rFont val="Segoe UI"/>
            <family val="2"/>
          </rPr>
          <t xml:space="preserve">
300 mao de obra manutançao
350 km.</t>
        </r>
      </text>
    </comment>
    <comment ref="C26" authorId="0" shapeId="0" xr:uid="{CA461CAE-4B14-4AC3-ACF4-FE866E9E2BDD}">
      <text>
        <r>
          <rPr>
            <b/>
            <sz val="9"/>
            <color indexed="81"/>
            <rFont val="Segoe UI"/>
            <family val="2"/>
          </rPr>
          <t>Angelo:</t>
        </r>
        <r>
          <rPr>
            <sz val="9"/>
            <color indexed="81"/>
            <rFont val="Segoe UI"/>
            <family val="2"/>
          </rPr>
          <t xml:space="preserve">
3 feriados  e 3 domingos.</t>
        </r>
      </text>
    </comment>
    <comment ref="C36" authorId="0" shapeId="0" xr:uid="{78A642B0-B48A-487B-8DA2-E004436DC2D7}">
      <text>
        <r>
          <rPr>
            <b/>
            <sz val="9"/>
            <color indexed="81"/>
            <rFont val="Segoe UI"/>
            <family val="2"/>
          </rPr>
          <t>Angelo:</t>
        </r>
        <r>
          <rPr>
            <sz val="9"/>
            <color indexed="81"/>
            <rFont val="Segoe UI"/>
            <family val="2"/>
          </rPr>
          <t xml:space="preserve">
6 meses a 1.024,17 R$
e 6 meses a 1.208,52 R$ (18%)</t>
        </r>
      </text>
    </comment>
  </commentList>
</comments>
</file>

<file path=xl/sharedStrings.xml><?xml version="1.0" encoding="utf-8"?>
<sst xmlns="http://schemas.openxmlformats.org/spreadsheetml/2006/main" count="2330" uniqueCount="1432">
  <si>
    <t xml:space="preserve">Operação </t>
  </si>
  <si>
    <t>Total</t>
  </si>
  <si>
    <t>F4000</t>
  </si>
  <si>
    <t xml:space="preserve">Produto </t>
  </si>
  <si>
    <t>Quantidade</t>
  </si>
  <si>
    <t>Graxa</t>
  </si>
  <si>
    <t xml:space="preserve">Veiculos </t>
  </si>
  <si>
    <t xml:space="preserve">DB </t>
  </si>
  <si>
    <t>8335R</t>
  </si>
  <si>
    <t>Extratora</t>
  </si>
  <si>
    <t xml:space="preserve">Oficina </t>
  </si>
  <si>
    <t>YAMAHA XTZ-125</t>
  </si>
  <si>
    <t>OMY-0515</t>
  </si>
  <si>
    <t>OMY-0565</t>
  </si>
  <si>
    <t>veiculos</t>
  </si>
  <si>
    <t xml:space="preserve">Placa:    </t>
  </si>
  <si>
    <t>STRADA BRANCA NOVO 2018</t>
  </si>
  <si>
    <t>PKQ-1249</t>
  </si>
  <si>
    <t>Consumo kw/h/mês fora Ponta</t>
  </si>
  <si>
    <t>Consumo kw/h/mês na Ponta</t>
  </si>
  <si>
    <t xml:space="preserve">Demanda </t>
  </si>
  <si>
    <t>R$</t>
  </si>
  <si>
    <t>Outubro</t>
  </si>
  <si>
    <t>Novembro</t>
  </si>
  <si>
    <t>Dezembro</t>
  </si>
  <si>
    <t>Janeiro</t>
  </si>
  <si>
    <t xml:space="preserve">Fevereiro </t>
  </si>
  <si>
    <t xml:space="preserve">Março </t>
  </si>
  <si>
    <t xml:space="preserve">Abril </t>
  </si>
  <si>
    <t xml:space="preserve">Maio </t>
  </si>
  <si>
    <t>Junho</t>
  </si>
  <si>
    <t>Julho</t>
  </si>
  <si>
    <t>Agosto</t>
  </si>
  <si>
    <t>Setembro</t>
  </si>
  <si>
    <t>INTERNET</t>
  </si>
  <si>
    <t>TOTAL</t>
  </si>
  <si>
    <t>Fevereiro</t>
  </si>
  <si>
    <t>Março</t>
  </si>
  <si>
    <t>Abril</t>
  </si>
  <si>
    <t>Maio</t>
  </si>
  <si>
    <t>Suprimentos</t>
  </si>
  <si>
    <t xml:space="preserve">Serviços Profissionais </t>
  </si>
  <si>
    <t xml:space="preserve">Quantidade </t>
  </si>
  <si>
    <t>R$ Total</t>
  </si>
  <si>
    <t xml:space="preserve">Serviço </t>
  </si>
  <si>
    <t>Referncia (mensal, anual, p/serviço)</t>
  </si>
  <si>
    <t xml:space="preserve">Confraternização Final de ano </t>
  </si>
  <si>
    <t xml:space="preserve">Cooperfarms comissão de compra de quimicos </t>
  </si>
  <si>
    <t>U$$ * 1%</t>
  </si>
  <si>
    <t>Prêmios</t>
  </si>
  <si>
    <t>Armazenagem de Quimicos ( n° pallet)</t>
  </si>
  <si>
    <t>527 Pallet</t>
  </si>
  <si>
    <t>Out</t>
  </si>
  <si>
    <t>Dez</t>
  </si>
  <si>
    <t>Jan</t>
  </si>
  <si>
    <t xml:space="preserve">Fev </t>
  </si>
  <si>
    <t>Mar</t>
  </si>
  <si>
    <t>Abr</t>
  </si>
  <si>
    <t>Mai</t>
  </si>
  <si>
    <t>Jun</t>
  </si>
  <si>
    <t>Jul</t>
  </si>
  <si>
    <t>Ago</t>
  </si>
  <si>
    <t>Set</t>
  </si>
  <si>
    <t>Bebidas</t>
  </si>
  <si>
    <t>Lts Quimic</t>
  </si>
  <si>
    <t>N° Pallet</t>
  </si>
  <si>
    <t>Materiasis Eletricos</t>
  </si>
  <si>
    <t>R$/Pallet</t>
  </si>
  <si>
    <t xml:space="preserve">Lavanderia (reaproveitamento de Uniformes) </t>
  </si>
  <si>
    <t xml:space="preserve">Manutençao dos AC </t>
  </si>
  <si>
    <t>Filtro dos bebedouros C3 IBBL</t>
  </si>
  <si>
    <t>Filtro dos bebedouros 888 ACQUA GELADA</t>
  </si>
  <si>
    <t>FFGU (Coleta, transporte, tratamento e disposição final)</t>
  </si>
  <si>
    <t>Quant</t>
  </si>
  <si>
    <t>Lampada</t>
  </si>
  <si>
    <t>Calculadora</t>
  </si>
  <si>
    <t>Baterias</t>
  </si>
  <si>
    <t>Residuos oleosos</t>
  </si>
  <si>
    <t>Comodato impressora  12xR$ 240</t>
  </si>
  <si>
    <t>Residuos misto</t>
  </si>
  <si>
    <t>Papel A4  cx</t>
  </si>
  <si>
    <t>Rejeitos</t>
  </si>
  <si>
    <t>Caneta cx</t>
  </si>
  <si>
    <t>Plastico</t>
  </si>
  <si>
    <t>Cx com 5 mil Granpos 26/6 para grampeador</t>
  </si>
  <si>
    <t>Borracha</t>
  </si>
  <si>
    <t>Transporte Estagiarios (passagens onibus)</t>
  </si>
  <si>
    <t>Grampeador</t>
  </si>
  <si>
    <t>Pesquisa ( Kasuya)</t>
  </si>
  <si>
    <t>Kasuya  (n° Tratamentos )</t>
  </si>
  <si>
    <t>ABAPA</t>
  </si>
  <si>
    <t>Marcador permanente</t>
  </si>
  <si>
    <t>HVI  (1,58/amostra fardo de 240 kg)</t>
  </si>
  <si>
    <t>Anuidade  (R$ 6/há)</t>
  </si>
  <si>
    <t xml:space="preserve">Treinamentos, Coaching, Reuniões Trimestrais </t>
  </si>
  <si>
    <t>Ticket lavoura soja e milho</t>
  </si>
  <si>
    <t>SF2 (Sinal GPS tratores)</t>
  </si>
  <si>
    <t xml:space="preserve">CREA  </t>
  </si>
  <si>
    <t>ART SAFRA   (n° Matric.)</t>
  </si>
  <si>
    <t xml:space="preserve">Anuidade Angelo </t>
  </si>
  <si>
    <t>Vigilancia Fazenda (mensalidade)</t>
  </si>
  <si>
    <t>Pilhas AAA pares</t>
  </si>
  <si>
    <t xml:space="preserve">Laboratorio de analises </t>
  </si>
  <si>
    <t>N° amostras</t>
  </si>
  <si>
    <t>Marca texto verde</t>
  </si>
  <si>
    <t xml:space="preserve">Analise de solo Macro e Micro </t>
  </si>
  <si>
    <t xml:space="preserve">Analise de solo Biologica </t>
  </si>
  <si>
    <t>Analise de solo e folhas</t>
  </si>
  <si>
    <t>Concerto noobrak</t>
  </si>
  <si>
    <t xml:space="preserve">Exames e consultas periodicas e admissionais </t>
  </si>
  <si>
    <t xml:space="preserve">Conusltas medicas e exames Admissionais </t>
  </si>
  <si>
    <t xml:space="preserve">Consultas e Exames Periodicos </t>
  </si>
  <si>
    <t xml:space="preserve">Consultas medicas e exames Demissionais </t>
  </si>
  <si>
    <t xml:space="preserve">Exame Toxicologio Motoristas </t>
  </si>
  <si>
    <t>-</t>
  </si>
  <si>
    <t xml:space="preserve">AIBA </t>
  </si>
  <si>
    <t xml:space="preserve">Anuidade </t>
  </si>
  <si>
    <t xml:space="preserve">Cancelado </t>
  </si>
  <si>
    <t>Operação Safra  (R$ 1,5/há)</t>
  </si>
  <si>
    <t>Taxa Fiscalização Funcionamento (LEM)</t>
  </si>
  <si>
    <t xml:space="preserve">Solfinftec </t>
  </si>
  <si>
    <t xml:space="preserve">Comodato do sistema completo Solinftec </t>
  </si>
  <si>
    <r>
      <t xml:space="preserve">Eletrecista  </t>
    </r>
    <r>
      <rPr>
        <sz val="11"/>
        <color theme="1"/>
        <rFont val="Calibri"/>
        <family val="2"/>
        <scheme val="minor"/>
      </rPr>
      <t>(Mão de obra+km)</t>
    </r>
  </si>
  <si>
    <t xml:space="preserve">TOTAL </t>
  </si>
  <si>
    <t>VALDIMIR DA SILVA FLORES</t>
  </si>
  <si>
    <t>M</t>
  </si>
  <si>
    <t>VALMIRA FERREIRA DOS ANJOS</t>
  </si>
  <si>
    <t>GG</t>
  </si>
  <si>
    <t>VICTOR JUAREZ HOFFMANN</t>
  </si>
  <si>
    <t>G</t>
  </si>
  <si>
    <t>WAGNER DE OLIVEIRA</t>
  </si>
  <si>
    <t xml:space="preserve">CONTRATAÇOES </t>
  </si>
  <si>
    <t>P</t>
  </si>
  <si>
    <t>ESTAGIARIO 1</t>
  </si>
  <si>
    <t>ESTAGIARIO 2</t>
  </si>
  <si>
    <t>ESTAGIARIO 3</t>
  </si>
  <si>
    <t>Pano de chão</t>
  </si>
  <si>
    <t>ESTAGIARIO 4</t>
  </si>
  <si>
    <t>ESTAGIARIO 5</t>
  </si>
  <si>
    <t>ESTAGIARIO 6</t>
  </si>
  <si>
    <t>Vassoura</t>
  </si>
  <si>
    <t>Jaleco</t>
  </si>
  <si>
    <t>Tamanho</t>
  </si>
  <si>
    <t>Valor  und</t>
  </si>
  <si>
    <t>Nome</t>
  </si>
  <si>
    <t>Eq tecnica</t>
  </si>
  <si>
    <t>Marcio A</t>
  </si>
  <si>
    <t xml:space="preserve"> 4 G, 2 GG e 6 EX</t>
  </si>
  <si>
    <t xml:space="preserve">Dalvan </t>
  </si>
  <si>
    <t>Lembrancinhas e Cestas</t>
  </si>
  <si>
    <t>Cesta de natal</t>
  </si>
  <si>
    <t>Lembrança Páscoa</t>
  </si>
  <si>
    <t>Lembrança dia das mães</t>
  </si>
  <si>
    <t>Lembrança dia dos pais</t>
  </si>
  <si>
    <t xml:space="preserve">Uniformes </t>
  </si>
  <si>
    <t xml:space="preserve">Extintores </t>
  </si>
  <si>
    <t>Recarga de agua 10 Lt</t>
  </si>
  <si>
    <t>Recarga de pó 4 kg</t>
  </si>
  <si>
    <t>Recarga de pó 6 kg</t>
  </si>
  <si>
    <t>Recarga de pó 12 kg</t>
  </si>
  <si>
    <t>Recarga de Co2  6 kg</t>
  </si>
  <si>
    <t>Pintura</t>
  </si>
  <si>
    <t>Difusor</t>
  </si>
  <si>
    <t>Teste Hidrostatico</t>
  </si>
  <si>
    <t>Manometro</t>
  </si>
  <si>
    <t>EPIs</t>
  </si>
  <si>
    <t>CAIXA DE PRIMEIROS SOCORROS</t>
  </si>
  <si>
    <t>Algodão 50gr</t>
  </si>
  <si>
    <t xml:space="preserve">Atadura de crepom </t>
  </si>
  <si>
    <t>Compressa de gaze 7,5x7,5cm</t>
  </si>
  <si>
    <t>Cotonete</t>
  </si>
  <si>
    <t>Band eid</t>
  </si>
  <si>
    <t>Esparadrapo  10x4,5 cm</t>
  </si>
  <si>
    <t xml:space="preserve">Lanterna pequena  </t>
  </si>
  <si>
    <t>Luvas de procedimentos cirurgico cx</t>
  </si>
  <si>
    <t xml:space="preserve">Sabão liquido bactericida </t>
  </si>
  <si>
    <t>Polvidine 100 ml</t>
  </si>
  <si>
    <t>Soro fisiologico    0,9%</t>
  </si>
  <si>
    <t>Tesoura sem ponto</t>
  </si>
  <si>
    <t>Caixa para colocar o material</t>
  </si>
  <si>
    <t>VALOR TOTAL</t>
  </si>
  <si>
    <t xml:space="preserve">Perneiras </t>
  </si>
  <si>
    <t>Oficina</t>
  </si>
  <si>
    <t>Salário</t>
  </si>
  <si>
    <t xml:space="preserve">Insalubridade </t>
  </si>
  <si>
    <t>Periculosidade</t>
  </si>
  <si>
    <t>HE 50%</t>
  </si>
  <si>
    <t>HE 100%</t>
  </si>
  <si>
    <t>DSR</t>
  </si>
  <si>
    <t xml:space="preserve">13º </t>
  </si>
  <si>
    <t>Adic. Férias</t>
  </si>
  <si>
    <t>INSS Empre</t>
  </si>
  <si>
    <t>FGTS</t>
  </si>
  <si>
    <t>Total Mensal</t>
  </si>
  <si>
    <t>Semente</t>
  </si>
  <si>
    <t xml:space="preserve">Quimicos </t>
  </si>
  <si>
    <t xml:space="preserve">Adubo </t>
  </si>
  <si>
    <t>Hectar</t>
  </si>
  <si>
    <t>U$/há</t>
  </si>
  <si>
    <t xml:space="preserve">Total </t>
  </si>
  <si>
    <t>Soja Intacta</t>
  </si>
  <si>
    <t xml:space="preserve">Soja </t>
  </si>
  <si>
    <t xml:space="preserve">Soja Convencional </t>
  </si>
  <si>
    <t xml:space="preserve">Milho </t>
  </si>
  <si>
    <t xml:space="preserve">Milho Refugio </t>
  </si>
  <si>
    <t xml:space="preserve">Algodão </t>
  </si>
  <si>
    <t>Milho Leptra</t>
  </si>
  <si>
    <t>Milho PRO/PW</t>
  </si>
  <si>
    <t xml:space="preserve">Algodão WS </t>
  </si>
  <si>
    <t>Algodão GLT</t>
  </si>
  <si>
    <t>Algodão B2RRF</t>
  </si>
  <si>
    <t>Algodão RR</t>
  </si>
  <si>
    <t>Soja</t>
  </si>
  <si>
    <t xml:space="preserve">Hectares </t>
  </si>
  <si>
    <t>SC/HÁ e R$/ha</t>
  </si>
  <si>
    <t>Frete</t>
  </si>
  <si>
    <t>T</t>
  </si>
  <si>
    <t>R$/T</t>
  </si>
  <si>
    <t>Total Frete</t>
  </si>
  <si>
    <t xml:space="preserve">Total FRETE </t>
  </si>
  <si>
    <t xml:space="preserve">TOTAL Seviçõs </t>
  </si>
  <si>
    <t>Silo bolsa</t>
  </si>
  <si>
    <t xml:space="preserve">FRETE SOJA p TRADE </t>
  </si>
  <si>
    <t>Descrição</t>
  </si>
  <si>
    <t>Area trabalhada</t>
  </si>
  <si>
    <t>Há liquido 20</t>
  </si>
  <si>
    <t>Horas trabalhada</t>
  </si>
  <si>
    <t>Hora</t>
  </si>
  <si>
    <t>Querosene</t>
  </si>
  <si>
    <t>Lt</t>
  </si>
  <si>
    <t>TBO turbina</t>
  </si>
  <si>
    <t>Und</t>
  </si>
  <si>
    <t>Seguro reta</t>
  </si>
  <si>
    <t>Pneus dianteiro</t>
  </si>
  <si>
    <t>Camara ar</t>
  </si>
  <si>
    <t>Pneu bequilha</t>
  </si>
  <si>
    <t>Camara bequilha</t>
  </si>
  <si>
    <t>Pastilha freio</t>
  </si>
  <si>
    <t>Filtro combustivel</t>
  </si>
  <si>
    <t>Saco de estoupa</t>
  </si>
  <si>
    <t>Cera para brisa</t>
  </si>
  <si>
    <t>Detergente neutro</t>
  </si>
  <si>
    <t>Mt</t>
  </si>
  <si>
    <t>Mangueira 3 pol</t>
  </si>
  <si>
    <t>mt</t>
  </si>
  <si>
    <t>Engate rapido 3 Pol</t>
  </si>
  <si>
    <t>Registro 3 pol</t>
  </si>
  <si>
    <t>Mangueira 3 pol flexivel</t>
  </si>
  <si>
    <t>Balde dosador  20 lt</t>
  </si>
  <si>
    <t>Balde dosador  10 lt</t>
  </si>
  <si>
    <t>Registro 2pol</t>
  </si>
  <si>
    <t>Mangueira 2 pol</t>
  </si>
  <si>
    <t>Magueira  1Pol</t>
  </si>
  <si>
    <t>Registro 1 pol</t>
  </si>
  <si>
    <t>Bateria 150 amperes</t>
  </si>
  <si>
    <t>1 moto bomba</t>
  </si>
  <si>
    <t>Km</t>
  </si>
  <si>
    <t>Dissell</t>
  </si>
  <si>
    <t>Oleo 15w40 Motor</t>
  </si>
  <si>
    <t>Oleo 15w40 Transmisão</t>
  </si>
  <si>
    <t>Kg</t>
  </si>
  <si>
    <t>Bomba abastecimento</t>
  </si>
  <si>
    <t>Pistola de Abastecimento</t>
  </si>
  <si>
    <t>Gas</t>
  </si>
  <si>
    <t>Papel sensível</t>
  </si>
  <si>
    <t>Pac</t>
  </si>
  <si>
    <t>Papel medir ph</t>
  </si>
  <si>
    <t>Vagner vazao 20</t>
  </si>
  <si>
    <t>Vagner vazao 30</t>
  </si>
  <si>
    <t>Vagner solidos</t>
  </si>
  <si>
    <t>Desc.</t>
  </si>
  <si>
    <t>Conj Aplic</t>
  </si>
  <si>
    <t>Luva Cano C</t>
  </si>
  <si>
    <t>Luva Cano L</t>
  </si>
  <si>
    <t>Mascarra 3m</t>
  </si>
  <si>
    <t>Filtro</t>
  </si>
  <si>
    <t>Oculos Escuro</t>
  </si>
  <si>
    <t>Bota Borr</t>
  </si>
  <si>
    <t>kit 2ª pele</t>
  </si>
  <si>
    <t>toalha</t>
  </si>
  <si>
    <t>Avental</t>
  </si>
  <si>
    <t>sabonete</t>
  </si>
  <si>
    <t>meia</t>
  </si>
  <si>
    <t>Vagner</t>
  </si>
  <si>
    <t>Conj. Calça/camisa</t>
  </si>
  <si>
    <t>Luva Pano</t>
  </si>
  <si>
    <t>Luva vaqueta</t>
  </si>
  <si>
    <t>Prot. Auricula plug</t>
  </si>
  <si>
    <t>Prot auricular concha</t>
  </si>
  <si>
    <t>Mascara PFS1</t>
  </si>
  <si>
    <t>Botina</t>
  </si>
  <si>
    <t>toca arrabe</t>
  </si>
  <si>
    <t>Garrafa</t>
  </si>
  <si>
    <t>Unid</t>
  </si>
  <si>
    <t>DIESEL</t>
  </si>
  <si>
    <t>Gasolina</t>
  </si>
  <si>
    <t>Lubrificantes</t>
  </si>
  <si>
    <t xml:space="preserve">Peças e concertos </t>
  </si>
  <si>
    <t>Serviços Proficionais</t>
  </si>
  <si>
    <t>Salarios, Provisões e Encargos</t>
  </si>
  <si>
    <t>Avião</t>
  </si>
  <si>
    <t>Contratação Serviços</t>
  </si>
  <si>
    <t xml:space="preserve">Seguros </t>
  </si>
  <si>
    <t xml:space="preserve">Utilidades Fazenda </t>
  </si>
  <si>
    <t xml:space="preserve">Total   </t>
  </si>
  <si>
    <t>Fatores Importantes :</t>
  </si>
  <si>
    <t>Algodão</t>
  </si>
  <si>
    <t>Milho</t>
  </si>
  <si>
    <t>Caroço</t>
  </si>
  <si>
    <t>N/A</t>
  </si>
  <si>
    <t xml:space="preserve"> </t>
  </si>
  <si>
    <t>= 100% Metas / Bonus / 70% salario bruta</t>
  </si>
  <si>
    <t>Hectares de Produção (parte de CF)</t>
  </si>
  <si>
    <t>Produtividade reducao:</t>
  </si>
  <si>
    <t>Pressupostos de Produção</t>
  </si>
  <si>
    <t>Arrobas/HA</t>
  </si>
  <si>
    <t>Sacas/HA</t>
  </si>
  <si>
    <t>Receita algodao</t>
  </si>
  <si>
    <t>Receita milho</t>
  </si>
  <si>
    <t xml:space="preserve">Os Preços-Alvo - USD </t>
  </si>
  <si>
    <t>Receita soja</t>
  </si>
  <si>
    <t>(Vamos utilizar o preço médio de venda fixo  para produção total)</t>
  </si>
  <si>
    <t>Por lb</t>
  </si>
  <si>
    <t xml:space="preserve">Por Saca </t>
  </si>
  <si>
    <t>Por Saca</t>
  </si>
  <si>
    <t>Por tonelada</t>
  </si>
  <si>
    <t>Os Preços-Alvo -  BRL</t>
  </si>
  <si>
    <t>Total Reais:</t>
  </si>
  <si>
    <t>Por Arroba</t>
  </si>
  <si>
    <t>Check:</t>
  </si>
  <si>
    <t xml:space="preserve">Custo do descaroçamento por arroba pluma </t>
  </si>
  <si>
    <t>Percentual vendidos no Pessoa Juridica</t>
  </si>
  <si>
    <t>Percentual da algodão exportado</t>
  </si>
  <si>
    <t>Percentual da soja e milho vendidos na Bahia</t>
  </si>
  <si>
    <t>Percentual da caroço vendidos para indústria</t>
  </si>
  <si>
    <t>Pluma Percentuais</t>
  </si>
  <si>
    <t>Subsídios</t>
  </si>
  <si>
    <t>Taxa de câmbio (R$ por USD)</t>
  </si>
  <si>
    <t>Em EUA dolares $$ por hectare</t>
  </si>
  <si>
    <t>Em BR reais R$ por hectare</t>
  </si>
  <si>
    <t>Percentual  da</t>
  </si>
  <si>
    <t>BRL$</t>
  </si>
  <si>
    <t>Receitas</t>
  </si>
  <si>
    <t>Vendas de algodão</t>
  </si>
  <si>
    <t>Vendas de soja</t>
  </si>
  <si>
    <t>Vendas de milho</t>
  </si>
  <si>
    <t>RECEITAS</t>
  </si>
  <si>
    <t>Vendas de caroço</t>
  </si>
  <si>
    <t>Subsídio</t>
  </si>
  <si>
    <t xml:space="preserve">    Receita Operacional Bruta</t>
  </si>
  <si>
    <t>Se tiver, estes serão removidos diretamente do Receita Liquida</t>
  </si>
  <si>
    <t xml:space="preserve">    Receita Operacional Líquida</t>
  </si>
  <si>
    <t xml:space="preserve">alvo </t>
  </si>
  <si>
    <t xml:space="preserve">actual </t>
  </si>
  <si>
    <t>Variencia</t>
  </si>
  <si>
    <t xml:space="preserve">  </t>
  </si>
  <si>
    <t>(-) Indenização trabalhistas e ambientais</t>
  </si>
  <si>
    <t>(-) Milho Adubo (N,P,K,Calcario)</t>
  </si>
  <si>
    <t>Seed</t>
  </si>
  <si>
    <t>Chemical</t>
  </si>
  <si>
    <t>Fertilizer</t>
  </si>
  <si>
    <t>(-) Multas de Fiscalização</t>
  </si>
  <si>
    <t>(-) Milho Semente</t>
  </si>
  <si>
    <t xml:space="preserve">(-) Milho Defensivos </t>
  </si>
  <si>
    <t>(-) Soja Adubo (N,P,K,Calcario)</t>
  </si>
  <si>
    <t>(-) Soja Semente</t>
  </si>
  <si>
    <t xml:space="preserve">(-) Soja Defensivos </t>
  </si>
  <si>
    <t>(-) Algodão Adubo (N,P,K,Calcario)</t>
  </si>
  <si>
    <t>(-) Algodão Semente</t>
  </si>
  <si>
    <t xml:space="preserve">(-) Algdodão Defensivos </t>
  </si>
  <si>
    <t>(-) C.P.V (Custo do Produção Vendido)</t>
  </si>
  <si>
    <t>(-) Salários, Provisões e Encargos (fazenda)</t>
  </si>
  <si>
    <t xml:space="preserve">(-) Combustível e óleo </t>
  </si>
  <si>
    <t>(-) Avião</t>
  </si>
  <si>
    <t>(-) Depreciação (fazenda)</t>
  </si>
  <si>
    <t xml:space="preserve">(-) Manutenção, Concerto e Peças </t>
  </si>
  <si>
    <t>(-) Alimentos</t>
  </si>
  <si>
    <t>(-) Contratacao Serviços/Frete (terceiros)</t>
  </si>
  <si>
    <t>(-) Silo Bag</t>
  </si>
  <si>
    <t>(-) Veiculo</t>
  </si>
  <si>
    <t>(-) Seguros</t>
  </si>
  <si>
    <t>(-) Suprimentos</t>
  </si>
  <si>
    <t>(-) Utilidades (fazenda)</t>
  </si>
  <si>
    <t>(-) Aluguel de carro</t>
  </si>
  <si>
    <t>(-) Serviços profissionais</t>
  </si>
  <si>
    <t xml:space="preserve">    Lucro Bruto</t>
  </si>
  <si>
    <t>(-) Despesas Administrativo</t>
  </si>
  <si>
    <t>(-) Total C.P.V</t>
  </si>
  <si>
    <t>(-) Despesas Frete e Trans</t>
  </si>
  <si>
    <t>(-) Despesas EUA</t>
  </si>
  <si>
    <t xml:space="preserve">(-) Despesas Administrativo e Operacionais </t>
  </si>
  <si>
    <t>(-) Despesas Comerciais</t>
  </si>
  <si>
    <t xml:space="preserve">    Lucro Operacional</t>
  </si>
  <si>
    <t>(+/-) Ganho/Perda em activos</t>
  </si>
  <si>
    <t>(-) Total Despesas Admin e Operacionais</t>
  </si>
  <si>
    <t xml:space="preserve">(+/-) Impostos </t>
  </si>
  <si>
    <t>(+/-) Renda de Juros</t>
  </si>
  <si>
    <t>(+/-) Outras Receitas e Despesas</t>
  </si>
  <si>
    <t>(+/-) Despesas de Juros</t>
  </si>
  <si>
    <t>(+/-) Receitas diversas</t>
  </si>
  <si>
    <t xml:space="preserve">    Lucro Líquido</t>
  </si>
  <si>
    <t>(+/-) Total Outras Receitas e Despesas</t>
  </si>
  <si>
    <t>(-) arrendamento</t>
  </si>
  <si>
    <t>SAFRA 20-21</t>
  </si>
  <si>
    <t>T produção</t>
  </si>
  <si>
    <t>T FOB</t>
  </si>
  <si>
    <t>Solinftec</t>
  </si>
  <si>
    <t>Itens</t>
  </si>
  <si>
    <t>Qtd</t>
  </si>
  <si>
    <t>Valor</t>
  </si>
  <si>
    <t>Agroinvest</t>
  </si>
  <si>
    <t>Valor unit</t>
  </si>
  <si>
    <t xml:space="preserve">PESSOAS PARA EQUIPE TÉCNICA AGROINVEST </t>
  </si>
  <si>
    <t xml:space="preserve">Quinquenio </t>
  </si>
  <si>
    <t>Reajuste Sindicato Marçõ</t>
  </si>
  <si>
    <t xml:space="preserve">Aumento por Merito/Empresa </t>
  </si>
  <si>
    <t>Horas Extras 50%</t>
  </si>
  <si>
    <t>Hora Extra 100%</t>
  </si>
  <si>
    <t xml:space="preserve">Cantil </t>
  </si>
  <si>
    <t>1 * Márcio  (Gerente  Técnico)</t>
  </si>
  <si>
    <t>Incluso na Agoservice</t>
  </si>
  <si>
    <t xml:space="preserve">8 meses </t>
  </si>
  <si>
    <t>Incluso na lista da Agroservice</t>
  </si>
  <si>
    <t>Incluso Agroservice</t>
  </si>
  <si>
    <t xml:space="preserve">Não </t>
  </si>
  <si>
    <t xml:space="preserve">não </t>
  </si>
  <si>
    <t xml:space="preserve">3 * Extagiario   (Monitoramento)  Out, Nov, Dez, Jan, fev, Mar, Abril.            </t>
  </si>
  <si>
    <t>Valor total</t>
  </si>
  <si>
    <t>Concerto ar condicionado</t>
  </si>
  <si>
    <t xml:space="preserve">Cx com 48 unidades de prendedor de papel 25mm </t>
  </si>
  <si>
    <t xml:space="preserve">Cx com 12 unidades de prendedor de papel 51mm </t>
  </si>
  <si>
    <t>Lampadas para  escritorio</t>
  </si>
  <si>
    <t>Lixeira 15 lt com pedal</t>
  </si>
  <si>
    <t xml:space="preserve">Horas extras colaboradores </t>
  </si>
  <si>
    <t>CUSTOS SEG COMPAY E   LCI</t>
  </si>
  <si>
    <t>TRABALHO</t>
  </si>
  <si>
    <t>EMPRESA</t>
  </si>
  <si>
    <t>VALOR UNIT.</t>
  </si>
  <si>
    <t>ATUALIZAÇÃO PCMSO</t>
  </si>
  <si>
    <t>ATUALIZAÇÃO PGSSMATR</t>
  </si>
  <si>
    <t>MENSALIDADE</t>
  </si>
  <si>
    <t>Recarga de extintores</t>
  </si>
  <si>
    <t>ITEM</t>
  </si>
  <si>
    <t>Valor Unit.</t>
  </si>
  <si>
    <t>Valor total.</t>
  </si>
  <si>
    <t>Recarga de agua 75 Lt</t>
  </si>
  <si>
    <t>Recarga de pó 8 kg</t>
  </si>
  <si>
    <t>Recarga de Co2  4 kg</t>
  </si>
  <si>
    <t>Travas</t>
  </si>
  <si>
    <t>Mangueira</t>
  </si>
  <si>
    <t>PRIMEIROS SOCORROS</t>
  </si>
  <si>
    <t>PLACAS DE SEGURANÇA/FILTRO BEBEDOUROS</t>
  </si>
  <si>
    <t>PLACAS DE SEGURANÇA</t>
  </si>
  <si>
    <t>AFERIÇÕES/CALIBRAÇÕES/ INSPEÇÕES / POTABILIDADE</t>
  </si>
  <si>
    <t>Inspeção Caldeira</t>
  </si>
  <si>
    <t xml:space="preserve">Tratamanto agua caldeira </t>
  </si>
  <si>
    <t>Inspeção Compressor</t>
  </si>
  <si>
    <t>Calibração Gasalert</t>
  </si>
  <si>
    <t>Aferição balança Imetro</t>
  </si>
  <si>
    <t>Manutençao balança</t>
  </si>
  <si>
    <t xml:space="preserve">Potabilidade agua </t>
  </si>
  <si>
    <t>AMBIENTALIX ( coleta, transporte, tratamento e disposição final )</t>
  </si>
  <si>
    <t>Valor Total</t>
  </si>
  <si>
    <t>Lubrificantes e Combustiveis</t>
  </si>
  <si>
    <t>Oleo 20w50 moto</t>
  </si>
  <si>
    <t xml:space="preserve">lts </t>
  </si>
  <si>
    <t>graxa mineral</t>
  </si>
  <si>
    <t>Kgs</t>
  </si>
  <si>
    <t>Oleo plus 50 II</t>
  </si>
  <si>
    <t>Oleo 85w140 cubo</t>
  </si>
  <si>
    <t xml:space="preserve">Oleo cambio </t>
  </si>
  <si>
    <t>Oleo selenia 10w30</t>
  </si>
  <si>
    <t>Oleo plus 50 4</t>
  </si>
  <si>
    <t>Oleo 15w40</t>
  </si>
  <si>
    <t>OLEO 424</t>
  </si>
  <si>
    <t>OLEO 68</t>
  </si>
  <si>
    <t>dulub ATF</t>
  </si>
  <si>
    <t>oleo lub. Ciser 300ml/200GRS</t>
  </si>
  <si>
    <t>PC</t>
  </si>
  <si>
    <t>Oleo SAE 10</t>
  </si>
  <si>
    <t>Oleo Dot 4</t>
  </si>
  <si>
    <t>bico microaspersor</t>
  </si>
  <si>
    <t xml:space="preserve">caixa de descarga </t>
  </si>
  <si>
    <t xml:space="preserve">condor escova </t>
  </si>
  <si>
    <t>desinf 2l</t>
  </si>
  <si>
    <t>Detergente liq 500ml neutro</t>
  </si>
  <si>
    <t>detergente neutro 5l</t>
  </si>
  <si>
    <t>Escova</t>
  </si>
  <si>
    <t>esponja multiuso</t>
  </si>
  <si>
    <t>facão</t>
  </si>
  <si>
    <t xml:space="preserve">familiar sup. Papel </t>
  </si>
  <si>
    <t>fita veda rosca censi 18x10m</t>
  </si>
  <si>
    <t>inseticida aerosol multi</t>
  </si>
  <si>
    <t>inseticidada aerosol citronela</t>
  </si>
  <si>
    <t>lampada bulbo led 9w 6500k</t>
  </si>
  <si>
    <t>Pá de bico c/cabo 120cm</t>
  </si>
  <si>
    <t>Pá plastica</t>
  </si>
  <si>
    <t>papel toalha fl22x21</t>
  </si>
  <si>
    <t>Rastel</t>
  </si>
  <si>
    <t>resistencia para choveiro</t>
  </si>
  <si>
    <t>resistencia para chuveiro 4600w</t>
  </si>
  <si>
    <t xml:space="preserve">sabaao em po 5kg </t>
  </si>
  <si>
    <t>sabao glicerinado 5x200g</t>
  </si>
  <si>
    <t>sabonete 90g</t>
  </si>
  <si>
    <t>sabonete liquido 5l</t>
  </si>
  <si>
    <t>sifao ajustavel multiuso 66c</t>
  </si>
  <si>
    <t>starhig assepigel</t>
  </si>
  <si>
    <t>torneira orbe lavar BA branc</t>
  </si>
  <si>
    <t xml:space="preserve"> Cantina </t>
  </si>
  <si>
    <t>Preços medio</t>
  </si>
  <si>
    <t>Quan.Itens</t>
  </si>
  <si>
    <t xml:space="preserve"> Outubro </t>
  </si>
  <si>
    <t xml:space="preserve"> Novembro </t>
  </si>
  <si>
    <t xml:space="preserve"> Dezembro </t>
  </si>
  <si>
    <t xml:space="preserve"> Janeiro </t>
  </si>
  <si>
    <t xml:space="preserve"> Fevereiro </t>
  </si>
  <si>
    <t xml:space="preserve"> Março </t>
  </si>
  <si>
    <t xml:space="preserve"> Abril </t>
  </si>
  <si>
    <t xml:space="preserve"> Maio </t>
  </si>
  <si>
    <t xml:space="preserve"> Junho </t>
  </si>
  <si>
    <t xml:space="preserve"> Julho </t>
  </si>
  <si>
    <t xml:space="preserve"> Agosto </t>
  </si>
  <si>
    <t xml:space="preserve"> Setembro </t>
  </si>
  <si>
    <t xml:space="preserve"> GAS </t>
  </si>
  <si>
    <t xml:space="preserve"> UNIDAD </t>
  </si>
  <si>
    <t xml:space="preserve"> AÇUCAR  5 kg </t>
  </si>
  <si>
    <t xml:space="preserve"> UNIDADE </t>
  </si>
  <si>
    <t xml:space="preserve"> AGUA SANITARIA CANDEIAS 1L </t>
  </si>
  <si>
    <t xml:space="preserve"> UND </t>
  </si>
  <si>
    <t xml:space="preserve"> ARROZ BRANCO  5KG </t>
  </si>
  <si>
    <t xml:space="preserve"> AZEITE OLIVA ANDORINHA EXT VIRG </t>
  </si>
  <si>
    <t xml:space="preserve"> BACON PERDIGÃO </t>
  </si>
  <si>
    <t xml:space="preserve"> KG </t>
  </si>
  <si>
    <t xml:space="preserve"> BOBINA PLAST. 35X50CM </t>
  </si>
  <si>
    <t xml:space="preserve"> BOV 2S OSSO </t>
  </si>
  <si>
    <t xml:space="preserve"> BOV CARNE MOIDA </t>
  </si>
  <si>
    <t xml:space="preserve"> BOV CHA FORA BIFE </t>
  </si>
  <si>
    <t xml:space="preserve"> BOV FILÉ AGULHA </t>
  </si>
  <si>
    <t xml:space="preserve"> BOV MIOLO PALETA BIFE </t>
  </si>
  <si>
    <t xml:space="preserve"> CAFÉ CERRADO </t>
  </si>
  <si>
    <t xml:space="preserve"> CARNE COSTELA </t>
  </si>
  <si>
    <t xml:space="preserve"> CATCHUP TAMBAU 3,4 KG </t>
  </si>
  <si>
    <t xml:space="preserve"> COCO RAL SUPER COCO FINO 1KG </t>
  </si>
  <si>
    <t xml:space="preserve"> COXA SOBRECOXA JAGUA </t>
  </si>
  <si>
    <t xml:space="preserve"> CR DE LEITE PIRACANJUBA TP200G </t>
  </si>
  <si>
    <t xml:space="preserve"> DESINFETANTE 2L </t>
  </si>
  <si>
    <t xml:space="preserve"> DETERGENTE </t>
  </si>
  <si>
    <t xml:space="preserve"> EMB. BOREDA AL MAQ 09 100X1 </t>
  </si>
  <si>
    <t xml:space="preserve"> EXTRATO DE TOMATE ESTELA 40g </t>
  </si>
  <si>
    <t xml:space="preserve"> FARINHA DE TRIGO SANADUVA </t>
  </si>
  <si>
    <t xml:space="preserve"> FEIJAO CAR PADIM TP-1 1kg </t>
  </si>
  <si>
    <t xml:space="preserve"> FERM. FERMIPAM 500G </t>
  </si>
  <si>
    <t xml:space="preserve"> FRIATO COXA SOBRE COXA </t>
  </si>
  <si>
    <t xml:space="preserve"> FRUTA ABACAXI </t>
  </si>
  <si>
    <t xml:space="preserve"> FRUTA LARANJA </t>
  </si>
  <si>
    <t xml:space="preserve"> FRUTA MACA FUJI </t>
  </si>
  <si>
    <t xml:space="preserve"> FRUTA MAMAO </t>
  </si>
  <si>
    <t xml:space="preserve"> FRUTA MELANCIA </t>
  </si>
  <si>
    <t xml:space="preserve"> ISQUEIRO BIC MAXI 1X1 </t>
  </si>
  <si>
    <t xml:space="preserve"> LAVA LOUCAS MINUANO </t>
  </si>
  <si>
    <t xml:space="preserve"> LING.  MISTA FRICO </t>
  </si>
  <si>
    <t xml:space="preserve"> LING. FRICO CALABRESA DEF  </t>
  </si>
  <si>
    <t xml:space="preserve"> LING. NOBRE MISTA </t>
  </si>
  <si>
    <t xml:space="preserve"> LINGUI AURORA FGO </t>
  </si>
  <si>
    <t xml:space="preserve"> LUVA NOBRE PLAST DESC 100x1 </t>
  </si>
  <si>
    <t xml:space="preserve"> MAC PAULISTA SEM ESPAGUETE 500G </t>
  </si>
  <si>
    <t xml:space="preserve"> MASSA LASANHA DONA BENTA </t>
  </si>
  <si>
    <t xml:space="preserve"> MILHO VERDE FUGINI LT170G </t>
  </si>
  <si>
    <t xml:space="preserve"> MORT. FRIATO TUBULAR FGO </t>
  </si>
  <si>
    <t xml:space="preserve"> MORT. SAUDALI SUINA </t>
  </si>
  <si>
    <t xml:space="preserve"> OLEO SOJA SOYA PET 900 ML </t>
  </si>
  <si>
    <t xml:space="preserve"> OVOS VERMELHO </t>
  </si>
  <si>
    <t xml:space="preserve"> PAPEL HIGIEN. FAMILIAR SOFT PERF. 30M </t>
  </si>
  <si>
    <t xml:space="preserve"> PERNEIL SUINA C/PELE  </t>
  </si>
  <si>
    <t xml:space="preserve"> POLVILHO MATUTO DOCE 1KG </t>
  </si>
  <si>
    <t xml:space="preserve"> PRESUNTO PERDIGAO MAGRO TRAD </t>
  </si>
  <si>
    <t xml:space="preserve"> QUEIJO MUSSARELA </t>
  </si>
  <si>
    <t xml:space="preserve"> RAPADURA SANTANA 900G </t>
  </si>
  <si>
    <t xml:space="preserve"> SACO DE LIXO VASNORTE 100L </t>
  </si>
  <si>
    <t xml:space="preserve"> SACO DE LIXO VASNORTE 30L </t>
  </si>
  <si>
    <t xml:space="preserve"> SACO DE LIXO VASNORTE 50L </t>
  </si>
  <si>
    <t xml:space="preserve"> SALSICHA FRIATO CONG. </t>
  </si>
  <si>
    <t xml:space="preserve"> TAPETE PARNASUL PORTA CASA 45X65 </t>
  </si>
  <si>
    <t xml:space="preserve"> TEMP. NERESCO AÇAFRAO 500G </t>
  </si>
  <si>
    <t xml:space="preserve"> TEMP. SAZON CARNE 60G </t>
  </si>
  <si>
    <t xml:space="preserve"> TEMP. SAZON FRANGO 60G </t>
  </si>
  <si>
    <t xml:space="preserve"> TEMP. SAZON LEGUMES 60G </t>
  </si>
  <si>
    <t xml:space="preserve"> TEMP.SAZON MASSAS 60G </t>
  </si>
  <si>
    <t xml:space="preserve"> TOUCA DESC. NOBRE TNT 50X1 </t>
  </si>
  <si>
    <t xml:space="preserve"> VERD. ALFACE </t>
  </si>
  <si>
    <t xml:space="preserve"> VERD. BATATA DOCE </t>
  </si>
  <si>
    <t xml:space="preserve"> VERD. BETERRABA </t>
  </si>
  <si>
    <t xml:space="preserve"> VERD. CEBOLINHA </t>
  </si>
  <si>
    <t xml:space="preserve"> UB </t>
  </si>
  <si>
    <t xml:space="preserve"> VERD. CENOURA </t>
  </si>
  <si>
    <t xml:space="preserve"> VERD. CHUCHU </t>
  </si>
  <si>
    <t xml:space="preserve"> VERD. COENTRO VERDE </t>
  </si>
  <si>
    <t xml:space="preserve"> VERD. COUVE </t>
  </si>
  <si>
    <t xml:space="preserve"> VERD. JILÓ </t>
  </si>
  <si>
    <t xml:space="preserve"> VERD. PEPINO </t>
  </si>
  <si>
    <t xml:space="preserve"> VERD. REPOLHO VERDE </t>
  </si>
  <si>
    <t xml:space="preserve"> VERD. TOMATE </t>
  </si>
  <si>
    <t xml:space="preserve"> VINAGRE CASTELO ALCOOL 750ML </t>
  </si>
  <si>
    <t xml:space="preserve">Oeste Acessoria                        R$750,20x12meses </t>
  </si>
  <si>
    <t xml:space="preserve">Confraternização Final do ano </t>
  </si>
  <si>
    <t xml:space="preserve">Carnes </t>
  </si>
  <si>
    <t>Total Geral</t>
  </si>
  <si>
    <t>Rateado com Agroservice</t>
  </si>
  <si>
    <t>SAFRA 21-22</t>
  </si>
  <si>
    <t>M4030</t>
  </si>
  <si>
    <t>Unidade</t>
  </si>
  <si>
    <t xml:space="preserve">Descrição </t>
  </si>
  <si>
    <t>Função</t>
  </si>
  <si>
    <t xml:space="preserve">Periodo </t>
  </si>
  <si>
    <t>Motorista</t>
  </si>
  <si>
    <t>Niveladora</t>
  </si>
  <si>
    <t>Máquinas N</t>
  </si>
  <si>
    <t>Numero</t>
  </si>
  <si>
    <t>Total P/ Maquina 20/21</t>
  </si>
  <si>
    <t xml:space="preserve">Pa </t>
  </si>
  <si>
    <t>DN4040</t>
  </si>
  <si>
    <t>Plant Braquiaria</t>
  </si>
  <si>
    <t>Plant 2134</t>
  </si>
  <si>
    <t>8370R</t>
  </si>
  <si>
    <t>Bros</t>
  </si>
  <si>
    <t>Terrus Gts 12 H</t>
  </si>
  <si>
    <t>Ford Cargo</t>
  </si>
  <si>
    <t>Pipa da agua</t>
  </si>
  <si>
    <t>Plantio e TS</t>
  </si>
  <si>
    <t>MOTORISTA</t>
  </si>
  <si>
    <t>Reparos bomba solução</t>
  </si>
  <si>
    <t>und</t>
  </si>
  <si>
    <t>QUANTIDADE</t>
  </si>
  <si>
    <t xml:space="preserve">VALOR </t>
  </si>
  <si>
    <t xml:space="preserve">Angarage </t>
  </si>
  <si>
    <t>Piloto</t>
  </si>
  <si>
    <t xml:space="preserve">Manutenção dos Radios de comunicação </t>
  </si>
  <si>
    <t xml:space="preserve">Inspeções /Aferições </t>
  </si>
  <si>
    <t>Manutenção rede de intertne e telefone</t>
  </si>
  <si>
    <t>Ti</t>
  </si>
  <si>
    <t xml:space="preserve">Prancha para logistica de maquinas e equipamentos </t>
  </si>
  <si>
    <t xml:space="preserve">Trator alugado </t>
  </si>
  <si>
    <t xml:space="preserve">Equipamento </t>
  </si>
  <si>
    <t xml:space="preserve">KM </t>
  </si>
  <si>
    <t>Férias</t>
  </si>
  <si>
    <t>Radoll/Sede</t>
  </si>
  <si>
    <t>Consumo kw/h/mês -TUSD</t>
  </si>
  <si>
    <t>Consumo kw/h/mês TE</t>
  </si>
  <si>
    <t>Bandeira vermelha</t>
  </si>
  <si>
    <t>Radoll/Silo</t>
  </si>
  <si>
    <t>Operação</t>
  </si>
  <si>
    <t>Media</t>
  </si>
  <si>
    <t>hectar/KM/hora</t>
  </si>
  <si>
    <t>total diesel</t>
  </si>
  <si>
    <t>Colheita Soja</t>
  </si>
  <si>
    <t>colheita milho</t>
  </si>
  <si>
    <t xml:space="preserve">Plantio Soja </t>
  </si>
  <si>
    <t>Plantio Milho</t>
  </si>
  <si>
    <t>Plantio braquiaria</t>
  </si>
  <si>
    <t>preparo de solo</t>
  </si>
  <si>
    <t>Semeadura milheto</t>
  </si>
  <si>
    <t>Adubação a lanço KCl</t>
  </si>
  <si>
    <t>Adubação a lanço SS</t>
  </si>
  <si>
    <t>Adubação plantio</t>
  </si>
  <si>
    <t>Ureia</t>
  </si>
  <si>
    <t>Aplicação quimicos</t>
  </si>
  <si>
    <t>Pa carregadeira</t>
  </si>
  <si>
    <t>JD5403</t>
  </si>
  <si>
    <t>Ford cargo</t>
  </si>
  <si>
    <t>Ts</t>
  </si>
  <si>
    <t>Outurbro</t>
  </si>
  <si>
    <t>FRETE  p Secador e Silos</t>
  </si>
  <si>
    <t xml:space="preserve">Agroinvest </t>
  </si>
  <si>
    <t>JSA-9307</t>
  </si>
  <si>
    <t xml:space="preserve">FORD 2422 E </t>
  </si>
  <si>
    <t>JRE-1214</t>
  </si>
  <si>
    <t>JSA-0223</t>
  </si>
  <si>
    <t>Realizado  20-21</t>
  </si>
  <si>
    <t>F4000 simples</t>
  </si>
  <si>
    <t>Enpilhadeira</t>
  </si>
  <si>
    <t>Equipe</t>
  </si>
  <si>
    <t>Funcionarios Salarios</t>
  </si>
  <si>
    <t>Uniforme Aplicação</t>
  </si>
  <si>
    <t xml:space="preserve">Uniforme </t>
  </si>
  <si>
    <t xml:space="preserve">AGROINVEST </t>
  </si>
  <si>
    <t>Resultado: (realizado orçamento)</t>
  </si>
  <si>
    <t>Cambio 5,20</t>
  </si>
  <si>
    <t xml:space="preserve">Colheita Soja e Milho </t>
  </si>
  <si>
    <t xml:space="preserve">Safrinha </t>
  </si>
  <si>
    <t>Nov</t>
  </si>
  <si>
    <t>Fev</t>
  </si>
  <si>
    <t xml:space="preserve">Romerio </t>
  </si>
  <si>
    <t>Paulo Vitor</t>
  </si>
  <si>
    <t>Silo</t>
  </si>
  <si>
    <t xml:space="preserve">Salario Base </t>
  </si>
  <si>
    <t xml:space="preserve">Comissão </t>
  </si>
  <si>
    <t>2* Contratar    ( Monitoramento)</t>
  </si>
  <si>
    <t>5 a 10%</t>
  </si>
  <si>
    <t xml:space="preserve">66 horas </t>
  </si>
  <si>
    <t xml:space="preserve">6 meses </t>
  </si>
  <si>
    <t xml:space="preserve">Charles possivelmente fora da equipe técnica </t>
  </si>
  <si>
    <t xml:space="preserve">11 meses </t>
  </si>
  <si>
    <t xml:space="preserve">sim 5 % do base </t>
  </si>
  <si>
    <t>3 a 5 %</t>
  </si>
  <si>
    <t>Entrada R$ 2500   no mês de Agosto de 2022</t>
  </si>
  <si>
    <t>Restante pagar no próxima safra 2023</t>
  </si>
  <si>
    <t xml:space="preserve">Analises de Folhas </t>
  </si>
  <si>
    <t xml:space="preserve">Quantidade de amostras </t>
  </si>
  <si>
    <t xml:space="preserve">Custo atual por amostra </t>
  </si>
  <si>
    <t xml:space="preserve">Analise para identificar raça de Cisto </t>
  </si>
  <si>
    <t xml:space="preserve">Radol 3 lote 5 e radol 1 e 2  </t>
  </si>
  <si>
    <t xml:space="preserve">Safra 22-23 tem analise de solo nas areas da bela vista </t>
  </si>
  <si>
    <t xml:space="preserve">Preço macro e micro atual </t>
  </si>
  <si>
    <t xml:space="preserve">Preço macro  atual </t>
  </si>
  <si>
    <t xml:space="preserve">Bruno </t>
  </si>
  <si>
    <t xml:space="preserve">Marcos Santana </t>
  </si>
  <si>
    <t>Orçamento câmeras agroinvest</t>
  </si>
  <si>
    <t>Valor Unitario</t>
  </si>
  <si>
    <t>Valor Final</t>
  </si>
  <si>
    <t>CPE intelbras wom5a mimo</t>
  </si>
  <si>
    <t>Caixa organizadora</t>
  </si>
  <si>
    <t>Fita dupla Face</t>
  </si>
  <si>
    <t>AJUDANTE</t>
  </si>
  <si>
    <t>Epis QUANTIDADE SAFRA</t>
  </si>
  <si>
    <t xml:space="preserve">Roupa 2 pele </t>
  </si>
  <si>
    <t xml:space="preserve">Luva Nitrilica </t>
  </si>
  <si>
    <t>Mas.Quimica facial 3M</t>
  </si>
  <si>
    <t>Filtro mascara quimica</t>
  </si>
  <si>
    <t xml:space="preserve">Meias </t>
  </si>
  <si>
    <t xml:space="preserve">Toalhas de Banho </t>
  </si>
  <si>
    <t>Botinas/safra</t>
  </si>
  <si>
    <t>Uniformes (Calças e camisas)</t>
  </si>
  <si>
    <t xml:space="preserve">Botas </t>
  </si>
  <si>
    <t>Mascaras de Pó PFF1</t>
  </si>
  <si>
    <t xml:space="preserve">Luvas de pano Multitato </t>
  </si>
  <si>
    <t>Oculos Escuro ou claro</t>
  </si>
  <si>
    <t xml:space="preserve">Protetor Auricular </t>
  </si>
  <si>
    <t>Protetor Solar</t>
  </si>
  <si>
    <t xml:space="preserve">Jalecos </t>
  </si>
  <si>
    <t>Capa de Chuva</t>
  </si>
  <si>
    <t xml:space="preserve">Canivetes </t>
  </si>
  <si>
    <t xml:space="preserve">Trenas </t>
  </si>
  <si>
    <t xml:space="preserve">Garrafas termicas </t>
  </si>
  <si>
    <t xml:space="preserve">Kit forro de cama </t>
  </si>
  <si>
    <t xml:space="preserve">Marcio nada </t>
  </si>
  <si>
    <t xml:space="preserve">0  safra </t>
  </si>
  <si>
    <t xml:space="preserve"> já tem </t>
  </si>
  <si>
    <t xml:space="preserve">  (davi cotar)</t>
  </si>
  <si>
    <t xml:space="preserve">Davi cotou </t>
  </si>
  <si>
    <t xml:space="preserve">2 pares </t>
  </si>
  <si>
    <t>3 pares cada de  camisas e calças</t>
  </si>
  <si>
    <t xml:space="preserve">2 pares/safra </t>
  </si>
  <si>
    <t xml:space="preserve">1 escuro </t>
  </si>
  <si>
    <t xml:space="preserve">1 safra </t>
  </si>
  <si>
    <t>1 G</t>
  </si>
  <si>
    <t xml:space="preserve">já tem </t>
  </si>
  <si>
    <t>Extagiario (Davi cotar)</t>
  </si>
  <si>
    <t xml:space="preserve">Davi define </t>
  </si>
  <si>
    <t>3 pares cada camisas e calças</t>
  </si>
  <si>
    <t xml:space="preserve">2 pares/ safra </t>
  </si>
  <si>
    <t xml:space="preserve">1/safra </t>
  </si>
  <si>
    <t xml:space="preserve">4 pares </t>
  </si>
  <si>
    <t xml:space="preserve">6 pares de calças e camisas </t>
  </si>
  <si>
    <t xml:space="preserve">4 pares safra </t>
  </si>
  <si>
    <t xml:space="preserve">2 escuro </t>
  </si>
  <si>
    <t xml:space="preserve">2 safra </t>
  </si>
  <si>
    <t xml:space="preserve">Motos Agroinvest </t>
  </si>
  <si>
    <t xml:space="preserve">Km total </t>
  </si>
  <si>
    <t xml:space="preserve">Componentes </t>
  </si>
  <si>
    <t xml:space="preserve">Gasolina necessaria </t>
  </si>
  <si>
    <t xml:space="preserve">   Moto Charles      (Novembro  a Março) </t>
  </si>
  <si>
    <t xml:space="preserve"> Oleo do motor  Quantidade</t>
  </si>
  <si>
    <t xml:space="preserve">    Moto Extagiario     (Dezembro a Março) </t>
  </si>
  <si>
    <t xml:space="preserve">Utilizar 2 motos para monitoramento </t>
  </si>
  <si>
    <t xml:space="preserve">Filtro de Ar </t>
  </si>
  <si>
    <t>Total  480 lts</t>
  </si>
  <si>
    <t>* Quantidade de relação para moto periodo do monitoramento= 2 relação para Bros + 2 relação para Xtz</t>
  </si>
  <si>
    <t>* Cameras necessarias para o periodo do monitoramento= 2 cameras  para Bros + 2 cameras para Xtz</t>
  </si>
  <si>
    <t xml:space="preserve">* Ranger  Equipe Técnica = Combustivel </t>
  </si>
  <si>
    <t xml:space="preserve">Idas para Radol= 14 vistorias X 480 KM= 6720 KM </t>
  </si>
  <si>
    <t>Total km rodados ranger safra 21/22</t>
  </si>
  <si>
    <t xml:space="preserve">6720 KM </t>
  </si>
  <si>
    <t>Diesel necessário=</t>
  </si>
  <si>
    <t xml:space="preserve">610 LITROS </t>
  </si>
  <si>
    <t xml:space="preserve"> * Para Jonatan  </t>
  </si>
  <si>
    <t xml:space="preserve"> * 1 lata de tinta  pequena amarela para pintura das placas </t>
  </si>
  <si>
    <t>*  Meia lata de tinta preta</t>
  </si>
  <si>
    <t xml:space="preserve">* 1 pincel pequeno </t>
  </si>
  <si>
    <t xml:space="preserve">PARA SCHUH </t>
  </si>
  <si>
    <t>Valores aplicativo Farm Box (Agroinvest)</t>
  </si>
  <si>
    <t xml:space="preserve">Comprar um Quadro branco  para planejamento equipe técnica preço de internet 120 cm X 90 cm </t>
  </si>
  <si>
    <t>ORÇAMENTO BAZE ZERO SAFRA 2022/2023 - Esccritorio Balança Agroinvest.</t>
  </si>
  <si>
    <t>horas</t>
  </si>
  <si>
    <t>AUXILIAR 1: SALARIO 2.200,00 R$</t>
  </si>
  <si>
    <t>Se tiver estagiario conseguimos reduzir estas.</t>
  </si>
  <si>
    <t>AUXILIAR 1: Estagiario Salario 1.500,00 R$</t>
  </si>
  <si>
    <t>ATUALIZAÇÃO PGRTR</t>
  </si>
  <si>
    <t>Com alteração da NR31 passou ser bianual renovação</t>
  </si>
  <si>
    <t>Sede</t>
  </si>
  <si>
    <t>F-4000  nova</t>
  </si>
  <si>
    <t>Gerador</t>
  </si>
  <si>
    <t>Escritorio</t>
  </si>
  <si>
    <t>VALOR</t>
  </si>
  <si>
    <t xml:space="preserve">Confraternização Trimestral </t>
  </si>
  <si>
    <t>Baners Prioridades</t>
  </si>
  <si>
    <t xml:space="preserve">Datas comemorativas </t>
  </si>
  <si>
    <t xml:space="preserve">Grafica, Papelaria, Higiene e Limpeza. </t>
  </si>
  <si>
    <t xml:space="preserve">Secador de Grãos </t>
  </si>
  <si>
    <t>Realizado 21-22</t>
  </si>
  <si>
    <t>R$/dia/func</t>
  </si>
  <si>
    <t>Alimentos</t>
  </si>
  <si>
    <t>Fertilizante</t>
  </si>
  <si>
    <t>Quimicos</t>
  </si>
  <si>
    <t xml:space="preserve">Semente </t>
  </si>
  <si>
    <t>ORÇAMENTO 22-23</t>
  </si>
  <si>
    <t>Anuidade Agroinvest</t>
  </si>
  <si>
    <t>Atendiemnto Angar Icaro (BSB)</t>
  </si>
  <si>
    <t>Revisoes/manutençoes</t>
  </si>
  <si>
    <t>há solido</t>
  </si>
  <si>
    <t>IAM</t>
  </si>
  <si>
    <t>Pre mistura 800L</t>
  </si>
  <si>
    <t>Manguiera 1 pol gasolina</t>
  </si>
  <si>
    <t>Facao</t>
  </si>
  <si>
    <t>Hora extra 100%</t>
  </si>
  <si>
    <t xml:space="preserve">Agroservice </t>
  </si>
  <si>
    <t>ART José Victor</t>
  </si>
  <si>
    <t xml:space="preserve">Davi, mapas de fertilidade e prescrição </t>
  </si>
  <si>
    <t>Plataforma Farmbox  (R$/há)</t>
  </si>
  <si>
    <t>Aluguel de carro/trator</t>
  </si>
  <si>
    <t>R$0,28/há de mapas</t>
  </si>
  <si>
    <t>SAFRA 22-23</t>
  </si>
  <si>
    <t>Hectares de Produção (todas fazendas)</t>
  </si>
  <si>
    <t>(Carroll, mais de um terço das outras fazendas)</t>
  </si>
  <si>
    <t>Total Arrobas:</t>
  </si>
  <si>
    <t>Total Kilos:</t>
  </si>
  <si>
    <t>Total Pounds:</t>
  </si>
  <si>
    <t>Meta</t>
  </si>
  <si>
    <t xml:space="preserve">Custo Operaciona + Arrendametno </t>
  </si>
  <si>
    <t>Sem arrendamento</t>
  </si>
  <si>
    <t>Custo/há</t>
  </si>
  <si>
    <t xml:space="preserve">(-) Deduções Vendas Tributos </t>
  </si>
  <si>
    <t xml:space="preserve">                Planilha de   Veiculos   Agroservice - Exercício  2022</t>
  </si>
  <si>
    <t>Chassi:</t>
  </si>
  <si>
    <t>Renavam:</t>
  </si>
  <si>
    <t>Valor normal</t>
  </si>
  <si>
    <t>Valor c desconto</t>
  </si>
  <si>
    <t>CRLV -2021</t>
  </si>
  <si>
    <t>Situação</t>
  </si>
  <si>
    <t xml:space="preserve">Proprietarios </t>
  </si>
  <si>
    <t xml:space="preserve">       F4000</t>
  </si>
  <si>
    <t>9BFLF4799BB098143</t>
  </si>
  <si>
    <t>NZU-7394</t>
  </si>
  <si>
    <t>ok</t>
  </si>
  <si>
    <t xml:space="preserve">AGROSERVICE </t>
  </si>
  <si>
    <t>9BFLF47949B061110</t>
  </si>
  <si>
    <t>JOHN DANIEL CARROLL</t>
  </si>
  <si>
    <t>9BFLF4798AB077721</t>
  </si>
  <si>
    <t>NYK-7967</t>
  </si>
  <si>
    <t>9BFLF4791AB076751</t>
  </si>
  <si>
    <t>NYK-4040</t>
  </si>
  <si>
    <t>9BFLF4799BB098370</t>
  </si>
  <si>
    <t>NZY-3157</t>
  </si>
  <si>
    <t>9BFLF4797BB087433</t>
  </si>
  <si>
    <t>NYZ-2185</t>
  </si>
  <si>
    <t>VOLKSWAGEN 23230  NOVO</t>
  </si>
  <si>
    <t>9536G8243LR003331</t>
  </si>
  <si>
    <t>PLT-5I44</t>
  </si>
  <si>
    <t>9BFYCEHVX7BB99495</t>
  </si>
  <si>
    <t>JRC-6349</t>
  </si>
  <si>
    <t>9BFYCEHV47BB89394</t>
  </si>
  <si>
    <t>ONIBUS</t>
  </si>
  <si>
    <t>9BM384088NB944904</t>
  </si>
  <si>
    <t>KOD-1895</t>
  </si>
  <si>
    <t>JHON DANIEL CARROLL</t>
  </si>
  <si>
    <t xml:space="preserve">       F350</t>
  </si>
  <si>
    <t xml:space="preserve">            9BFJF37939B062346        </t>
  </si>
  <si>
    <t xml:space="preserve">ok/v </t>
  </si>
  <si>
    <t>9BD5781FFHY167654</t>
  </si>
  <si>
    <t xml:space="preserve">office </t>
  </si>
  <si>
    <t>EVOQUE PURE</t>
  </si>
  <si>
    <t>SALVA2BG4DH724928</t>
  </si>
  <si>
    <t>OUD-7408</t>
  </si>
  <si>
    <t>ONIX  NOVO 2018</t>
  </si>
  <si>
    <t xml:space="preserve">    9BGKS48V0JG146937</t>
  </si>
  <si>
    <t>PKO-5490</t>
  </si>
  <si>
    <t>FOX</t>
  </si>
  <si>
    <t>9BWKA05Z664065844</t>
  </si>
  <si>
    <t>JGO-6738</t>
  </si>
  <si>
    <t>QUANTUM</t>
  </si>
  <si>
    <t>9BWZZZ33ZNP030722</t>
  </si>
  <si>
    <t>BLG-6647</t>
  </si>
  <si>
    <t>S-10 Nova  Prata - Schuh</t>
  </si>
  <si>
    <t>9BG148FK0LC429210</t>
  </si>
  <si>
    <t>QTZ3H12</t>
  </si>
  <si>
    <t xml:space="preserve">S-10  - Dan </t>
  </si>
  <si>
    <t>9BG148FK0FC409677</t>
  </si>
  <si>
    <t>OZV-5618</t>
  </si>
  <si>
    <t xml:space="preserve">S-10 - nova Branca - Davi </t>
  </si>
  <si>
    <t>9BG148DK0KC406908</t>
  </si>
  <si>
    <t>QOK-8422</t>
  </si>
  <si>
    <t>radoll</t>
  </si>
  <si>
    <t>S-10 - Dpt. Compras</t>
  </si>
  <si>
    <t>9BG144DK0LC431427</t>
  </si>
  <si>
    <t>QTW2B92</t>
  </si>
  <si>
    <t>Moto bros 150 ano 2011</t>
  </si>
  <si>
    <t>9C2KD0580CR500290</t>
  </si>
  <si>
    <t>OGL-7521</t>
  </si>
  <si>
    <t>Moto xtz 125 ano 2011</t>
  </si>
  <si>
    <t>9C6KE1260C0026212</t>
  </si>
  <si>
    <t>OGZ-3372</t>
  </si>
  <si>
    <t>9C2KD0560CR500617</t>
  </si>
  <si>
    <t>OGW-7606</t>
  </si>
  <si>
    <t>HONDA BROZ</t>
  </si>
  <si>
    <t>9C2KD03208R036469</t>
  </si>
  <si>
    <t>JRX-1383</t>
  </si>
  <si>
    <t>9C2KD0530AR017279</t>
  </si>
  <si>
    <t>NYK7394</t>
  </si>
  <si>
    <t>HONDA BROZ PRETA</t>
  </si>
  <si>
    <t>9C2KD0530AR017337</t>
  </si>
  <si>
    <t>NYK-3552</t>
  </si>
  <si>
    <t>HONDA BIZ</t>
  </si>
  <si>
    <t>9C2HA07103R065270</t>
  </si>
  <si>
    <t>JQE-5117</t>
  </si>
  <si>
    <t>9C6KE1260C0027940</t>
  </si>
  <si>
    <t>9C6KE1260C0027588</t>
  </si>
  <si>
    <t xml:space="preserve">REBOQUE  </t>
  </si>
  <si>
    <t>C1C1546CIC</t>
  </si>
  <si>
    <t>JOL- 1037</t>
  </si>
  <si>
    <t>9A9V11530V2AD9142</t>
  </si>
  <si>
    <t>JLI-9419</t>
  </si>
  <si>
    <t>Carroll Farms</t>
  </si>
  <si>
    <t>9C2KD0560CR506030</t>
  </si>
  <si>
    <t>N emplacada</t>
  </si>
  <si>
    <t>CARROLL FARMS BRASIL</t>
  </si>
  <si>
    <t>Moto bros 150 ano 2010</t>
  </si>
  <si>
    <t xml:space="preserve">JONH </t>
  </si>
  <si>
    <t>9C2KD0530AR002069</t>
  </si>
  <si>
    <t>Ford Ranger XLS LUIZ</t>
  </si>
  <si>
    <t>RDJ0C64</t>
  </si>
  <si>
    <t xml:space="preserve">F4000 2020 </t>
  </si>
  <si>
    <t>PJI - 6B81</t>
  </si>
  <si>
    <t> VOLVO/VM 330 8X2R/Feed Truck</t>
  </si>
  <si>
    <t> 93KP0S1F6ME174489</t>
  </si>
  <si>
    <t>RDJ0I77</t>
  </si>
  <si>
    <t>IVECO/TECTOR 310E30CE Semi</t>
  </si>
  <si>
    <t>93ZJ13BM0N8943307</t>
  </si>
  <si>
    <t>RDJ2H81</t>
  </si>
  <si>
    <t>Sem Desconto</t>
  </si>
  <si>
    <t>Desconto 10%</t>
  </si>
  <si>
    <t>Colheita de sorgo</t>
  </si>
  <si>
    <t>S10 Schu</t>
  </si>
  <si>
    <t>F4000 aplicaçao</t>
  </si>
  <si>
    <t xml:space="preserve">F4000 melosa </t>
  </si>
  <si>
    <t>S10 Romerio</t>
  </si>
  <si>
    <t xml:space="preserve">Bross preta </t>
  </si>
  <si>
    <t>FLOCÃO BONOMILHO 500 G</t>
  </si>
  <si>
    <t xml:space="preserve"> FRUTA BANANA NANICA </t>
  </si>
  <si>
    <t>LIMP PESADA CANDEIAS GEL LAV 1 L</t>
  </si>
  <si>
    <t xml:space="preserve">LIMPA ALUMINIO POLITRIZ LIMAO 500 ML </t>
  </si>
  <si>
    <t xml:space="preserve">LIMPA CANDEIAS CERAMICA 1 L </t>
  </si>
  <si>
    <t>LIMPA VEJA MULTIUSO ORIG LV500</t>
  </si>
  <si>
    <t>F4000 2019</t>
  </si>
  <si>
    <t>AGROINVEST</t>
  </si>
  <si>
    <t>9BFLF47P6KB017257</t>
  </si>
  <si>
    <t>PRV3B48</t>
  </si>
  <si>
    <t>PKK1003</t>
  </si>
  <si>
    <t>9C2KD100HR002639</t>
  </si>
  <si>
    <t xml:space="preserve">       F4000 a</t>
  </si>
  <si>
    <t>FORD 2422 E  a</t>
  </si>
  <si>
    <t xml:space="preserve"> honda bros 160cc  a</t>
  </si>
  <si>
    <t>Moto bros 150 ano 2011 a</t>
  </si>
  <si>
    <t xml:space="preserve">Fiat strada ou s10 </t>
  </si>
  <si>
    <t xml:space="preserve">Raimundo </t>
  </si>
  <si>
    <t>Wanderson</t>
  </si>
  <si>
    <t xml:space="preserve">Fabio </t>
  </si>
  <si>
    <t xml:space="preserve">Francidalva </t>
  </si>
  <si>
    <t xml:space="preserve">Quiquenio </t>
  </si>
  <si>
    <t xml:space="preserve">Total anual </t>
  </si>
  <si>
    <t xml:space="preserve">Rosivaldo </t>
  </si>
  <si>
    <t>Pedro</t>
  </si>
  <si>
    <t xml:space="preserve">Marcos schu </t>
  </si>
  <si>
    <t xml:space="preserve">valdimir </t>
  </si>
  <si>
    <t>férias</t>
  </si>
  <si>
    <t xml:space="preserve">férias </t>
  </si>
  <si>
    <t>MENSALIDADE/e-social</t>
  </si>
  <si>
    <t>Ar condicionado (manutenção)</t>
  </si>
  <si>
    <t>300 metros cabo de rede</t>
  </si>
  <si>
    <t xml:space="preserve">Switch SF 800 Q+ </t>
  </si>
  <si>
    <t>Roteador tp link</t>
  </si>
  <si>
    <t>Cartão de memora Sandisk</t>
  </si>
  <si>
    <t>Câmera Yoosee IP</t>
  </si>
  <si>
    <t>RK330 01A Atmospheric Temperature e Humidity Sensor</t>
  </si>
  <si>
    <t>Ch Power Plug Jd</t>
  </si>
  <si>
    <t>Bateria Selada 12v 7ah ELGIN</t>
  </si>
  <si>
    <t>Can Reader Cable</t>
  </si>
  <si>
    <t>Radio 433 V2 Weather Station</t>
  </si>
  <si>
    <t>Antena Zgbe Mu 35Di 900 960 Mhz Sma 1Fc</t>
  </si>
  <si>
    <t>Chicote Mag X Colheita Can Ver D</t>
  </si>
  <si>
    <t>Rain Colector Davis 6463M</t>
  </si>
  <si>
    <t>Conjunto de Fixação com Base Adesiva</t>
  </si>
  <si>
    <t>Antena Gps At 65 V2 Sma 5M C Cabo 5 Mts</t>
  </si>
  <si>
    <t>RK120 01 Wind Speed e Direction Sensor</t>
  </si>
  <si>
    <t>Placa Nws Pcb Smt Nwts Enig Vrd 4L 1 6MM 1P R2</t>
  </si>
  <si>
    <t>Caixa Weather Station 2 0 PBL280</t>
  </si>
  <si>
    <t>Colheita sementes cobertura</t>
  </si>
  <si>
    <t>Manutençao de estrradas</t>
  </si>
  <si>
    <t xml:space="preserve">Compras </t>
  </si>
  <si>
    <t xml:space="preserve">Estagiario </t>
  </si>
  <si>
    <t>Wilton</t>
  </si>
  <si>
    <t xml:space="preserve">Marcos magalhães </t>
  </si>
  <si>
    <t>Tilleer GTS</t>
  </si>
  <si>
    <t>AMB</t>
  </si>
  <si>
    <t xml:space="preserve">Detetização Cantina e alojamentos </t>
  </si>
  <si>
    <t>KM</t>
  </si>
  <si>
    <t xml:space="preserve">Fretes </t>
  </si>
  <si>
    <t xml:space="preserve">Embalagens </t>
  </si>
  <si>
    <t xml:space="preserve">Cascalhos </t>
  </si>
  <si>
    <t xml:space="preserve">2 viagens </t>
  </si>
  <si>
    <t>Variados</t>
  </si>
  <si>
    <t>Total Anual</t>
  </si>
  <si>
    <t>OK</t>
  </si>
  <si>
    <t>Brinde dia da mulher</t>
  </si>
  <si>
    <t>Brinde anos de empresa</t>
  </si>
  <si>
    <t>TOTAIS</t>
  </si>
  <si>
    <t>Lembrança colaborador novo</t>
  </si>
  <si>
    <t>Brinde colaborador destaque</t>
  </si>
  <si>
    <t>Boné personalizado</t>
  </si>
  <si>
    <t>Garçom</t>
  </si>
  <si>
    <t>Aluguel (pesque pague)</t>
  </si>
  <si>
    <t>Banda</t>
  </si>
  <si>
    <t xml:space="preserve">Caneca personalizada </t>
  </si>
  <si>
    <t>Palestras/treinamentos/consultoria</t>
  </si>
  <si>
    <t>Nutri + Treinamento</t>
  </si>
  <si>
    <t>Consultoria Nick</t>
  </si>
  <si>
    <t>Metronome Nick</t>
  </si>
  <si>
    <t>Confraternização trimestre</t>
  </si>
  <si>
    <t>exame admissional</t>
  </si>
  <si>
    <t>exame periodico</t>
  </si>
  <si>
    <t>demissional</t>
  </si>
  <si>
    <t>AUX. ADM</t>
  </si>
  <si>
    <t>EXAMES - TABELA 2</t>
  </si>
  <si>
    <t>COZINHEIRA</t>
  </si>
  <si>
    <t>ASO</t>
  </si>
  <si>
    <t xml:space="preserve">ESPIROMETRIA </t>
  </si>
  <si>
    <t>OPERADOR DE MAQUINAS</t>
  </si>
  <si>
    <t>AUDIO (audiometria)</t>
  </si>
  <si>
    <t>OPERADOR DE SILO</t>
  </si>
  <si>
    <t xml:space="preserve">ACUIDADE VISUAL </t>
  </si>
  <si>
    <t>ECG - Eletrocardiograma</t>
  </si>
  <si>
    <t>GERENTE DE FAZENDA</t>
  </si>
  <si>
    <t>EEG - Eletroencefalografia</t>
  </si>
  <si>
    <t>COORDENADOR DE CAMPO</t>
  </si>
  <si>
    <t>Glicemia : 5.00</t>
  </si>
  <si>
    <t>Parasitologico de fezes: 8.00</t>
  </si>
  <si>
    <t>CONTRATAÇÕES</t>
  </si>
  <si>
    <t>Sumário de urina : 6.00</t>
  </si>
  <si>
    <t>TÉCNICO AGRÍCOLA</t>
  </si>
  <si>
    <t>Vdrl: 10.00</t>
  </si>
  <si>
    <t>OPERADOR DE MÁQUINAS</t>
  </si>
  <si>
    <t>Hemograma : 8.00</t>
  </si>
  <si>
    <t>Colinesterase: 10</t>
  </si>
  <si>
    <t>TGO</t>
  </si>
  <si>
    <t>TGP</t>
  </si>
  <si>
    <t>GERENTE DE PRODUÇÃO E OPERAÇÕES AGROPECUÁR</t>
  </si>
  <si>
    <t>TOXICOLOGICO</t>
  </si>
  <si>
    <t>Cultura da fezes</t>
  </si>
  <si>
    <t>TOTAL GERAL</t>
  </si>
  <si>
    <t>Pesquisa de fungos nas unhas</t>
  </si>
  <si>
    <t>AVALIAÇÃO PSICOSSOCIAL</t>
  </si>
  <si>
    <t xml:space="preserve">Angelo </t>
  </si>
  <si>
    <t xml:space="preserve">Cartâo vale transporte </t>
  </si>
  <si>
    <t>Romerio s10</t>
  </si>
  <si>
    <t>Material de Escritório</t>
  </si>
  <si>
    <t>Valor unitário</t>
  </si>
  <si>
    <t>Valor Subtotal</t>
  </si>
  <si>
    <t>Papeis A4 - resma c/ 500 folhas</t>
  </si>
  <si>
    <t>Resma</t>
  </si>
  <si>
    <t xml:space="preserve">canetas Bic </t>
  </si>
  <si>
    <t>Marca Texto</t>
  </si>
  <si>
    <t>calculadora</t>
  </si>
  <si>
    <t>Fita Durex - Para embalar</t>
  </si>
  <si>
    <t>Plástico Bolha - embalar p/ transporte</t>
  </si>
  <si>
    <t>Rolo</t>
  </si>
  <si>
    <t>Pincel Permanente - p/ identificação de Mercadorias</t>
  </si>
  <si>
    <t>valor total podemos dividir p/ as 3 Empresas ( Matriz, Filial e Agroinvest )</t>
  </si>
  <si>
    <t>Manutenção S10 DPT Compras</t>
  </si>
  <si>
    <t>Peças e Serviços</t>
  </si>
  <si>
    <t>Valor Unitário</t>
  </si>
  <si>
    <t>Revisão Preventiva</t>
  </si>
  <si>
    <t>Serviço</t>
  </si>
  <si>
    <t>Troca de Grade Dianteira (Acessório do para-choque)</t>
  </si>
  <si>
    <t xml:space="preserve">Amortecedor Traseiro </t>
  </si>
  <si>
    <t>pá</t>
  </si>
  <si>
    <t>Palheita do Parabrisa</t>
  </si>
  <si>
    <t>Pá</t>
  </si>
  <si>
    <t>pastilhas de freio ( Jogo )</t>
  </si>
  <si>
    <t>Reparos - Lonas de Freio ( Jogo )</t>
  </si>
  <si>
    <t>jogo</t>
  </si>
  <si>
    <t>alinhamento / balanceamento</t>
  </si>
  <si>
    <t>Óleo do motor Todos os Filtros</t>
  </si>
  <si>
    <t>KIT</t>
  </si>
  <si>
    <t>Bieletas</t>
  </si>
  <si>
    <t>Pivô inferior</t>
  </si>
  <si>
    <t>Pivô Superior</t>
  </si>
  <si>
    <t>valor total podemos dividir p/ as 3 Empresas ( Matriz, Filial e Agroinvest ) 2 REVISÕES PARA CADA EMPRESA.</t>
  </si>
  <si>
    <t xml:space="preserve">Combustível </t>
  </si>
  <si>
    <t xml:space="preserve">Agroservice - Matriz </t>
  </si>
  <si>
    <t>LT</t>
  </si>
  <si>
    <t>Agroservice - Filial ( Granja )</t>
  </si>
  <si>
    <t>Agroinvest Ltda</t>
  </si>
  <si>
    <t xml:space="preserve">S10 compras e schu </t>
  </si>
  <si>
    <t>Carroll Serviços (serviços administrativos)</t>
  </si>
  <si>
    <t xml:space="preserve">Transporte confraternização </t>
  </si>
  <si>
    <t>BRL/USD</t>
  </si>
  <si>
    <t>Custo do ano anterior de produção - 2024</t>
  </si>
  <si>
    <t>SAFRA 23-24</t>
  </si>
  <si>
    <t>SAFRA 24-25</t>
  </si>
  <si>
    <t>Focu  Consultoria                     5X 9000</t>
  </si>
  <si>
    <t>Realizado 23-24</t>
  </si>
  <si>
    <t>Realizado 22-23</t>
  </si>
  <si>
    <t>U$$/há</t>
  </si>
  <si>
    <t>out</t>
  </si>
  <si>
    <t>jan</t>
  </si>
  <si>
    <t>Horas</t>
  </si>
  <si>
    <t>Valor unid</t>
  </si>
  <si>
    <t>Total R$</t>
  </si>
  <si>
    <t>Obs</t>
  </si>
  <si>
    <t>ORÇAMENTO BASE ZERO  ACFT SENECA V (PR-PME) /Meridian500</t>
  </si>
  <si>
    <t>40/h</t>
  </si>
  <si>
    <t>jeepson -Renovação assinatura garmim</t>
  </si>
  <si>
    <t>Valor aquisição Meridian</t>
  </si>
  <si>
    <t>Agroservice 50%</t>
  </si>
  <si>
    <t>REVISÃO 100/Hr</t>
  </si>
  <si>
    <t>REVISÃO 200/Hr</t>
  </si>
  <si>
    <t>Combustivel (querosene)</t>
  </si>
  <si>
    <t>REVISÃO 300/Hr</t>
  </si>
  <si>
    <t>Taxas Inframerica (pousos) + Decea (tarifa uso EP)</t>
  </si>
  <si>
    <t>Custo de peças durante as revisões de 100,200,300 horas</t>
  </si>
  <si>
    <t>Revisao pós safra</t>
  </si>
  <si>
    <t>revisão efetuada safra 23-24</t>
  </si>
  <si>
    <t xml:space="preserve">Escova limpa sensor </t>
  </si>
  <si>
    <t xml:space="preserve">CADEADO </t>
  </si>
  <si>
    <t>Garrafa termica 3 lt</t>
  </si>
  <si>
    <t xml:space="preserve">Canivete </t>
  </si>
  <si>
    <t>UND</t>
  </si>
  <si>
    <t>Moto bomba 2 tempo</t>
  </si>
  <si>
    <t>AVIÃO</t>
  </si>
  <si>
    <t>A contratar</t>
  </si>
  <si>
    <t>VAGNER</t>
  </si>
  <si>
    <t>a contratar</t>
  </si>
  <si>
    <t>Total AIR TRACTOR</t>
  </si>
  <si>
    <t>Ceneca (8 h de voo)</t>
  </si>
  <si>
    <t xml:space="preserve">Rolo faca </t>
  </si>
  <si>
    <t xml:space="preserve">4 viagens </t>
  </si>
  <si>
    <t>Silo beg</t>
  </si>
  <si>
    <t>Custo</t>
  </si>
  <si>
    <t>Nanci</t>
  </si>
  <si>
    <t>Joelson</t>
  </si>
  <si>
    <t>Agroinvest X BV</t>
  </si>
  <si>
    <t>Agroinvest x Cargil</t>
  </si>
  <si>
    <t xml:space="preserve">Agroinvest x Placas </t>
  </si>
  <si>
    <t>parafusos e buchas de parede</t>
  </si>
  <si>
    <t>Assente sanitario, lampada led, fita crepe</t>
  </si>
  <si>
    <t xml:space="preserve">Cilindro oxigenio </t>
  </si>
  <si>
    <t>Mangueira e conexões</t>
  </si>
  <si>
    <t xml:space="preserve">parafusos e porca travante </t>
  </si>
  <si>
    <t>Graxa blue</t>
  </si>
  <si>
    <t>veneno para rato</t>
  </si>
  <si>
    <t xml:space="preserve">oculos incorlar, antirrespingo </t>
  </si>
  <si>
    <t xml:space="preserve">Lamina e serra circular para cortar grama </t>
  </si>
  <si>
    <t xml:space="preserve">Plug femea </t>
  </si>
  <si>
    <t xml:space="preserve">bandeirinha marca teste </t>
  </si>
  <si>
    <t>papel toalha</t>
  </si>
  <si>
    <t xml:space="preserve">limpa contato, grafite spray,garrafa termica e perneira </t>
  </si>
  <si>
    <t xml:space="preserve">refil </t>
  </si>
  <si>
    <t xml:space="preserve">detergente,sabonete,espanador </t>
  </si>
  <si>
    <t xml:space="preserve">Calibrador </t>
  </si>
  <si>
    <t>lençol solteiro</t>
  </si>
  <si>
    <t>uniao de 1 azul</t>
  </si>
  <si>
    <t>mangueira succão, abracadeira e espuma expansiva</t>
  </si>
  <si>
    <t>antiferrugem, limpa contato,garrafa termica, veda calha e bico de limpeza</t>
  </si>
  <si>
    <t xml:space="preserve">porca e parafuso sextavado </t>
  </si>
  <si>
    <t xml:space="preserve">pilha palito </t>
  </si>
  <si>
    <t>Lanterna de cabeça</t>
  </si>
  <si>
    <t xml:space="preserve">Sifao para pias </t>
  </si>
  <si>
    <t xml:space="preserve">foice rocadeira e luva vaqueta </t>
  </si>
  <si>
    <t>Estopa, fita isolante, oculos de segurança , bontinas, conjunto aplicação</t>
  </si>
  <si>
    <t>canivete</t>
  </si>
  <si>
    <t>canivete zebu</t>
  </si>
  <si>
    <t>conjunto lubrifil da bomba de graxa</t>
  </si>
  <si>
    <t xml:space="preserve">botinas e bota pvc </t>
  </si>
  <si>
    <t xml:space="preserve">Mini pa </t>
  </si>
  <si>
    <t xml:space="preserve">peneira e trena </t>
  </si>
  <si>
    <t>mangueira hidraulica esta no estoque</t>
  </si>
  <si>
    <t>Mini lupa</t>
  </si>
  <si>
    <t>limpa contato ,alicate, conjunto motoqueiro</t>
  </si>
  <si>
    <t>selante</t>
  </si>
  <si>
    <t>cruzeta cardan luva deslizante</t>
  </si>
  <si>
    <t>intercap e solupan</t>
  </si>
  <si>
    <t xml:space="preserve">Pino </t>
  </si>
  <si>
    <t>Peçãs usadas na estalação da sirene nas maquinas e camionete</t>
  </si>
  <si>
    <t xml:space="preserve">Abracadeira, registros </t>
  </si>
  <si>
    <t>Alicate Rebitador</t>
  </si>
  <si>
    <t>Corda para os motor bomba</t>
  </si>
  <si>
    <t>cola junta</t>
  </si>
  <si>
    <t>luva e roupa para apicultutor</t>
  </si>
  <si>
    <t>marcador para qaudro branco</t>
  </si>
  <si>
    <t>mangueira de succao cristal azul</t>
  </si>
  <si>
    <t>porca 6mm</t>
  </si>
  <si>
    <t>Disco de corte e trincha</t>
  </si>
  <si>
    <t>Bocal conico, difusor de gas e porta bico</t>
  </si>
  <si>
    <t xml:space="preserve">Cartucho para impressora </t>
  </si>
  <si>
    <t>Plug macho e femea, botinas de segurançã, conjunto aplicação e cartucho</t>
  </si>
  <si>
    <t>estopa</t>
  </si>
  <si>
    <t xml:space="preserve">Valvula torneira </t>
  </si>
  <si>
    <t xml:space="preserve">Gas oxigenio </t>
  </si>
  <si>
    <t xml:space="preserve">Pregos </t>
  </si>
  <si>
    <t xml:space="preserve">soro fisiologico, sabao protex </t>
  </si>
  <si>
    <t>Rolamnetos</t>
  </si>
  <si>
    <t xml:space="preserve">Graxa mobil </t>
  </si>
  <si>
    <t>Oleo para motor 2 tempo</t>
  </si>
  <si>
    <t xml:space="preserve">cola vipal </t>
  </si>
  <si>
    <t>Silicone</t>
  </si>
  <si>
    <t xml:space="preserve">Tesoura caixa primeiros socorros </t>
  </si>
  <si>
    <t>Araldite e cola durepox</t>
  </si>
  <si>
    <t>spray verde</t>
  </si>
  <si>
    <t>Comjunto retratil</t>
  </si>
  <si>
    <t>chuveiro e torneira</t>
  </si>
  <si>
    <t>Filtro e fita 3m</t>
  </si>
  <si>
    <t>Solupan,intercap</t>
  </si>
  <si>
    <t xml:space="preserve">espuma expansiva </t>
  </si>
  <si>
    <t>cinta e catraca</t>
  </si>
  <si>
    <t>Gas mistura m3</t>
  </si>
  <si>
    <t>correia b 46</t>
  </si>
  <si>
    <t>chave de impacto e makita 18v</t>
  </si>
  <si>
    <t>Ração peixe</t>
  </si>
  <si>
    <t>Kit reparo e limitador de altura para corta grama</t>
  </si>
  <si>
    <t>marcarrão, fita isolante, disco desbate</t>
  </si>
  <si>
    <t xml:space="preserve">Bico de corte e parafusos </t>
  </si>
  <si>
    <t>peça para maquina de graxa</t>
  </si>
  <si>
    <t>Aditivo</t>
  </si>
  <si>
    <t>Chave de venda isolada e rele fotocelula</t>
  </si>
  <si>
    <t xml:space="preserve">Soquete sextavado e gravador </t>
  </si>
  <si>
    <t xml:space="preserve">Lima enxada </t>
  </si>
  <si>
    <t>porca e trava</t>
  </si>
  <si>
    <t>soquete impacto e adaptador</t>
  </si>
  <si>
    <t>Rolamentos para rolo faca</t>
  </si>
  <si>
    <t>OFICINA</t>
  </si>
  <si>
    <t xml:space="preserve">Lenha para secador 3 cargas </t>
  </si>
  <si>
    <t/>
  </si>
  <si>
    <t>Irrigation Well Totals</t>
  </si>
  <si>
    <t xml:space="preserve"> Beg Bal</t>
  </si>
  <si>
    <t>Shed 1 Totals</t>
  </si>
  <si>
    <t>Shed 2 Totals</t>
  </si>
  <si>
    <t>Shed 3 Totals</t>
  </si>
  <si>
    <t>Solar Project Totals</t>
  </si>
  <si>
    <t>Structures from Land Purchase Totals</t>
  </si>
  <si>
    <t>Water Tank 1 Totals</t>
  </si>
  <si>
    <t>Water Tank 2 Totals</t>
  </si>
  <si>
    <t>Water Tank 3 Totals</t>
  </si>
  <si>
    <t>Machinery &amp; Equipment</t>
  </si>
  <si>
    <t>2011 Honda NXR 150 KS OGW7606</t>
  </si>
  <si>
    <t>2011 Honda NXR 150 KS OGW7606 Totals</t>
  </si>
  <si>
    <t>2016/2017 Honda Moto PKK 1003</t>
  </si>
  <si>
    <t>2016/2017 Honda Moto PKK 1003 Totals</t>
  </si>
  <si>
    <t>2018 Descompactador Terrus</t>
  </si>
  <si>
    <t>2018 Descompactador Terrus Totals</t>
  </si>
  <si>
    <t>2019 F4000</t>
  </si>
  <si>
    <t>2019 F4000 Totals</t>
  </si>
  <si>
    <t>2021 Drybox 4040 DN Sprayer</t>
  </si>
  <si>
    <t>2021 Drybox 4040 DN Sprayer Totals</t>
  </si>
  <si>
    <t>2021 Leveling Disk Starplan</t>
  </si>
  <si>
    <t>2021 Leveling Disk Starplan Totals</t>
  </si>
  <si>
    <t>2023 Niveladora Tiller A30</t>
  </si>
  <si>
    <t>2023 Niveladora Tiller A30 Totals</t>
  </si>
  <si>
    <t>Boiler Totals</t>
  </si>
  <si>
    <t>DB Planter Com Taxa Variavel</t>
  </si>
  <si>
    <t>DB Planter Com Taxa Variavel Totals</t>
  </si>
  <si>
    <t>Diesel Tank</t>
  </si>
  <si>
    <t>Diesel Tank Totals</t>
  </si>
  <si>
    <t>Elevator Leg 1</t>
  </si>
  <si>
    <t>Elevator Leg 1 Totals</t>
  </si>
  <si>
    <t>Elevator Leg 2</t>
  </si>
  <si>
    <t>Elevator Leg 2 Totals</t>
  </si>
  <si>
    <t>Elevator Leg 3</t>
  </si>
  <si>
    <t>Elevator Leg 3 Totals</t>
  </si>
  <si>
    <t>Elevator Leg 4</t>
  </si>
  <si>
    <t>Elevator Leg 4 Totals</t>
  </si>
  <si>
    <t>Embutidora de Graos</t>
  </si>
  <si>
    <t>Embutidora de Graos Totals</t>
  </si>
  <si>
    <t>Esteira 1</t>
  </si>
  <si>
    <t>Esteira 1 Totals</t>
  </si>
  <si>
    <t>Esteira 2</t>
  </si>
  <si>
    <t>Esteira 2 Totals</t>
  </si>
  <si>
    <t>Esteira 3</t>
  </si>
  <si>
    <t>Esteira 3 Totals</t>
  </si>
  <si>
    <t>Extratora Silobolsa Outgrain22</t>
  </si>
  <si>
    <t>Extratora Silobolsa Outgrain22 Totals</t>
  </si>
  <si>
    <t>Fertilizer &amp; Seed Filler</t>
  </si>
  <si>
    <t>Fertilizer &amp; Seed Filler Totals</t>
  </si>
  <si>
    <t>Fiat Strada Hard Working 1.4</t>
  </si>
  <si>
    <t>Fiat Strada Hard Working 1.4 Totals</t>
  </si>
  <si>
    <t>Ford Cargo 2007</t>
  </si>
  <si>
    <t>Ford Cargo 2007 Totals</t>
  </si>
  <si>
    <t>Gerador Caterpillar</t>
  </si>
  <si>
    <t>Gerador Caterpillar Totals</t>
  </si>
  <si>
    <t>Grain Bin 1</t>
  </si>
  <si>
    <t>Grain Bin 1 Totals</t>
  </si>
  <si>
    <t>Grain Bin 2</t>
  </si>
  <si>
    <t>Grain Bin 2 Totals</t>
  </si>
  <si>
    <t>Grain Cleaner</t>
  </si>
  <si>
    <t>Grain Cleaner Totals</t>
  </si>
  <si>
    <t>Grain Dryer</t>
  </si>
  <si>
    <t>Grain Dryer Totals</t>
  </si>
  <si>
    <t>JD 4030 ano 2021</t>
  </si>
  <si>
    <t>JD 4030 ano 2021 Totals</t>
  </si>
  <si>
    <t>JD 5403 ano 2008</t>
  </si>
  <si>
    <t>JD 5403 ano 2008 Totals</t>
  </si>
  <si>
    <t>JD 8335R ano 2014</t>
  </si>
  <si>
    <t>JD 8335R ano 2014 Totals</t>
  </si>
  <si>
    <t>JD 8370R ano 2019</t>
  </si>
  <si>
    <t>JD 8370R ano 2019 Totals</t>
  </si>
  <si>
    <t>JD Plantadeira 20 Linhas C Kit</t>
  </si>
  <si>
    <t>JD Plantadeira 20 Linhas C Kit Totals</t>
  </si>
  <si>
    <t>Mobile Cafeteria</t>
  </si>
  <si>
    <t>Mobile Cafeteria Totals</t>
  </si>
  <si>
    <t>Mobile Generator</t>
  </si>
  <si>
    <t>Mobile Generator Totals</t>
  </si>
  <si>
    <t>Overhead Walkway</t>
  </si>
  <si>
    <t>Overhead Walkway Totals</t>
  </si>
  <si>
    <t>Pá Carregadeira XCMG 2024</t>
  </si>
  <si>
    <t>Pá Carregadeira XCMG 2024 Totals</t>
  </si>
  <si>
    <t>Pulverizador SafraJet Hidrauli</t>
  </si>
  <si>
    <t>Pulverizador SafraJet Hidrauli Totals</t>
  </si>
  <si>
    <t>Scale 18 m Totals</t>
  </si>
  <si>
    <t>Scale 30 m Totals</t>
  </si>
  <si>
    <t>Seed Treatment Machine</t>
  </si>
  <si>
    <t>Seed Treatment Machine Totals</t>
  </si>
  <si>
    <t>Estruturas</t>
  </si>
  <si>
    <t>SAFRA 25-26</t>
  </si>
  <si>
    <t>AMB (segurança) Consultoria e treinamento</t>
  </si>
  <si>
    <t>SWILE</t>
  </si>
  <si>
    <t>SWILE TEMPORÁRIOS</t>
  </si>
  <si>
    <t>Carnes + comida + sobremesa</t>
  </si>
  <si>
    <t>Van transporte</t>
  </si>
  <si>
    <t>Salgados</t>
  </si>
  <si>
    <t>Palestra/treinamento avulsos</t>
  </si>
  <si>
    <t>iremos manter?</t>
  </si>
  <si>
    <t>NICK</t>
  </si>
  <si>
    <t>Instituição de ensino Jovem Aprendiz (curso)</t>
  </si>
  <si>
    <t>Orçamento 2025/2026</t>
  </si>
  <si>
    <t>Aplicação Aerea</t>
  </si>
  <si>
    <t xml:space="preserve">Agroservice                                   1º fung soja  5.637                                                2º fung soja 5.637                                               3º fung  soja 5.637                                        4º Fung soja 5.637   5°micro/ins                                      1º ins milho 3.678                                      2º ins milho 3.678                                  3º ins milho 3.678                                         4º fun milho 3.678                                 5º fun milho 3.678   6º ins milho 3.678      7° ins milho       8°ins  milho            Agroinvest= 5000 ha </t>
  </si>
  <si>
    <t xml:space="preserve">Agroservice algodão 22 aplicação inseticida total 5280 Há fugincida 6 aplicação total 1440Ha     Agroinvest = 6000 há </t>
  </si>
  <si>
    <t>3500  mix de cobertura  pivõ 10 aplicações =1600</t>
  </si>
  <si>
    <t xml:space="preserve"> 3 aplicações inseticida Safrinha 1500</t>
  </si>
  <si>
    <t>AGROSERVICE   milho = 29424    soja=28.185    algodão=6.720    sorgo=1.500   pivô milho=1.600                 AGROINVEST=11.000             TOTAL=78.429</t>
  </si>
  <si>
    <t>Air tractor  B502</t>
  </si>
  <si>
    <t>Oleo Motor/turbina</t>
  </si>
  <si>
    <t>Mão de obra manutenção</t>
  </si>
  <si>
    <t>Peças revisão</t>
  </si>
  <si>
    <t>Filtro ar o par</t>
  </si>
  <si>
    <t>conjunto de bicos cp 11tt</t>
  </si>
  <si>
    <t xml:space="preserve">bomba eólica </t>
  </si>
  <si>
    <t>funil inox duas curvas</t>
  </si>
  <si>
    <t>Acessorios de aplicação</t>
  </si>
  <si>
    <t>Pincel para quadro branco</t>
  </si>
  <si>
    <t>uind</t>
  </si>
  <si>
    <t>Caixa caneta bic</t>
  </si>
  <si>
    <t>filtro de querosene</t>
  </si>
  <si>
    <t>unid</t>
  </si>
  <si>
    <t>bomba para graxa manual 7kg</t>
  </si>
  <si>
    <t>40/H</t>
  </si>
  <si>
    <t>TECNICO dosador</t>
  </si>
  <si>
    <t xml:space="preserve">dosador </t>
  </si>
  <si>
    <t>Salarios horas extras 50%</t>
  </si>
  <si>
    <t xml:space="preserve">dosador 1 </t>
  </si>
  <si>
    <t>Ivanilson</t>
  </si>
  <si>
    <t>Depr. Orçamento 25-26</t>
  </si>
  <si>
    <t>24-25</t>
  </si>
  <si>
    <t>Custo defensivos, adubo, e semente - 24/25</t>
  </si>
  <si>
    <t>Custo projetado de produção  25-26</t>
  </si>
  <si>
    <t>2025 - 2026 Safra</t>
  </si>
  <si>
    <t>2025-2026 (01 Outubro - 30 Setembro)</t>
  </si>
  <si>
    <t xml:space="preserve">Suino granja </t>
  </si>
  <si>
    <t>10/17/2025</t>
  </si>
  <si>
    <t>2:04 PM</t>
  </si>
  <si>
    <t>Fixed Asset Activity</t>
  </si>
  <si>
    <t>1/1/2025 to 12/31/2025</t>
  </si>
  <si>
    <t>Transaction Date</t>
  </si>
  <si>
    <t>Transaction Number</t>
  </si>
  <si>
    <t>Entry Screen</t>
  </si>
  <si>
    <t>Offset Account</t>
  </si>
  <si>
    <t>Book Value</t>
  </si>
  <si>
    <t>Accumulated Depreciation</t>
  </si>
  <si>
    <t>Depreciable Basis</t>
  </si>
  <si>
    <t>Valor Mercado 01/10/2024</t>
  </si>
  <si>
    <t>Valor Mercado 01/10/2025</t>
  </si>
  <si>
    <t>Depreciação Orçamento</t>
  </si>
  <si>
    <t>Depreciação Centerpoint 2025</t>
  </si>
  <si>
    <t>Buildings &amp; Improvements</t>
  </si>
  <si>
    <t xml:space="preserve">Buildings and Structures - </t>
  </si>
  <si>
    <t>Irrigation Well</t>
  </si>
  <si>
    <t>Shed 1</t>
  </si>
  <si>
    <t>Shed 2</t>
  </si>
  <si>
    <t>Shed 3</t>
  </si>
  <si>
    <t>Solar Project</t>
  </si>
  <si>
    <t>Structures from Land Purchase</t>
  </si>
  <si>
    <t>Water Tank 1</t>
  </si>
  <si>
    <t>Water Tank 2</t>
  </si>
  <si>
    <t>Water Tank 3</t>
  </si>
  <si>
    <t xml:space="preserve">Machinery and Equipment - </t>
  </si>
  <si>
    <t>Boiler</t>
  </si>
  <si>
    <t>Chevrolet S10 18/19 QOK8422</t>
  </si>
  <si>
    <t>Chevrolet S10 18/19 QOK8422 Totals</t>
  </si>
  <si>
    <t>F4000 2009 Branca JSA 0223</t>
  </si>
  <si>
    <t>F4000 2009 Branca JSA 0223 Totals</t>
  </si>
  <si>
    <t>Scale 18 m</t>
  </si>
  <si>
    <t>Scale 30 m</t>
  </si>
  <si>
    <t>total Centerpoint</t>
  </si>
  <si>
    <t>Report Options</t>
  </si>
  <si>
    <t>Equipamentos com taxa fixa</t>
  </si>
  <si>
    <t>Company: Agroinvest Ltda</t>
  </si>
  <si>
    <t>Equipamento valor mercado</t>
  </si>
  <si>
    <t>Trans Date: 1/1/2025 to 12/31/2025</t>
  </si>
  <si>
    <t>Display Beginning Balances: Yes</t>
  </si>
  <si>
    <t>Display Depreciation: Yes</t>
  </si>
  <si>
    <t>Depr. Orçamento 24-25 ATUAL</t>
  </si>
  <si>
    <t>Equipamentos valor mercado</t>
  </si>
  <si>
    <t>total atual 24-25</t>
  </si>
  <si>
    <t>custo/há orçado</t>
  </si>
  <si>
    <t>Custo/há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</si>
</sst>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;[Red]&quot;R$&quot;\ #,##0.00"/>
    <numFmt numFmtId="165" formatCode="_-[$R$-416]\ * #,##0.00_-;\-[$R$-416]\ * #,##0.00_-;_-[$R$-416]\ * &quot;-&quot;??_-;_-@_-"/>
    <numFmt numFmtId="166" formatCode="_(&quot;R$ &quot;* #,##0.00_);_(&quot;R$ &quot;* \(#,##0.00\);_(&quot;R$ &quot;* &quot;-&quot;??_);_(@_)"/>
    <numFmt numFmtId="167" formatCode="&quot;R$&quot;#,##0.00"/>
    <numFmt numFmtId="168" formatCode="_-&quot;R$&quot;* #,##0.00_-;\-&quot;R$&quot;* #,##0.00_-;_-&quot;R$&quot;* &quot;-&quot;??_-;_-@_-"/>
    <numFmt numFmtId="169" formatCode="_-[$R$-416]* #,##0.00_-;\-[$R$-416]* #,##0.00_-;_-[$R$-416]* &quot;-&quot;??_-;_-@_-"/>
    <numFmt numFmtId="170" formatCode="&quot;$&quot;#,##0.00"/>
    <numFmt numFmtId="171" formatCode="0.0"/>
    <numFmt numFmtId="172" formatCode="_-[$$-409]* #,##0.00_ ;_-[$$-409]* \-#,##0.00\ ;_-[$$-409]* &quot;-&quot;??_ ;_-@_ "/>
    <numFmt numFmtId="173" formatCode="&quot;R$&quot;\ #,##0.00"/>
    <numFmt numFmtId="174" formatCode="_-&quot;R$&quot;\ * #,##0.0_-;\-&quot;R$&quot;\ * #,##0.0_-;_-&quot;R$&quot;\ * &quot;-&quot;??_-;_-@_-"/>
    <numFmt numFmtId="175" formatCode="[$R$ -416]#,##0_);\([$R$ -416]#,##0\)"/>
    <numFmt numFmtId="176" formatCode="[$R$-416]\ #,##0"/>
    <numFmt numFmtId="177" formatCode="[$R$ -416]#,##0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_(* #,##0_);_(* \(#,##0\);_(* &quot;-&quot;??_);_(@_)"/>
    <numFmt numFmtId="181" formatCode="0.0%"/>
    <numFmt numFmtId="182" formatCode="_(* #,##0.0_);_(* \(#,##0.0\);_(* &quot;-&quot;??_);_(@_)"/>
    <numFmt numFmtId="183" formatCode="#,##0.0_);\(#,##0.0\)"/>
    <numFmt numFmtId="184" formatCode="_(&quot;$&quot;* #,##0.000_);_(&quot;$&quot;* \(#,##0.000\);_(&quot;$&quot;* &quot;-&quot;??_);_(@_)"/>
    <numFmt numFmtId="185" formatCode="[$R$ -416]#,##0.00"/>
    <numFmt numFmtId="186" formatCode="[$R$ -416]#,##0.00_);\([$R$ -416]#,##0.00\)"/>
    <numFmt numFmtId="187" formatCode="[$R$-416]\ #,##0.00"/>
    <numFmt numFmtId="188" formatCode="#,##0.0000"/>
    <numFmt numFmtId="189" formatCode="&quot;$&quot;#,##0"/>
    <numFmt numFmtId="190" formatCode="_(&quot;$&quot;* #,##0_);_(&quot;$&quot;* \(#,##0\);_(&quot;$&quot;* &quot;-&quot;??_);_(@_)"/>
    <numFmt numFmtId="191" formatCode="&quot;$&quot;#,##0.000"/>
    <numFmt numFmtId="192" formatCode="[$R$-416]\ #,##0.00;\-[$R$-416]\ #,##0.00"/>
    <numFmt numFmtId="193" formatCode="0.0%;\(0.0%\)"/>
    <numFmt numFmtId="194" formatCode="&quot;$&quot;#,##0.00_);\(&quot;$&quot;#,##0.00\)"/>
    <numFmt numFmtId="195" formatCode="_-* #,##0_-;\-* #,##0_-;_-* &quot;-&quot;??_-;_-@_-"/>
    <numFmt numFmtId="196" formatCode="&quot;R$&quot;\ #,##0.0000"/>
    <numFmt numFmtId="197" formatCode="[$R$ -416]#,##0.000_);\([$R$ -416]#,##0.000\)"/>
    <numFmt numFmtId="198" formatCode="[$-F800]dddd\,\ mmmm\ dd\,\ yyyy"/>
    <numFmt numFmtId="199" formatCode="[$-10409]m/d/yyyy"/>
    <numFmt numFmtId="200" formatCode="[$-10409]#,##0.00;\(#,##0.00\);#,##0.00"/>
    <numFmt numFmtId="201" formatCode="[$-10409]\$#,##0.00;\(\$#,##0.00\);\$#,##0.00"/>
  </numFmts>
  <fonts count="10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Verdana"/>
      <family val="2"/>
    </font>
    <font>
      <sz val="10"/>
      <name val="Arial"/>
      <family val="2"/>
    </font>
    <font>
      <sz val="10"/>
      <color indexed="0"/>
      <name val="Arial"/>
      <family val="2"/>
    </font>
    <font>
      <sz val="9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color indexed="10"/>
      <name val="Arial"/>
      <family val="2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sz val="10"/>
      <color rgb="FF0000FF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20"/>
      <color theme="1"/>
      <name val="Calibri"/>
      <family val="2"/>
      <scheme val="minor"/>
    </font>
    <font>
      <b/>
      <sz val="16"/>
      <name val="Arial"/>
      <family val="2"/>
    </font>
    <font>
      <sz val="16"/>
      <color theme="1"/>
      <name val="Calibri"/>
      <family val="2"/>
      <scheme val="minor"/>
    </font>
    <font>
      <b/>
      <sz val="12"/>
      <name val="Arial"/>
      <family val="2"/>
    </font>
    <font>
      <sz val="16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70C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Arial Black"/>
      <family val="2"/>
    </font>
    <font>
      <sz val="12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323232"/>
      <name val="Tahoma"/>
      <family val="2"/>
    </font>
    <font>
      <sz val="10"/>
      <color rgb="FF323232"/>
      <name val="Tahoma"/>
      <family val="2"/>
    </font>
    <font>
      <sz val="8"/>
      <color rgb="FF000000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u/>
      <sz val="12"/>
      <color rgb="FF222222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rgb="FF0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sz val="20"/>
      <color theme="1"/>
      <name val="Calibri"/>
      <family val="2"/>
      <scheme val="minor"/>
    </font>
    <font>
      <b/>
      <sz val="11.95"/>
      <color rgb="FF000000"/>
      <name val="Tahoma"/>
      <family val="2"/>
    </font>
    <font>
      <b/>
      <sz val="11"/>
      <color rgb="FF000000"/>
      <name val="Tahoma"/>
      <family val="2"/>
    </font>
    <font>
      <b/>
      <sz val="9"/>
      <color rgb="FF000000"/>
      <name val="Tahoma"/>
      <family val="2"/>
    </font>
    <font>
      <i/>
      <sz val="8"/>
      <color rgb="FF000000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27ACB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0" fontId="2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9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79" fontId="22" fillId="0" borderId="0" applyFont="0" applyFill="0" applyBorder="0" applyAlignment="0" applyProtection="0"/>
  </cellStyleXfs>
  <cellXfs count="13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44" fontId="0" fillId="0" borderId="0" xfId="2" applyFont="1"/>
    <xf numFmtId="44" fontId="4" fillId="0" borderId="0" xfId="2" applyFont="1"/>
    <xf numFmtId="0" fontId="4" fillId="0" borderId="0" xfId="0" applyFont="1"/>
    <xf numFmtId="0" fontId="9" fillId="0" borderId="6" xfId="0" applyFont="1" applyBorder="1"/>
    <xf numFmtId="0" fontId="2" fillId="0" borderId="7" xfId="0" applyFont="1" applyBorder="1" applyAlignment="1">
      <alignment wrapText="1"/>
    </xf>
    <xf numFmtId="165" fontId="3" fillId="0" borderId="8" xfId="0" applyNumberFormat="1" applyFont="1" applyBorder="1" applyAlignment="1">
      <alignment horizontal="center"/>
    </xf>
    <xf numFmtId="166" fontId="11" fillId="0" borderId="9" xfId="3" applyFont="1" applyFill="1" applyBorder="1"/>
    <xf numFmtId="0" fontId="0" fillId="0" borderId="0" xfId="0" applyAlignment="1">
      <alignment horizontal="center" vertical="center"/>
    </xf>
    <xf numFmtId="166" fontId="0" fillId="0" borderId="10" xfId="3" applyFont="1" applyFill="1" applyBorder="1"/>
    <xf numFmtId="0" fontId="0" fillId="0" borderId="11" xfId="0" applyBorder="1"/>
    <xf numFmtId="165" fontId="2" fillId="0" borderId="8" xfId="0" applyNumberFormat="1" applyFont="1" applyBorder="1"/>
    <xf numFmtId="14" fontId="0" fillId="0" borderId="14" xfId="0" applyNumberFormat="1" applyBorder="1"/>
    <xf numFmtId="165" fontId="0" fillId="0" borderId="15" xfId="0" applyNumberFormat="1" applyBorder="1"/>
    <xf numFmtId="14" fontId="0" fillId="0" borderId="16" xfId="0" applyNumberFormat="1" applyBorder="1"/>
    <xf numFmtId="14" fontId="0" fillId="0" borderId="1" xfId="0" applyNumberFormat="1" applyBorder="1"/>
    <xf numFmtId="14" fontId="0" fillId="0" borderId="0" xfId="0" applyNumberFormat="1"/>
    <xf numFmtId="0" fontId="14" fillId="5" borderId="1" xfId="0" applyFont="1" applyFill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2" fillId="5" borderId="2" xfId="0" applyFont="1" applyFill="1" applyBorder="1"/>
    <xf numFmtId="0" fontId="0" fillId="5" borderId="19" xfId="0" applyFill="1" applyBorder="1" applyAlignment="1">
      <alignment horizontal="center"/>
    </xf>
    <xf numFmtId="0" fontId="2" fillId="5" borderId="21" xfId="0" applyFont="1" applyFill="1" applyBorder="1"/>
    <xf numFmtId="0" fontId="2" fillId="5" borderId="22" xfId="0" applyFon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center"/>
    </xf>
    <xf numFmtId="44" fontId="1" fillId="5" borderId="0" xfId="2" applyFont="1" applyFill="1" applyBorder="1" applyAlignment="1">
      <alignment horizontal="center"/>
    </xf>
    <xf numFmtId="0" fontId="0" fillId="5" borderId="0" xfId="0" applyFill="1"/>
    <xf numFmtId="44" fontId="0" fillId="5" borderId="0" xfId="2" applyFont="1" applyFill="1" applyBorder="1" applyAlignment="1">
      <alignment horizontal="center"/>
    </xf>
    <xf numFmtId="44" fontId="0" fillId="5" borderId="0" xfId="2" applyFont="1" applyFill="1" applyBorder="1"/>
    <xf numFmtId="44" fontId="0" fillId="0" borderId="0" xfId="2" applyFont="1" applyFill="1"/>
    <xf numFmtId="0" fontId="2" fillId="9" borderId="2" xfId="0" applyFont="1" applyFill="1" applyBorder="1"/>
    <xf numFmtId="0" fontId="2" fillId="9" borderId="19" xfId="0" applyFont="1" applyFill="1" applyBorder="1" applyAlignment="1">
      <alignment horizontal="center"/>
    </xf>
    <xf numFmtId="44" fontId="0" fillId="9" borderId="0" xfId="0" applyNumberFormat="1" applyFill="1"/>
    <xf numFmtId="0" fontId="0" fillId="9" borderId="0" xfId="0" applyFill="1"/>
    <xf numFmtId="0" fontId="0" fillId="9" borderId="0" xfId="0" applyFill="1" applyAlignment="1">
      <alignment horizontal="center"/>
    </xf>
    <xf numFmtId="167" fontId="0" fillId="9" borderId="0" xfId="0" applyNumberFormat="1" applyFill="1" applyAlignment="1">
      <alignment horizontal="center"/>
    </xf>
    <xf numFmtId="0" fontId="0" fillId="9" borderId="0" xfId="0" applyFill="1" applyAlignment="1">
      <alignment horizontal="right"/>
    </xf>
    <xf numFmtId="0" fontId="15" fillId="9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2" fontId="0" fillId="9" borderId="0" xfId="0" applyNumberFormat="1" applyFill="1" applyAlignment="1">
      <alignment horizontal="center"/>
    </xf>
    <xf numFmtId="0" fontId="2" fillId="0" borderId="21" xfId="0" applyFont="1" applyBorder="1"/>
    <xf numFmtId="0" fontId="0" fillId="0" borderId="22" xfId="0" applyBorder="1" applyAlignment="1">
      <alignment horizontal="center"/>
    </xf>
    <xf numFmtId="0" fontId="4" fillId="9" borderId="0" xfId="0" applyFont="1" applyFill="1" applyAlignment="1">
      <alignment horizontal="right"/>
    </xf>
    <xf numFmtId="167" fontId="4" fillId="9" borderId="0" xfId="2" applyNumberFormat="1" applyFont="1" applyFill="1" applyAlignment="1">
      <alignment horizontal="center"/>
    </xf>
    <xf numFmtId="0" fontId="2" fillId="5" borderId="6" xfId="0" applyFont="1" applyFill="1" applyBorder="1"/>
    <xf numFmtId="0" fontId="0" fillId="5" borderId="7" xfId="0" applyFill="1" applyBorder="1" applyAlignment="1">
      <alignment horizontal="center"/>
    </xf>
    <xf numFmtId="44" fontId="0" fillId="5" borderId="8" xfId="2" applyFont="1" applyFill="1" applyBorder="1"/>
    <xf numFmtId="0" fontId="2" fillId="5" borderId="25" xfId="0" applyFont="1" applyFill="1" applyBorder="1"/>
    <xf numFmtId="167" fontId="0" fillId="2" borderId="24" xfId="2" applyNumberFormat="1" applyFont="1" applyFill="1" applyBorder="1"/>
    <xf numFmtId="0" fontId="0" fillId="5" borderId="9" xfId="0" applyFill="1" applyBorder="1"/>
    <xf numFmtId="44" fontId="0" fillId="5" borderId="10" xfId="2" applyFont="1" applyFill="1" applyBorder="1"/>
    <xf numFmtId="0" fontId="2" fillId="5" borderId="26" xfId="0" applyFont="1" applyFill="1" applyBorder="1"/>
    <xf numFmtId="0" fontId="2" fillId="5" borderId="27" xfId="0" applyFont="1" applyFill="1" applyBorder="1" applyAlignment="1">
      <alignment horizontal="center"/>
    </xf>
    <xf numFmtId="0" fontId="12" fillId="5" borderId="9" xfId="0" applyFont="1" applyFill="1" applyBorder="1"/>
    <xf numFmtId="0" fontId="12" fillId="5" borderId="0" xfId="0" applyFont="1" applyFill="1" applyAlignment="1">
      <alignment horizontal="center"/>
    </xf>
    <xf numFmtId="44" fontId="12" fillId="5" borderId="10" xfId="2" applyFont="1" applyFill="1" applyBorder="1"/>
    <xf numFmtId="0" fontId="2" fillId="0" borderId="26" xfId="0" applyFont="1" applyBorder="1"/>
    <xf numFmtId="0" fontId="2" fillId="0" borderId="27" xfId="0" applyFont="1" applyBorder="1" applyAlignment="1">
      <alignment horizontal="center"/>
    </xf>
    <xf numFmtId="165" fontId="0" fillId="0" borderId="0" xfId="0" applyNumberFormat="1"/>
    <xf numFmtId="0" fontId="0" fillId="5" borderId="27" xfId="0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167" fontId="2" fillId="5" borderId="29" xfId="2" applyNumberFormat="1" applyFont="1" applyFill="1" applyBorder="1" applyAlignment="1">
      <alignment horizontal="center"/>
    </xf>
    <xf numFmtId="168" fontId="0" fillId="0" borderId="0" xfId="0" applyNumberFormat="1"/>
    <xf numFmtId="0" fontId="0" fillId="0" borderId="9" xfId="0" applyBorder="1"/>
    <xf numFmtId="44" fontId="0" fillId="0" borderId="10" xfId="2" applyFont="1" applyBorder="1"/>
    <xf numFmtId="167" fontId="0" fillId="5" borderId="0" xfId="0" applyNumberFormat="1" applyFill="1"/>
    <xf numFmtId="44" fontId="0" fillId="0" borderId="0" xfId="0" applyNumberFormat="1"/>
    <xf numFmtId="0" fontId="0" fillId="5" borderId="11" xfId="0" applyFill="1" applyBorder="1"/>
    <xf numFmtId="0" fontId="0" fillId="5" borderId="12" xfId="0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7" fontId="0" fillId="0" borderId="8" xfId="2" applyNumberFormat="1" applyFont="1" applyFill="1" applyBorder="1"/>
    <xf numFmtId="0" fontId="16" fillId="5" borderId="0" xfId="0" applyFont="1" applyFill="1" applyAlignment="1">
      <alignment horizontal="center"/>
    </xf>
    <xf numFmtId="0" fontId="17" fillId="5" borderId="0" xfId="0" applyFont="1" applyFill="1"/>
    <xf numFmtId="167" fontId="0" fillId="0" borderId="10" xfId="2" applyNumberFormat="1" applyFont="1" applyFill="1" applyBorder="1"/>
    <xf numFmtId="0" fontId="2" fillId="5" borderId="11" xfId="0" applyFont="1" applyFill="1" applyBorder="1"/>
    <xf numFmtId="0" fontId="2" fillId="5" borderId="12" xfId="0" applyFont="1" applyFill="1" applyBorder="1" applyAlignment="1">
      <alignment horizontal="center"/>
    </xf>
    <xf numFmtId="0" fontId="2" fillId="2" borderId="25" xfId="0" applyFont="1" applyFill="1" applyBorder="1"/>
    <xf numFmtId="0" fontId="2" fillId="2" borderId="0" xfId="0" applyFont="1" applyFill="1" applyAlignment="1">
      <alignment horizontal="center"/>
    </xf>
    <xf numFmtId="0" fontId="2" fillId="0" borderId="2" xfId="0" applyFont="1" applyBorder="1"/>
    <xf numFmtId="0" fontId="2" fillId="0" borderId="19" xfId="0" applyFont="1" applyBorder="1" applyAlignment="1">
      <alignment horizontal="center"/>
    </xf>
    <xf numFmtId="0" fontId="0" fillId="10" borderId="0" xfId="0" applyFill="1" applyAlignment="1">
      <alignment horizontal="center"/>
    </xf>
    <xf numFmtId="165" fontId="0" fillId="5" borderId="0" xfId="0" applyNumberFormat="1" applyFill="1"/>
    <xf numFmtId="167" fontId="0" fillId="0" borderId="24" xfId="2" applyNumberFormat="1" applyFont="1" applyFill="1" applyBorder="1"/>
    <xf numFmtId="0" fontId="0" fillId="5" borderId="25" xfId="0" applyFill="1" applyBorder="1"/>
    <xf numFmtId="167" fontId="0" fillId="0" borderId="23" xfId="2" applyNumberFormat="1" applyFont="1" applyFill="1" applyBorder="1"/>
    <xf numFmtId="0" fontId="0" fillId="2" borderId="0" xfId="0" applyFill="1"/>
    <xf numFmtId="2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44" fontId="0" fillId="0" borderId="20" xfId="0" applyNumberFormat="1" applyBorder="1"/>
    <xf numFmtId="44" fontId="0" fillId="5" borderId="23" xfId="2" applyFont="1" applyFill="1" applyBorder="1"/>
    <xf numFmtId="44" fontId="1" fillId="5" borderId="24" xfId="2" applyFont="1" applyFill="1" applyBorder="1"/>
    <xf numFmtId="0" fontId="18" fillId="0" borderId="0" xfId="0" applyFont="1" applyAlignment="1">
      <alignment horizontal="center"/>
    </xf>
    <xf numFmtId="0" fontId="0" fillId="0" borderId="25" xfId="0" applyBorder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5" borderId="30" xfId="0" applyFont="1" applyFill="1" applyBorder="1"/>
    <xf numFmtId="0" fontId="2" fillId="5" borderId="31" xfId="0" applyFont="1" applyFill="1" applyBorder="1" applyAlignment="1">
      <alignment horizontal="center"/>
    </xf>
    <xf numFmtId="168" fontId="20" fillId="0" borderId="0" xfId="5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/>
    </xf>
    <xf numFmtId="0" fontId="0" fillId="5" borderId="30" xfId="0" applyFill="1" applyBorder="1"/>
    <xf numFmtId="0" fontId="0" fillId="5" borderId="31" xfId="0" applyFill="1" applyBorder="1" applyAlignment="1">
      <alignment horizontal="center"/>
    </xf>
    <xf numFmtId="0" fontId="0" fillId="0" borderId="19" xfId="0" applyBorder="1" applyAlignment="1">
      <alignment horizontal="center"/>
    </xf>
    <xf numFmtId="169" fontId="0" fillId="0" borderId="0" xfId="0" applyNumberFormat="1"/>
    <xf numFmtId="0" fontId="4" fillId="0" borderId="1" xfId="0" applyFont="1" applyBorder="1" applyAlignment="1" applyProtection="1">
      <alignment horizontal="left" vertical="top"/>
      <protection locked="0"/>
    </xf>
    <xf numFmtId="0" fontId="4" fillId="2" borderId="1" xfId="0" applyFont="1" applyFill="1" applyBorder="1" applyAlignment="1">
      <alignment horizontal="center"/>
    </xf>
    <xf numFmtId="44" fontId="0" fillId="0" borderId="0" xfId="2" applyFont="1" applyFill="1" applyBorder="1"/>
    <xf numFmtId="0" fontId="4" fillId="2" borderId="1" xfId="0" applyFont="1" applyFill="1" applyBorder="1" applyAlignment="1" applyProtection="1">
      <alignment horizontal="left" vertical="top"/>
      <protection locked="0"/>
    </xf>
    <xf numFmtId="0" fontId="22" fillId="0" borderId="0" xfId="6" applyFont="1" applyAlignment="1">
      <alignment horizontal="left" vertical="top"/>
    </xf>
    <xf numFmtId="0" fontId="21" fillId="0" borderId="0" xfId="6" applyAlignment="1">
      <alignment horizontal="left" vertical="top"/>
    </xf>
    <xf numFmtId="0" fontId="3" fillId="7" borderId="1" xfId="0" applyFont="1" applyFill="1" applyBorder="1"/>
    <xf numFmtId="0" fontId="3" fillId="7" borderId="1" xfId="2" applyNumberFormat="1" applyFont="1" applyFill="1" applyBorder="1" applyAlignment="1">
      <alignment horizontal="center"/>
    </xf>
    <xf numFmtId="44" fontId="3" fillId="7" borderId="1" xfId="2" applyFont="1" applyFill="1" applyBorder="1"/>
    <xf numFmtId="0" fontId="3" fillId="7" borderId="1" xfId="0" applyFont="1" applyFill="1" applyBorder="1" applyAlignment="1" applyProtection="1">
      <alignment horizontal="left" vertical="top"/>
      <protection locked="0"/>
    </xf>
    <xf numFmtId="0" fontId="3" fillId="2" borderId="0" xfId="0" applyFont="1" applyFill="1"/>
    <xf numFmtId="44" fontId="0" fillId="2" borderId="13" xfId="2" applyFont="1" applyFill="1" applyBorder="1"/>
    <xf numFmtId="0" fontId="0" fillId="0" borderId="12" xfId="0" applyBorder="1" applyAlignment="1">
      <alignment horizontal="center"/>
    </xf>
    <xf numFmtId="0" fontId="0" fillId="6" borderId="1" xfId="0" applyFill="1" applyBorder="1"/>
    <xf numFmtId="0" fontId="0" fillId="0" borderId="1" xfId="0" applyBorder="1"/>
    <xf numFmtId="44" fontId="0" fillId="0" borderId="1" xfId="2" applyFont="1" applyBorder="1"/>
    <xf numFmtId="0" fontId="0" fillId="0" borderId="1" xfId="0" applyBorder="1" applyAlignment="1">
      <alignment horizontal="center"/>
    </xf>
    <xf numFmtId="0" fontId="0" fillId="12" borderId="1" xfId="0" applyFill="1" applyBorder="1"/>
    <xf numFmtId="0" fontId="0" fillId="5" borderId="1" xfId="0" applyFill="1" applyBorder="1"/>
    <xf numFmtId="0" fontId="11" fillId="0" borderId="0" xfId="0" applyFont="1" applyAlignment="1">
      <alignment horizontal="center"/>
    </xf>
    <xf numFmtId="0" fontId="11" fillId="0" borderId="0" xfId="0" applyFont="1"/>
    <xf numFmtId="44" fontId="11" fillId="0" borderId="0" xfId="0" applyNumberFormat="1" applyFont="1"/>
    <xf numFmtId="44" fontId="11" fillId="0" borderId="0" xfId="2" applyFont="1"/>
    <xf numFmtId="170" fontId="31" fillId="0" borderId="0" xfId="0" applyNumberFormat="1" applyFont="1"/>
    <xf numFmtId="170" fontId="0" fillId="0" borderId="0" xfId="0" applyNumberFormat="1"/>
    <xf numFmtId="43" fontId="0" fillId="0" borderId="0" xfId="1" applyFont="1" applyFill="1"/>
    <xf numFmtId="10" fontId="0" fillId="0" borderId="0" xfId="0" applyNumberFormat="1"/>
    <xf numFmtId="0" fontId="0" fillId="0" borderId="12" xfId="0" applyBorder="1"/>
    <xf numFmtId="172" fontId="0" fillId="0" borderId="0" xfId="0" applyNumberFormat="1"/>
    <xf numFmtId="172" fontId="2" fillId="11" borderId="0" xfId="0" applyNumberFormat="1" applyFont="1" applyFill="1"/>
    <xf numFmtId="172" fontId="0" fillId="11" borderId="0" xfId="0" applyNumberFormat="1" applyFill="1"/>
    <xf numFmtId="172" fontId="2" fillId="14" borderId="0" xfId="0" applyNumberFormat="1" applyFont="1" applyFill="1"/>
    <xf numFmtId="172" fontId="0" fillId="14" borderId="0" xfId="0" applyNumberFormat="1" applyFill="1"/>
    <xf numFmtId="0" fontId="0" fillId="11" borderId="0" xfId="0" applyFill="1"/>
    <xf numFmtId="172" fontId="0" fillId="11" borderId="0" xfId="1" applyNumberFormat="1" applyFont="1" applyFill="1"/>
    <xf numFmtId="172" fontId="0" fillId="14" borderId="0" xfId="2" applyNumberFormat="1" applyFont="1" applyFill="1"/>
    <xf numFmtId="172" fontId="0" fillId="0" borderId="10" xfId="0" applyNumberFormat="1" applyBorder="1"/>
    <xf numFmtId="172" fontId="0" fillId="5" borderId="0" xfId="0" applyNumberFormat="1" applyFill="1"/>
    <xf numFmtId="2" fontId="0" fillId="0" borderId="0" xfId="0" applyNumberFormat="1"/>
    <xf numFmtId="165" fontId="0" fillId="0" borderId="10" xfId="0" applyNumberFormat="1" applyBorder="1"/>
    <xf numFmtId="0" fontId="12" fillId="0" borderId="0" xfId="0" applyFont="1" applyAlignment="1">
      <alignment horizontal="center"/>
    </xf>
    <xf numFmtId="0" fontId="0" fillId="4" borderId="21" xfId="0" applyFill="1" applyBorder="1"/>
    <xf numFmtId="0" fontId="0" fillId="4" borderId="22" xfId="8" applyNumberFormat="1" applyFont="1" applyFill="1" applyBorder="1" applyAlignment="1">
      <alignment horizontal="center"/>
    </xf>
    <xf numFmtId="44" fontId="32" fillId="4" borderId="22" xfId="2" applyFont="1" applyFill="1" applyBorder="1" applyAlignment="1">
      <alignment horizontal="center"/>
    </xf>
    <xf numFmtId="0" fontId="0" fillId="4" borderId="23" xfId="0" applyFill="1" applyBorder="1"/>
    <xf numFmtId="0" fontId="0" fillId="4" borderId="25" xfId="0" applyFill="1" applyBorder="1"/>
    <xf numFmtId="0" fontId="0" fillId="4" borderId="0" xfId="0" applyFill="1" applyAlignment="1">
      <alignment horizontal="center"/>
    </xf>
    <xf numFmtId="44" fontId="12" fillId="2" borderId="24" xfId="2" applyFont="1" applyFill="1" applyBorder="1"/>
    <xf numFmtId="0" fontId="0" fillId="4" borderId="6" xfId="0" applyFill="1" applyBorder="1"/>
    <xf numFmtId="44" fontId="33" fillId="4" borderId="33" xfId="2" applyFont="1" applyFill="1" applyBorder="1"/>
    <xf numFmtId="0" fontId="0" fillId="0" borderId="10" xfId="0" applyBorder="1" applyAlignment="1">
      <alignment horizontal="center"/>
    </xf>
    <xf numFmtId="3" fontId="0" fillId="0" borderId="0" xfId="0" applyNumberFormat="1" applyAlignment="1">
      <alignment horizontal="center"/>
    </xf>
    <xf numFmtId="16" fontId="0" fillId="0" borderId="9" xfId="0" applyNumberFormat="1" applyBorder="1"/>
    <xf numFmtId="3" fontId="0" fillId="0" borderId="34" xfId="0" applyNumberFormat="1" applyBorder="1" applyAlignment="1">
      <alignment horizontal="center"/>
    </xf>
    <xf numFmtId="44" fontId="0" fillId="5" borderId="13" xfId="0" applyNumberFormat="1" applyFill="1" applyBorder="1"/>
    <xf numFmtId="0" fontId="0" fillId="0" borderId="9" xfId="0" applyBorder="1" applyAlignment="1">
      <alignment horizontal="center"/>
    </xf>
    <xf numFmtId="44" fontId="0" fillId="0" borderId="10" xfId="0" applyNumberFormat="1" applyBorder="1"/>
    <xf numFmtId="44" fontId="0" fillId="0" borderId="0" xfId="2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168" fontId="0" fillId="0" borderId="13" xfId="0" applyNumberFormat="1" applyBorder="1"/>
    <xf numFmtId="0" fontId="0" fillId="15" borderId="0" xfId="0" applyFill="1" applyAlignment="1">
      <alignment horizontal="center"/>
    </xf>
    <xf numFmtId="168" fontId="0" fillId="15" borderId="0" xfId="0" applyNumberFormat="1" applyFill="1" applyAlignment="1">
      <alignment horizontal="center"/>
    </xf>
    <xf numFmtId="0" fontId="33" fillId="16" borderId="0" xfId="0" applyFont="1" applyFill="1"/>
    <xf numFmtId="44" fontId="33" fillId="16" borderId="0" xfId="0" applyNumberFormat="1" applyFont="1" applyFill="1"/>
    <xf numFmtId="0" fontId="11" fillId="0" borderId="1" xfId="0" applyFont="1" applyBorder="1"/>
    <xf numFmtId="44" fontId="11" fillId="0" borderId="1" xfId="2" applyFont="1" applyBorder="1"/>
    <xf numFmtId="165" fontId="0" fillId="2" borderId="0" xfId="0" applyNumberFormat="1" applyFill="1"/>
    <xf numFmtId="172" fontId="2" fillId="17" borderId="0" xfId="0" applyNumberFormat="1" applyFont="1" applyFill="1"/>
    <xf numFmtId="172" fontId="0" fillId="17" borderId="0" xfId="0" applyNumberFormat="1" applyFill="1"/>
    <xf numFmtId="172" fontId="0" fillId="17" borderId="0" xfId="2" applyNumberFormat="1" applyFont="1" applyFill="1"/>
    <xf numFmtId="172" fontId="0" fillId="17" borderId="0" xfId="2" applyNumberFormat="1" applyFont="1" applyFill="1" applyAlignment="1">
      <alignment horizontal="right"/>
    </xf>
    <xf numFmtId="172" fontId="0" fillId="17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3" borderId="0" xfId="0" applyFill="1"/>
    <xf numFmtId="173" fontId="0" fillId="3" borderId="0" xfId="0" applyNumberFormat="1" applyFill="1"/>
    <xf numFmtId="0" fontId="34" fillId="0" borderId="0" xfId="0" applyFont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44" fontId="34" fillId="2" borderId="0" xfId="2" applyFont="1" applyFill="1" applyBorder="1" applyAlignment="1">
      <alignment horizontal="center" vertical="center"/>
    </xf>
    <xf numFmtId="44" fontId="34" fillId="2" borderId="0" xfId="2" applyFont="1" applyFill="1" applyBorder="1"/>
    <xf numFmtId="44" fontId="11" fillId="0" borderId="0" xfId="2" applyFont="1" applyFill="1" applyBorder="1"/>
    <xf numFmtId="167" fontId="11" fillId="0" borderId="0" xfId="2" applyNumberFormat="1" applyFont="1" applyFill="1"/>
    <xf numFmtId="167" fontId="11" fillId="0" borderId="0" xfId="2" applyNumberFormat="1" applyFont="1" applyFill="1" applyAlignment="1"/>
    <xf numFmtId="165" fontId="11" fillId="0" borderId="0" xfId="0" applyNumberFormat="1" applyFont="1"/>
    <xf numFmtId="175" fontId="35" fillId="0" borderId="0" xfId="7" applyNumberFormat="1" applyFont="1" applyFill="1" applyBorder="1" applyAlignment="1">
      <alignment horizontal="right" indent="1"/>
    </xf>
    <xf numFmtId="168" fontId="11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37" fillId="0" borderId="7" xfId="7" applyFont="1" applyBorder="1" applyAlignment="1">
      <alignment horizontal="center"/>
    </xf>
    <xf numFmtId="0" fontId="23" fillId="0" borderId="8" xfId="7" applyBorder="1"/>
    <xf numFmtId="0" fontId="23" fillId="0" borderId="0" xfId="7"/>
    <xf numFmtId="0" fontId="23" fillId="0" borderId="0" xfId="7" applyFill="1" applyBorder="1"/>
    <xf numFmtId="0" fontId="37" fillId="0" borderId="0" xfId="7" applyFont="1" applyBorder="1" applyAlignment="1">
      <alignment horizontal="center"/>
    </xf>
    <xf numFmtId="0" fontId="23" fillId="0" borderId="10" xfId="7" applyBorder="1"/>
    <xf numFmtId="176" fontId="23" fillId="0" borderId="0" xfId="7" applyNumberFormat="1"/>
    <xf numFmtId="9" fontId="23" fillId="0" borderId="0" xfId="7" applyNumberFormat="1"/>
    <xf numFmtId="171" fontId="22" fillId="0" borderId="0" xfId="7" applyNumberFormat="1" applyFont="1"/>
    <xf numFmtId="0" fontId="38" fillId="0" borderId="9" xfId="7" applyFont="1" applyBorder="1" applyAlignment="1">
      <alignment horizontal="left"/>
    </xf>
    <xf numFmtId="0" fontId="22" fillId="0" borderId="0" xfId="7" applyFont="1" applyFill="1" applyBorder="1" applyAlignment="1">
      <alignment horizontal="center"/>
    </xf>
    <xf numFmtId="177" fontId="22" fillId="0" borderId="0" xfId="7" applyNumberFormat="1" applyFont="1" applyBorder="1"/>
    <xf numFmtId="10" fontId="22" fillId="0" borderId="0" xfId="12" applyNumberFormat="1" applyFont="1" applyBorder="1"/>
    <xf numFmtId="176" fontId="39" fillId="0" borderId="0" xfId="7" applyNumberFormat="1" applyFont="1"/>
    <xf numFmtId="9" fontId="39" fillId="0" borderId="0" xfId="7" applyNumberFormat="1" applyFont="1"/>
    <xf numFmtId="171" fontId="39" fillId="0" borderId="0" xfId="7" applyNumberFormat="1" applyFont="1"/>
    <xf numFmtId="0" fontId="22" fillId="0" borderId="9" xfId="7" applyFont="1" applyBorder="1"/>
    <xf numFmtId="0" fontId="22" fillId="0" borderId="0" xfId="7" applyFont="1" applyBorder="1"/>
    <xf numFmtId="0" fontId="28" fillId="0" borderId="31" xfId="7" applyFont="1" applyBorder="1" applyAlignment="1">
      <alignment horizontal="center"/>
    </xf>
    <xf numFmtId="177" fontId="28" fillId="0" borderId="0" xfId="7" applyNumberFormat="1" applyFont="1" applyBorder="1" applyAlignment="1">
      <alignment horizontal="right" indent="1"/>
    </xf>
    <xf numFmtId="0" fontId="28" fillId="0" borderId="0" xfId="7" applyFont="1" applyBorder="1" applyAlignment="1">
      <alignment horizontal="center"/>
    </xf>
    <xf numFmtId="0" fontId="22" fillId="0" borderId="0" xfId="7" applyFont="1" applyBorder="1" applyAlignment="1">
      <alignment horizontal="right" indent="1"/>
    </xf>
    <xf numFmtId="0" fontId="28" fillId="0" borderId="31" xfId="7" applyFont="1" applyBorder="1" applyAlignment="1">
      <alignment horizontal="right" indent="1"/>
    </xf>
    <xf numFmtId="0" fontId="28" fillId="0" borderId="0" xfId="7" applyFont="1" applyBorder="1" applyAlignment="1">
      <alignment horizontal="right" indent="1"/>
    </xf>
    <xf numFmtId="9" fontId="23" fillId="0" borderId="0" xfId="7" applyNumberFormat="1" applyAlignment="1">
      <alignment horizontal="right"/>
    </xf>
    <xf numFmtId="171" fontId="23" fillId="0" borderId="0" xfId="7" applyNumberFormat="1"/>
    <xf numFmtId="9" fontId="22" fillId="0" borderId="0" xfId="10" applyFont="1"/>
    <xf numFmtId="0" fontId="36" fillId="0" borderId="0" xfId="0" applyFont="1"/>
    <xf numFmtId="37" fontId="28" fillId="0" borderId="0" xfId="13" applyNumberFormat="1" applyFont="1" applyBorder="1" applyAlignment="1">
      <alignment horizontal="right" indent="1"/>
    </xf>
    <xf numFmtId="180" fontId="28" fillId="0" borderId="0" xfId="7" applyNumberFormat="1" applyFont="1" applyBorder="1" applyAlignment="1">
      <alignment horizontal="right" indent="1"/>
    </xf>
    <xf numFmtId="180" fontId="28" fillId="0" borderId="0" xfId="13" applyNumberFormat="1" applyFont="1" applyBorder="1" applyAlignment="1">
      <alignment horizontal="right" indent="1"/>
    </xf>
    <xf numFmtId="0" fontId="28" fillId="0" borderId="0" xfId="7" applyFont="1"/>
    <xf numFmtId="0" fontId="22" fillId="0" borderId="0" xfId="7" applyFont="1" applyFill="1" applyBorder="1"/>
    <xf numFmtId="181" fontId="24" fillId="0" borderId="0" xfId="12" applyNumberFormat="1" applyFont="1" applyBorder="1" applyAlignment="1">
      <alignment horizontal="right" indent="1"/>
    </xf>
    <xf numFmtId="177" fontId="24" fillId="0" borderId="0" xfId="7" applyNumberFormat="1" applyFont="1" applyBorder="1" applyAlignment="1">
      <alignment horizontal="right" indent="1"/>
    </xf>
    <xf numFmtId="10" fontId="24" fillId="0" borderId="0" xfId="12" applyNumberFormat="1" applyFont="1" applyBorder="1" applyAlignment="1">
      <alignment horizontal="right" indent="1"/>
    </xf>
    <xf numFmtId="181" fontId="24" fillId="0" borderId="10" xfId="7" applyNumberFormat="1" applyFont="1" applyBorder="1" applyAlignment="1">
      <alignment horizontal="right" indent="1"/>
    </xf>
    <xf numFmtId="176" fontId="28" fillId="0" borderId="0" xfId="7" applyNumberFormat="1" applyFont="1"/>
    <xf numFmtId="9" fontId="28" fillId="0" borderId="0" xfId="7" applyNumberFormat="1" applyFont="1"/>
    <xf numFmtId="0" fontId="39" fillId="0" borderId="0" xfId="7" quotePrefix="1" applyFont="1"/>
    <xf numFmtId="171" fontId="28" fillId="0" borderId="0" xfId="7" applyNumberFormat="1" applyFont="1"/>
    <xf numFmtId="0" fontId="23" fillId="0" borderId="0" xfId="7" applyAlignment="1">
      <alignment horizontal="left"/>
    </xf>
    <xf numFmtId="0" fontId="24" fillId="0" borderId="0" xfId="7" applyFont="1" applyFill="1" applyBorder="1" applyAlignment="1">
      <alignment horizontal="center"/>
    </xf>
    <xf numFmtId="182" fontId="28" fillId="0" borderId="0" xfId="13" applyNumberFormat="1" applyFont="1" applyBorder="1" applyAlignment="1">
      <alignment horizontal="right" indent="1"/>
    </xf>
    <xf numFmtId="182" fontId="28" fillId="0" borderId="0" xfId="7" applyNumberFormat="1" applyFont="1" applyBorder="1" applyAlignment="1">
      <alignment horizontal="right" indent="1"/>
    </xf>
    <xf numFmtId="177" fontId="23" fillId="0" borderId="0" xfId="7" applyNumberFormat="1"/>
    <xf numFmtId="183" fontId="40" fillId="0" borderId="43" xfId="7" applyNumberFormat="1" applyFont="1" applyBorder="1" applyAlignment="1">
      <alignment horizontal="right" indent="1"/>
    </xf>
    <xf numFmtId="177" fontId="41" fillId="0" borderId="0" xfId="7" applyNumberFormat="1" applyFont="1" applyBorder="1" applyAlignment="1">
      <alignment horizontal="right" indent="1"/>
    </xf>
    <xf numFmtId="179" fontId="42" fillId="0" borderId="0" xfId="7" applyNumberFormat="1" applyFont="1" applyBorder="1" applyAlignment="1">
      <alignment horizontal="right" indent="1"/>
    </xf>
    <xf numFmtId="0" fontId="22" fillId="0" borderId="10" xfId="7" applyFont="1" applyBorder="1" applyAlignment="1">
      <alignment horizontal="right" indent="1"/>
    </xf>
    <xf numFmtId="177" fontId="28" fillId="0" borderId="0" xfId="7" applyNumberFormat="1" applyFont="1"/>
    <xf numFmtId="179" fontId="28" fillId="0" borderId="0" xfId="7" applyNumberFormat="1" applyFont="1" applyBorder="1" applyAlignment="1">
      <alignment horizontal="right" indent="1"/>
    </xf>
    <xf numFmtId="179" fontId="22" fillId="0" borderId="0" xfId="7" applyNumberFormat="1" applyFont="1" applyBorder="1" applyAlignment="1">
      <alignment horizontal="right" indent="1"/>
    </xf>
    <xf numFmtId="177" fontId="22" fillId="0" borderId="0" xfId="7" applyNumberFormat="1" applyFont="1" applyBorder="1" applyAlignment="1">
      <alignment horizontal="right" indent="1"/>
    </xf>
    <xf numFmtId="0" fontId="43" fillId="0" borderId="0" xfId="7" applyFont="1" applyBorder="1"/>
    <xf numFmtId="184" fontId="40" fillId="0" borderId="43" xfId="11" applyNumberFormat="1" applyFont="1" applyBorder="1" applyAlignment="1">
      <alignment horizontal="right" indent="1"/>
    </xf>
    <xf numFmtId="2" fontId="40" fillId="0" borderId="0" xfId="7" applyNumberFormat="1" applyFont="1" applyBorder="1" applyAlignment="1">
      <alignment horizontal="right" indent="1"/>
    </xf>
    <xf numFmtId="178" fontId="40" fillId="0" borderId="43" xfId="11" applyFont="1" applyBorder="1" applyAlignment="1">
      <alignment horizontal="right" indent="1"/>
    </xf>
    <xf numFmtId="2" fontId="40" fillId="0" borderId="0" xfId="13" applyNumberFormat="1" applyFont="1" applyBorder="1" applyAlignment="1">
      <alignment horizontal="right" indent="1"/>
    </xf>
    <xf numFmtId="182" fontId="42" fillId="0" borderId="0" xfId="7" applyNumberFormat="1" applyFont="1" applyBorder="1" applyAlignment="1">
      <alignment horizontal="right" indent="1"/>
    </xf>
    <xf numFmtId="10" fontId="28" fillId="0" borderId="0" xfId="12" applyNumberFormat="1" applyFont="1" applyBorder="1" applyAlignment="1">
      <alignment horizontal="right" indent="1"/>
    </xf>
    <xf numFmtId="10" fontId="22" fillId="0" borderId="0" xfId="12" applyNumberFormat="1" applyFont="1" applyBorder="1" applyAlignment="1">
      <alignment horizontal="right" indent="1"/>
    </xf>
    <xf numFmtId="0" fontId="23" fillId="0" borderId="0" xfId="7" applyAlignment="1">
      <alignment horizontal="right"/>
    </xf>
    <xf numFmtId="177" fontId="28" fillId="0" borderId="0" xfId="7" applyNumberFormat="1" applyFont="1" applyBorder="1" applyAlignment="1">
      <alignment horizontal="center"/>
    </xf>
    <xf numFmtId="185" fontId="28" fillId="0" borderId="0" xfId="7" applyNumberFormat="1" applyFont="1" applyBorder="1" applyAlignment="1">
      <alignment horizontal="right" indent="1"/>
    </xf>
    <xf numFmtId="185" fontId="28" fillId="0" borderId="0" xfId="12" applyNumberFormat="1" applyFont="1" applyBorder="1" applyAlignment="1">
      <alignment horizontal="right" indent="1"/>
    </xf>
    <xf numFmtId="178" fontId="23" fillId="0" borderId="0" xfId="7" applyNumberFormat="1"/>
    <xf numFmtId="179" fontId="28" fillId="0" borderId="0" xfId="13" applyFont="1" applyBorder="1" applyAlignment="1">
      <alignment horizontal="right" indent="1"/>
    </xf>
    <xf numFmtId="0" fontId="23" fillId="0" borderId="0" xfId="7" applyAlignment="1">
      <alignment horizontal="center"/>
    </xf>
    <xf numFmtId="186" fontId="40" fillId="0" borderId="43" xfId="13" applyNumberFormat="1" applyFont="1" applyBorder="1" applyAlignment="1">
      <alignment horizontal="right" indent="1"/>
    </xf>
    <xf numFmtId="177" fontId="39" fillId="0" borderId="0" xfId="7" applyNumberFormat="1" applyFont="1" applyBorder="1" applyAlignment="1">
      <alignment horizontal="center"/>
    </xf>
    <xf numFmtId="2" fontId="42" fillId="0" borderId="0" xfId="7" applyNumberFormat="1" applyFont="1" applyBorder="1" applyAlignment="1">
      <alignment horizontal="right" indent="1"/>
    </xf>
    <xf numFmtId="186" fontId="40" fillId="0" borderId="27" xfId="13" applyNumberFormat="1" applyFont="1" applyBorder="1" applyAlignment="1">
      <alignment horizontal="right" indent="1"/>
    </xf>
    <xf numFmtId="177" fontId="42" fillId="0" borderId="0" xfId="7" applyNumberFormat="1" applyFont="1" applyBorder="1" applyAlignment="1">
      <alignment horizontal="right" indent="1"/>
    </xf>
    <xf numFmtId="181" fontId="40" fillId="0" borderId="43" xfId="12" applyNumberFormat="1" applyFont="1" applyBorder="1" applyAlignment="1">
      <alignment horizontal="right" indent="1"/>
    </xf>
    <xf numFmtId="186" fontId="22" fillId="0" borderId="0" xfId="7" applyNumberFormat="1" applyFont="1" applyBorder="1" applyAlignment="1">
      <alignment horizontal="right" indent="1"/>
    </xf>
    <xf numFmtId="181" fontId="40" fillId="0" borderId="0" xfId="12" applyNumberFormat="1" applyFont="1" applyBorder="1" applyAlignment="1">
      <alignment horizontal="right" indent="1"/>
    </xf>
    <xf numFmtId="181" fontId="42" fillId="0" borderId="0" xfId="12" applyNumberFormat="1" applyFont="1" applyBorder="1" applyAlignment="1">
      <alignment horizontal="right" indent="1"/>
    </xf>
    <xf numFmtId="180" fontId="44" fillId="0" borderId="0" xfId="7" applyNumberFormat="1" applyFont="1" applyBorder="1" applyAlignment="1">
      <alignment horizontal="right" indent="1"/>
    </xf>
    <xf numFmtId="0" fontId="22" fillId="0" borderId="0" xfId="7" applyFont="1" applyBorder="1" applyAlignment="1"/>
    <xf numFmtId="180" fontId="22" fillId="0" borderId="0" xfId="7" applyNumberFormat="1" applyFont="1" applyBorder="1" applyAlignment="1">
      <alignment horizontal="right" indent="1"/>
    </xf>
    <xf numFmtId="3" fontId="40" fillId="0" borderId="43" xfId="12" applyNumberFormat="1" applyFont="1" applyBorder="1" applyAlignment="1">
      <alignment horizontal="right" indent="1"/>
    </xf>
    <xf numFmtId="188" fontId="40" fillId="0" borderId="43" xfId="11" applyNumberFormat="1" applyFont="1" applyFill="1" applyBorder="1" applyAlignment="1">
      <alignment horizontal="right" indent="1"/>
    </xf>
    <xf numFmtId="4" fontId="42" fillId="0" borderId="0" xfId="11" applyNumberFormat="1" applyFont="1" applyFill="1" applyBorder="1" applyAlignment="1">
      <alignment horizontal="right" indent="1"/>
    </xf>
    <xf numFmtId="0" fontId="23" fillId="0" borderId="0" xfId="7" applyBorder="1"/>
    <xf numFmtId="177" fontId="23" fillId="0" borderId="0" xfId="7" applyNumberFormat="1" applyBorder="1"/>
    <xf numFmtId="10" fontId="0" fillId="0" borderId="0" xfId="12" applyNumberFormat="1" applyFont="1" applyBorder="1"/>
    <xf numFmtId="170" fontId="45" fillId="0" borderId="43" xfId="13" applyNumberFormat="1" applyFont="1" applyBorder="1" applyAlignment="1">
      <alignment horizontal="right" indent="1"/>
    </xf>
    <xf numFmtId="189" fontId="28" fillId="0" borderId="0" xfId="7" applyNumberFormat="1" applyFont="1" applyBorder="1" applyAlignment="1">
      <alignment horizontal="right" indent="1"/>
    </xf>
    <xf numFmtId="170" fontId="28" fillId="0" borderId="43" xfId="13" applyNumberFormat="1" applyFont="1" applyBorder="1" applyAlignment="1">
      <alignment horizontal="right" indent="1"/>
    </xf>
    <xf numFmtId="189" fontId="28" fillId="0" borderId="0" xfId="13" applyNumberFormat="1" applyFont="1" applyBorder="1" applyAlignment="1">
      <alignment horizontal="right" indent="1"/>
    </xf>
    <xf numFmtId="37" fontId="22" fillId="0" borderId="0" xfId="13" applyNumberFormat="1" applyFont="1" applyBorder="1" applyAlignment="1">
      <alignment horizontal="right" indent="1"/>
    </xf>
    <xf numFmtId="44" fontId="42" fillId="0" borderId="0" xfId="2" applyFont="1" applyBorder="1" applyAlignment="1">
      <alignment horizontal="right" indent="1"/>
    </xf>
    <xf numFmtId="177" fontId="28" fillId="2" borderId="43" xfId="13" applyNumberFormat="1" applyFont="1" applyFill="1" applyBorder="1" applyAlignment="1">
      <alignment horizontal="right" indent="1"/>
    </xf>
    <xf numFmtId="177" fontId="28" fillId="0" borderId="0" xfId="13" applyNumberFormat="1" applyFont="1" applyBorder="1" applyAlignment="1">
      <alignment horizontal="right" indent="1"/>
    </xf>
    <xf numFmtId="1" fontId="23" fillId="0" borderId="0" xfId="7" applyNumberFormat="1" applyFill="1" applyBorder="1"/>
    <xf numFmtId="177" fontId="28" fillId="0" borderId="43" xfId="13" applyNumberFormat="1" applyFont="1" applyBorder="1" applyAlignment="1">
      <alignment horizontal="right" indent="1"/>
    </xf>
    <xf numFmtId="10" fontId="23" fillId="0" borderId="0" xfId="7" applyNumberFormat="1" applyFill="1" applyBorder="1"/>
    <xf numFmtId="177" fontId="22" fillId="0" borderId="0" xfId="13" applyNumberFormat="1" applyFont="1" applyBorder="1" applyAlignment="1">
      <alignment horizontal="right" indent="1"/>
    </xf>
    <xf numFmtId="177" fontId="22" fillId="0" borderId="31" xfId="7" applyNumberFormat="1" applyFont="1" applyBorder="1" applyAlignment="1">
      <alignment horizontal="left" indent="11"/>
    </xf>
    <xf numFmtId="177" fontId="23" fillId="0" borderId="31" xfId="7" applyNumberFormat="1" applyBorder="1" applyAlignment="1">
      <alignment horizontal="left" indent="11"/>
    </xf>
    <xf numFmtId="177" fontId="23" fillId="0" borderId="0" xfId="7" applyNumberFormat="1" applyBorder="1" applyAlignment="1">
      <alignment horizontal="left" indent="11"/>
    </xf>
    <xf numFmtId="10" fontId="0" fillId="0" borderId="0" xfId="12" applyNumberFormat="1" applyFont="1" applyBorder="1" applyAlignment="1">
      <alignment horizontal="right" indent="1"/>
    </xf>
    <xf numFmtId="178" fontId="22" fillId="0" borderId="0" xfId="11" applyFont="1" applyBorder="1" applyAlignment="1">
      <alignment horizontal="center"/>
    </xf>
    <xf numFmtId="10" fontId="0" fillId="0" borderId="0" xfId="12" applyNumberFormat="1" applyFont="1" applyBorder="1" applyAlignment="1">
      <alignment horizontal="center"/>
    </xf>
    <xf numFmtId="37" fontId="23" fillId="0" borderId="0" xfId="7" applyNumberFormat="1" applyFill="1" applyBorder="1"/>
    <xf numFmtId="0" fontId="28" fillId="0" borderId="0" xfId="7" applyFont="1" applyBorder="1" applyAlignment="1">
      <alignment horizontal="left"/>
    </xf>
    <xf numFmtId="177" fontId="22" fillId="0" borderId="31" xfId="7" applyNumberFormat="1" applyFont="1" applyFill="1" applyBorder="1" applyAlignment="1">
      <alignment horizontal="right" indent="1"/>
    </xf>
    <xf numFmtId="177" fontId="23" fillId="0" borderId="31" xfId="7" applyNumberFormat="1" applyBorder="1" applyAlignment="1">
      <alignment horizontal="right" indent="1"/>
    </xf>
    <xf numFmtId="10" fontId="0" fillId="0" borderId="31" xfId="12" applyNumberFormat="1" applyFont="1" applyBorder="1" applyAlignment="1">
      <alignment horizontal="right" indent="1"/>
    </xf>
    <xf numFmtId="178" fontId="0" fillId="0" borderId="0" xfId="11" applyFont="1" applyBorder="1"/>
    <xf numFmtId="177" fontId="23" fillId="0" borderId="0" xfId="7" applyNumberFormat="1" applyFill="1" applyBorder="1" applyAlignment="1">
      <alignment horizontal="right" indent="1"/>
    </xf>
    <xf numFmtId="177" fontId="23" fillId="0" borderId="0" xfId="7" applyNumberFormat="1" applyBorder="1" applyAlignment="1">
      <alignment horizontal="right" indent="1"/>
    </xf>
    <xf numFmtId="181" fontId="0" fillId="0" borderId="0" xfId="12" applyNumberFormat="1" applyFont="1" applyBorder="1" applyAlignment="1">
      <alignment horizontal="right" indent="1"/>
    </xf>
    <xf numFmtId="190" fontId="0" fillId="0" borderId="0" xfId="11" applyNumberFormat="1" applyFont="1" applyBorder="1"/>
    <xf numFmtId="181" fontId="0" fillId="0" borderId="0" xfId="12" applyNumberFormat="1" applyFont="1" applyBorder="1"/>
    <xf numFmtId="185" fontId="43" fillId="0" borderId="0" xfId="12" applyNumberFormat="1" applyFont="1" applyBorder="1" applyAlignment="1">
      <alignment horizontal="left"/>
    </xf>
    <xf numFmtId="191" fontId="43" fillId="0" borderId="10" xfId="7" applyNumberFormat="1" applyFont="1" applyBorder="1" applyAlignment="1">
      <alignment horizontal="left"/>
    </xf>
    <xf numFmtId="0" fontId="38" fillId="0" borderId="9" xfId="7" applyFont="1" applyBorder="1"/>
    <xf numFmtId="192" fontId="43" fillId="0" borderId="0" xfId="13" applyNumberFormat="1" applyFont="1" applyBorder="1" applyAlignment="1">
      <alignment horizontal="left"/>
    </xf>
    <xf numFmtId="0" fontId="23" fillId="0" borderId="9" xfId="7" applyBorder="1"/>
    <xf numFmtId="187" fontId="43" fillId="0" borderId="0" xfId="12" applyNumberFormat="1" applyFont="1" applyBorder="1" applyAlignment="1">
      <alignment horizontal="left"/>
    </xf>
    <xf numFmtId="0" fontId="28" fillId="0" borderId="9" xfId="7" applyFont="1" applyBorder="1" applyAlignment="1">
      <alignment horizontal="left"/>
    </xf>
    <xf numFmtId="170" fontId="23" fillId="0" borderId="0" xfId="7" applyNumberFormat="1"/>
    <xf numFmtId="177" fontId="23" fillId="0" borderId="31" xfId="7" applyNumberFormat="1" applyFill="1" applyBorder="1" applyAlignment="1">
      <alignment horizontal="right" indent="1"/>
    </xf>
    <xf numFmtId="181" fontId="0" fillId="0" borderId="31" xfId="12" applyNumberFormat="1" applyFont="1" applyBorder="1" applyAlignment="1">
      <alignment horizontal="right" indent="1"/>
    </xf>
    <xf numFmtId="180" fontId="0" fillId="0" borderId="0" xfId="13" applyNumberFormat="1" applyFont="1" applyFill="1" applyBorder="1"/>
    <xf numFmtId="179" fontId="0" fillId="0" borderId="0" xfId="13" applyFont="1" applyFill="1" applyBorder="1"/>
    <xf numFmtId="0" fontId="28" fillId="0" borderId="0" xfId="7" applyFont="1" applyBorder="1"/>
    <xf numFmtId="177" fontId="28" fillId="0" borderId="0" xfId="7" applyNumberFormat="1" applyFont="1" applyFill="1" applyBorder="1" applyAlignment="1">
      <alignment horizontal="right" indent="1"/>
    </xf>
    <xf numFmtId="181" fontId="2" fillId="0" borderId="0" xfId="12" applyNumberFormat="1" applyFont="1" applyBorder="1" applyAlignment="1">
      <alignment horizontal="right" indent="1"/>
    </xf>
    <xf numFmtId="190" fontId="2" fillId="0" borderId="0" xfId="11" applyNumberFormat="1" applyFont="1" applyBorder="1"/>
    <xf numFmtId="0" fontId="2" fillId="0" borderId="0" xfId="0" applyFont="1" applyAlignment="1">
      <alignment vertical="center"/>
    </xf>
    <xf numFmtId="181" fontId="2" fillId="0" borderId="0" xfId="12" applyNumberFormat="1" applyFont="1" applyBorder="1"/>
    <xf numFmtId="10" fontId="2" fillId="0" borderId="0" xfId="12" applyNumberFormat="1" applyFont="1" applyBorder="1"/>
    <xf numFmtId="0" fontId="28" fillId="0" borderId="10" xfId="7" applyFont="1" applyBorder="1"/>
    <xf numFmtId="175" fontId="23" fillId="0" borderId="0" xfId="7" applyNumberFormat="1" applyBorder="1" applyAlignment="1">
      <alignment horizontal="right" indent="1"/>
    </xf>
    <xf numFmtId="193" fontId="0" fillId="0" borderId="0" xfId="12" applyNumberFormat="1" applyFont="1" applyBorder="1" applyAlignment="1">
      <alignment horizontal="right" indent="1"/>
    </xf>
    <xf numFmtId="175" fontId="28" fillId="0" borderId="0" xfId="7" applyNumberFormat="1" applyFont="1" applyBorder="1" applyAlignment="1">
      <alignment horizontal="right" indent="1"/>
    </xf>
    <xf numFmtId="0" fontId="28" fillId="0" borderId="9" xfId="7" applyFont="1" applyBorder="1"/>
    <xf numFmtId="180" fontId="2" fillId="0" borderId="0" xfId="13" applyNumberFormat="1" applyFont="1" applyFill="1" applyBorder="1"/>
    <xf numFmtId="179" fontId="2" fillId="0" borderId="0" xfId="13" applyFont="1" applyFill="1" applyBorder="1"/>
    <xf numFmtId="0" fontId="28" fillId="0" borderId="0" xfId="7" applyFont="1" applyFill="1" applyBorder="1"/>
    <xf numFmtId="181" fontId="0" fillId="0" borderId="0" xfId="12" applyNumberFormat="1" applyFont="1" applyBorder="1" applyAlignment="1">
      <alignment horizontal="center"/>
    </xf>
    <xf numFmtId="0" fontId="23" fillId="0" borderId="10" xfId="7" applyBorder="1" applyAlignment="1">
      <alignment horizontal="center"/>
    </xf>
    <xf numFmtId="0" fontId="23" fillId="13" borderId="0" xfId="7" applyFill="1" applyBorder="1"/>
    <xf numFmtId="175" fontId="23" fillId="7" borderId="0" xfId="7" applyNumberFormat="1" applyFill="1" applyBorder="1" applyAlignment="1">
      <alignment horizontal="right" indent="1"/>
    </xf>
    <xf numFmtId="193" fontId="0" fillId="0" borderId="0" xfId="12" applyNumberFormat="1" applyFont="1" applyFill="1" applyBorder="1" applyAlignment="1">
      <alignment horizontal="right" indent="1"/>
    </xf>
    <xf numFmtId="190" fontId="0" fillId="0" borderId="0" xfId="11" applyNumberFormat="1" applyFont="1" applyFill="1" applyBorder="1"/>
    <xf numFmtId="175" fontId="22" fillId="0" borderId="0" xfId="7" applyNumberFormat="1" applyFont="1" applyFill="1" applyBorder="1" applyAlignment="1"/>
    <xf numFmtId="181" fontId="12" fillId="0" borderId="0" xfId="12" applyNumberFormat="1" applyFont="1" applyFill="1" applyBorder="1"/>
    <xf numFmtId="175" fontId="22" fillId="0" borderId="0" xfId="7" applyNumberFormat="1" applyFont="1" applyFill="1" applyBorder="1" applyAlignment="1">
      <alignment horizontal="right" indent="1"/>
    </xf>
    <xf numFmtId="10" fontId="12" fillId="0" borderId="0" xfId="12" applyNumberFormat="1" applyFont="1" applyBorder="1"/>
    <xf numFmtId="175" fontId="22" fillId="0" borderId="10" xfId="7" applyNumberFormat="1" applyFont="1" applyBorder="1" applyAlignment="1"/>
    <xf numFmtId="193" fontId="12" fillId="0" borderId="0" xfId="12" applyNumberFormat="1" applyFont="1" applyFill="1" applyBorder="1"/>
    <xf numFmtId="175" fontId="23" fillId="0" borderId="0" xfId="7" applyNumberFormat="1"/>
    <xf numFmtId="0" fontId="23" fillId="18" borderId="0" xfId="7" applyFill="1" applyBorder="1"/>
    <xf numFmtId="0" fontId="23" fillId="19" borderId="0" xfId="7" applyFill="1" applyBorder="1"/>
    <xf numFmtId="194" fontId="22" fillId="0" borderId="0" xfId="7" applyNumberFormat="1" applyFont="1" applyFill="1" applyBorder="1" applyAlignment="1"/>
    <xf numFmtId="175" fontId="22" fillId="0" borderId="10" xfId="7" applyNumberFormat="1" applyFont="1" applyFill="1" applyBorder="1" applyAlignment="1"/>
    <xf numFmtId="179" fontId="0" fillId="0" borderId="0" xfId="13" applyFont="1" applyFill="1" applyBorder="1" applyAlignment="1">
      <alignment horizontal="right"/>
    </xf>
    <xf numFmtId="181" fontId="23" fillId="0" borderId="0" xfId="7" applyNumberFormat="1"/>
    <xf numFmtId="1" fontId="23" fillId="0" borderId="0" xfId="7" applyNumberFormat="1"/>
    <xf numFmtId="10" fontId="0" fillId="0" borderId="0" xfId="12" applyNumberFormat="1" applyFont="1"/>
    <xf numFmtId="175" fontId="28" fillId="0" borderId="0" xfId="7" applyNumberFormat="1" applyFont="1" applyFill="1" applyBorder="1" applyAlignment="1">
      <alignment horizontal="right" indent="1"/>
    </xf>
    <xf numFmtId="193" fontId="2" fillId="0" borderId="0" xfId="12" applyNumberFormat="1" applyFont="1" applyBorder="1" applyAlignment="1">
      <alignment horizontal="right" indent="1"/>
    </xf>
    <xf numFmtId="177" fontId="2" fillId="0" borderId="0" xfId="0" applyNumberFormat="1" applyFont="1" applyAlignment="1">
      <alignment vertical="center"/>
    </xf>
    <xf numFmtId="185" fontId="46" fillId="0" borderId="0" xfId="0" applyNumberFormat="1" applyFont="1" applyAlignment="1">
      <alignment vertical="center"/>
    </xf>
    <xf numFmtId="0" fontId="47" fillId="0" borderId="0" xfId="7" applyFont="1" applyBorder="1"/>
    <xf numFmtId="177" fontId="47" fillId="0" borderId="0" xfId="7" applyNumberFormat="1" applyFont="1" applyFill="1" applyBorder="1" applyAlignment="1">
      <alignment horizontal="right" indent="1"/>
    </xf>
    <xf numFmtId="177" fontId="47" fillId="0" borderId="0" xfId="7" applyNumberFormat="1" applyFont="1" applyBorder="1" applyAlignment="1">
      <alignment horizontal="right" indent="1"/>
    </xf>
    <xf numFmtId="181" fontId="9" fillId="0" borderId="0" xfId="12" applyNumberFormat="1" applyFont="1" applyBorder="1" applyAlignment="1">
      <alignment horizontal="right" indent="1"/>
    </xf>
    <xf numFmtId="190" fontId="48" fillId="0" borderId="0" xfId="11" applyNumberFormat="1" applyFont="1" applyBorder="1"/>
    <xf numFmtId="10" fontId="23" fillId="0" borderId="10" xfId="7" applyNumberFormat="1" applyBorder="1"/>
    <xf numFmtId="175" fontId="23" fillId="5" borderId="0" xfId="7" applyNumberFormat="1" applyFill="1" applyBorder="1" applyAlignment="1">
      <alignment horizontal="right" indent="1"/>
    </xf>
    <xf numFmtId="193" fontId="0" fillId="0" borderId="0" xfId="12" applyNumberFormat="1" applyFont="1" applyBorder="1"/>
    <xf numFmtId="0" fontId="23" fillId="0" borderId="25" xfId="7" applyBorder="1"/>
    <xf numFmtId="0" fontId="47" fillId="0" borderId="9" xfId="7" applyFont="1" applyBorder="1"/>
    <xf numFmtId="0" fontId="50" fillId="0" borderId="0" xfId="7" applyFont="1" applyBorder="1"/>
    <xf numFmtId="180" fontId="48" fillId="0" borderId="0" xfId="13" applyNumberFormat="1" applyFont="1" applyFill="1" applyBorder="1"/>
    <xf numFmtId="179" fontId="48" fillId="0" borderId="0" xfId="13" applyFont="1" applyFill="1" applyBorder="1"/>
    <xf numFmtId="0" fontId="50" fillId="0" borderId="0" xfId="7" applyFont="1" applyFill="1" applyBorder="1"/>
    <xf numFmtId="0" fontId="50" fillId="0" borderId="0" xfId="7" applyFont="1"/>
    <xf numFmtId="170" fontId="50" fillId="0" borderId="0" xfId="7" applyNumberFormat="1" applyFont="1"/>
    <xf numFmtId="175" fontId="23" fillId="0" borderId="31" xfId="7" applyNumberFormat="1" applyBorder="1" applyAlignment="1">
      <alignment horizontal="right" indent="1"/>
    </xf>
    <xf numFmtId="193" fontId="0" fillId="0" borderId="31" xfId="12" applyNumberFormat="1" applyFont="1" applyBorder="1" applyAlignment="1">
      <alignment horizontal="right" indent="1"/>
    </xf>
    <xf numFmtId="0" fontId="49" fillId="0" borderId="0" xfId="7" applyFont="1" applyBorder="1"/>
    <xf numFmtId="177" fontId="49" fillId="0" borderId="0" xfId="7" applyNumberFormat="1" applyFont="1" applyBorder="1" applyAlignment="1">
      <alignment horizontal="right" indent="1"/>
    </xf>
    <xf numFmtId="181" fontId="25" fillId="0" borderId="0" xfId="12" applyNumberFormat="1" applyFont="1" applyBorder="1" applyAlignment="1">
      <alignment horizontal="right" indent="1"/>
    </xf>
    <xf numFmtId="190" fontId="17" fillId="0" borderId="0" xfId="11" applyNumberFormat="1" applyFont="1" applyBorder="1"/>
    <xf numFmtId="0" fontId="17" fillId="0" borderId="0" xfId="0" applyFont="1" applyAlignment="1">
      <alignment vertical="center"/>
    </xf>
    <xf numFmtId="181" fontId="17" fillId="0" borderId="0" xfId="12" applyNumberFormat="1" applyFont="1" applyBorder="1"/>
    <xf numFmtId="10" fontId="17" fillId="0" borderId="0" xfId="12" applyNumberFormat="1" applyFont="1" applyBorder="1"/>
    <xf numFmtId="0" fontId="51" fillId="0" borderId="10" xfId="7" applyFont="1" applyBorder="1"/>
    <xf numFmtId="0" fontId="22" fillId="0" borderId="12" xfId="7" applyFont="1" applyBorder="1"/>
    <xf numFmtId="177" fontId="22" fillId="0" borderId="12" xfId="7" applyNumberFormat="1" applyFont="1" applyBorder="1"/>
    <xf numFmtId="178" fontId="22" fillId="0" borderId="12" xfId="11" applyFont="1" applyBorder="1"/>
    <xf numFmtId="10" fontId="22" fillId="0" borderId="12" xfId="12" applyNumberFormat="1" applyFont="1" applyBorder="1"/>
    <xf numFmtId="0" fontId="22" fillId="0" borderId="13" xfId="7" applyFont="1" applyBorder="1"/>
    <xf numFmtId="178" fontId="0" fillId="0" borderId="0" xfId="11" applyFont="1"/>
    <xf numFmtId="0" fontId="49" fillId="0" borderId="9" xfId="7" applyFont="1" applyBorder="1"/>
    <xf numFmtId="0" fontId="51" fillId="0" borderId="0" xfId="7" applyFont="1" applyBorder="1"/>
    <xf numFmtId="180" fontId="17" fillId="0" borderId="0" xfId="13" applyNumberFormat="1" applyFont="1" applyFill="1" applyBorder="1"/>
    <xf numFmtId="179" fontId="17" fillId="0" borderId="0" xfId="13" applyFont="1" applyFill="1" applyBorder="1"/>
    <xf numFmtId="0" fontId="51" fillId="0" borderId="0" xfId="7" applyFont="1" applyFill="1" applyBorder="1"/>
    <xf numFmtId="0" fontId="51" fillId="0" borderId="0" xfId="7" applyFont="1"/>
    <xf numFmtId="0" fontId="22" fillId="0" borderId="11" xfId="7" applyFont="1" applyBorder="1"/>
    <xf numFmtId="0" fontId="2" fillId="0" borderId="25" xfId="0" applyFont="1" applyBorder="1"/>
    <xf numFmtId="0" fontId="2" fillId="0" borderId="0" xfId="0" applyFont="1" applyAlignment="1">
      <alignment horizontal="center"/>
    </xf>
    <xf numFmtId="172" fontId="0" fillId="11" borderId="0" xfId="2" applyNumberFormat="1" applyFont="1" applyFill="1"/>
    <xf numFmtId="172" fontId="0" fillId="0" borderId="0" xfId="0" applyNumberFormat="1" applyAlignment="1">
      <alignment horizontal="center"/>
    </xf>
    <xf numFmtId="172" fontId="12" fillId="0" borderId="0" xfId="0" applyNumberFormat="1" applyFont="1" applyAlignment="1">
      <alignment horizontal="center"/>
    </xf>
    <xf numFmtId="172" fontId="0" fillId="0" borderId="0" xfId="2" applyNumberFormat="1" applyFont="1" applyBorder="1"/>
    <xf numFmtId="172" fontId="0" fillId="0" borderId="12" xfId="2" applyNumberFormat="1" applyFont="1" applyBorder="1"/>
    <xf numFmtId="165" fontId="0" fillId="0" borderId="12" xfId="2" applyNumberFormat="1" applyFont="1" applyBorder="1"/>
    <xf numFmtId="2" fontId="1" fillId="20" borderId="12" xfId="4" applyNumberFormat="1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5" fillId="0" borderId="0" xfId="0" applyFont="1"/>
    <xf numFmtId="0" fontId="2" fillId="0" borderId="0" xfId="0" applyFont="1"/>
    <xf numFmtId="43" fontId="0" fillId="0" borderId="1" xfId="1" applyFont="1" applyBorder="1"/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3" xfId="0" applyBorder="1"/>
    <xf numFmtId="167" fontId="0" fillId="2" borderId="23" xfId="2" applyNumberFormat="1" applyFont="1" applyFill="1" applyBorder="1"/>
    <xf numFmtId="0" fontId="2" fillId="5" borderId="0" xfId="0" applyFont="1" applyFill="1"/>
    <xf numFmtId="44" fontId="2" fillId="2" borderId="0" xfId="0" applyNumberFormat="1" applyFont="1" applyFill="1"/>
    <xf numFmtId="0" fontId="2" fillId="2" borderId="0" xfId="0" applyFont="1" applyFill="1" applyAlignment="1">
      <alignment horizontal="right"/>
    </xf>
    <xf numFmtId="44" fontId="2" fillId="2" borderId="0" xfId="0" applyNumberFormat="1" applyFont="1" applyFill="1" applyAlignment="1">
      <alignment horizontal="right"/>
    </xf>
    <xf numFmtId="0" fontId="0" fillId="6" borderId="1" xfId="0" applyFill="1" applyBorder="1" applyAlignment="1">
      <alignment horizontal="center" vertical="center"/>
    </xf>
    <xf numFmtId="44" fontId="0" fillId="2" borderId="1" xfId="2" applyFont="1" applyFill="1" applyBorder="1"/>
    <xf numFmtId="0" fontId="0" fillId="0" borderId="4" xfId="0" applyBorder="1"/>
    <xf numFmtId="167" fontId="0" fillId="2" borderId="20" xfId="2" applyNumberFormat="1" applyFont="1" applyFill="1" applyBorder="1"/>
    <xf numFmtId="0" fontId="11" fillId="6" borderId="1" xfId="0" applyFont="1" applyFill="1" applyBorder="1"/>
    <xf numFmtId="44" fontId="11" fillId="6" borderId="1" xfId="2" applyFont="1" applyFill="1" applyBorder="1" applyAlignment="1"/>
    <xf numFmtId="0" fontId="27" fillId="22" borderId="4" xfId="0" applyFont="1" applyFill="1" applyBorder="1" applyAlignment="1" applyProtection="1">
      <alignment vertical="center"/>
      <protection locked="0"/>
    </xf>
    <xf numFmtId="0" fontId="27" fillId="22" borderId="4" xfId="0" applyFont="1" applyFill="1" applyBorder="1" applyProtection="1">
      <protection locked="0"/>
    </xf>
    <xf numFmtId="44" fontId="27" fillId="22" borderId="4" xfId="2" applyFont="1" applyFill="1" applyBorder="1" applyAlignment="1" applyProtection="1">
      <alignment vertical="center"/>
      <protection locked="0"/>
    </xf>
    <xf numFmtId="44" fontId="27" fillId="22" borderId="4" xfId="2" applyFont="1" applyFill="1" applyBorder="1" applyAlignment="1" applyProtection="1">
      <alignment vertical="center" wrapText="1"/>
      <protection locked="0"/>
    </xf>
    <xf numFmtId="0" fontId="28" fillId="22" borderId="4" xfId="9" applyFont="1" applyFill="1" applyBorder="1" applyAlignment="1">
      <alignment vertical="center"/>
    </xf>
    <xf numFmtId="44" fontId="11" fillId="22" borderId="1" xfId="2" applyFont="1" applyFill="1" applyBorder="1" applyAlignment="1"/>
    <xf numFmtId="44" fontId="23" fillId="22" borderId="1" xfId="2" applyFont="1" applyFill="1" applyBorder="1" applyAlignment="1" applyProtection="1">
      <alignment vertical="top"/>
      <protection locked="0"/>
    </xf>
    <xf numFmtId="44" fontId="11" fillId="22" borderId="1" xfId="0" applyNumberFormat="1" applyFont="1" applyFill="1" applyBorder="1"/>
    <xf numFmtId="0" fontId="34" fillId="22" borderId="1" xfId="0" applyFont="1" applyFill="1" applyBorder="1"/>
    <xf numFmtId="0" fontId="34" fillId="0" borderId="1" xfId="0" applyFont="1" applyBorder="1" applyAlignment="1">
      <alignment horizontal="right"/>
    </xf>
    <xf numFmtId="44" fontId="34" fillId="0" borderId="1" xfId="2" applyFont="1" applyFill="1" applyBorder="1" applyAlignment="1"/>
    <xf numFmtId="0" fontId="11" fillId="2" borderId="1" xfId="0" applyFont="1" applyFill="1" applyBorder="1"/>
    <xf numFmtId="0" fontId="11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73" fontId="0" fillId="0" borderId="1" xfId="0" applyNumberFormat="1" applyBorder="1"/>
    <xf numFmtId="173" fontId="0" fillId="0" borderId="4" xfId="0" applyNumberFormat="1" applyBorder="1"/>
    <xf numFmtId="0" fontId="0" fillId="0" borderId="34" xfId="0" applyBorder="1"/>
    <xf numFmtId="173" fontId="0" fillId="0" borderId="34" xfId="0" applyNumberFormat="1" applyBorder="1"/>
    <xf numFmtId="173" fontId="0" fillId="0" borderId="15" xfId="0" applyNumberFormat="1" applyBorder="1"/>
    <xf numFmtId="173" fontId="0" fillId="0" borderId="47" xfId="0" applyNumberFormat="1" applyBorder="1"/>
    <xf numFmtId="173" fontId="0" fillId="0" borderId="35" xfId="0" applyNumberFormat="1" applyBorder="1"/>
    <xf numFmtId="0" fontId="0" fillId="0" borderId="36" xfId="0" applyBorder="1"/>
    <xf numFmtId="173" fontId="0" fillId="0" borderId="36" xfId="0" applyNumberFormat="1" applyBorder="1"/>
    <xf numFmtId="173" fontId="0" fillId="0" borderId="37" xfId="0" applyNumberFormat="1" applyBorder="1"/>
    <xf numFmtId="0" fontId="0" fillId="0" borderId="39" xfId="0" applyBorder="1"/>
    <xf numFmtId="173" fontId="0" fillId="0" borderId="39" xfId="0" applyNumberFormat="1" applyBorder="1"/>
    <xf numFmtId="173" fontId="0" fillId="0" borderId="40" xfId="0" applyNumberFormat="1" applyBorder="1"/>
    <xf numFmtId="168" fontId="0" fillId="0" borderId="1" xfId="5" applyFont="1" applyBorder="1" applyAlignment="1">
      <alignment horizontal="center"/>
    </xf>
    <xf numFmtId="168" fontId="0" fillId="0" borderId="1" xfId="5" applyFont="1" applyBorder="1"/>
    <xf numFmtId="44" fontId="63" fillId="21" borderId="0" xfId="2" applyFont="1" applyFill="1" applyBorder="1" applyAlignment="1">
      <alignment horizontal="center"/>
    </xf>
    <xf numFmtId="167" fontId="0" fillId="2" borderId="28" xfId="2" applyNumberFormat="1" applyFont="1" applyFill="1" applyBorder="1"/>
    <xf numFmtId="167" fontId="0" fillId="2" borderId="13" xfId="2" applyNumberFormat="1" applyFont="1" applyFill="1" applyBorder="1"/>
    <xf numFmtId="44" fontId="0" fillId="2" borderId="32" xfId="2" applyFont="1" applyFill="1" applyBorder="1"/>
    <xf numFmtId="167" fontId="1" fillId="0" borderId="0" xfId="2" applyNumberFormat="1" applyFont="1" applyFill="1" applyBorder="1"/>
    <xf numFmtId="167" fontId="1" fillId="2" borderId="0" xfId="2" applyNumberFormat="1" applyFont="1" applyFill="1" applyBorder="1"/>
    <xf numFmtId="167" fontId="0" fillId="0" borderId="0" xfId="2" applyNumberFormat="1" applyFont="1" applyFill="1" applyBorder="1"/>
    <xf numFmtId="167" fontId="0" fillId="2" borderId="32" xfId="0" applyNumberFormat="1" applyFill="1" applyBorder="1"/>
    <xf numFmtId="44" fontId="0" fillId="2" borderId="24" xfId="2" applyFont="1" applyFill="1" applyBorder="1"/>
    <xf numFmtId="44" fontId="0" fillId="2" borderId="20" xfId="2" applyFont="1" applyFill="1" applyBorder="1"/>
    <xf numFmtId="44" fontId="0" fillId="2" borderId="28" xfId="2" applyFont="1" applyFill="1" applyBorder="1"/>
    <xf numFmtId="169" fontId="0" fillId="2" borderId="8" xfId="0" applyNumberFormat="1" applyFill="1" applyBorder="1"/>
    <xf numFmtId="44" fontId="2" fillId="2" borderId="24" xfId="2" applyFont="1" applyFill="1" applyBorder="1"/>
    <xf numFmtId="167" fontId="0" fillId="3" borderId="23" xfId="0" applyNumberFormat="1" applyFill="1" applyBorder="1"/>
    <xf numFmtId="0" fontId="0" fillId="5" borderId="26" xfId="0" applyFill="1" applyBorder="1"/>
    <xf numFmtId="44" fontId="0" fillId="2" borderId="23" xfId="2" applyFont="1" applyFill="1" applyBorder="1"/>
    <xf numFmtId="0" fontId="0" fillId="0" borderId="24" xfId="0" applyBorder="1" applyAlignment="1">
      <alignment horizontal="center"/>
    </xf>
    <xf numFmtId="44" fontId="0" fillId="0" borderId="24" xfId="2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44" fontId="0" fillId="0" borderId="32" xfId="2" applyFont="1" applyBorder="1" applyAlignment="1">
      <alignment horizontal="center"/>
    </xf>
    <xf numFmtId="44" fontId="0" fillId="2" borderId="0" xfId="2" applyFont="1" applyFill="1" applyAlignment="1">
      <alignment horizontal="center"/>
    </xf>
    <xf numFmtId="44" fontId="0" fillId="0" borderId="0" xfId="2" applyFont="1" applyFill="1" applyAlignment="1">
      <alignment horizontal="center"/>
    </xf>
    <xf numFmtId="0" fontId="9" fillId="0" borderId="1" xfId="0" applyFont="1" applyBorder="1"/>
    <xf numFmtId="0" fontId="2" fillId="0" borderId="1" xfId="0" applyFont="1" applyBorder="1" applyAlignment="1">
      <alignment wrapText="1"/>
    </xf>
    <xf numFmtId="165" fontId="3" fillId="0" borderId="1" xfId="0" applyNumberFormat="1" applyFont="1" applyBorder="1" applyAlignment="1">
      <alignment horizontal="center"/>
    </xf>
    <xf numFmtId="166" fontId="11" fillId="0" borderId="1" xfId="3" applyFont="1" applyFill="1" applyBorder="1"/>
    <xf numFmtId="166" fontId="0" fillId="0" borderId="1" xfId="3" applyFont="1" applyFill="1" applyBorder="1"/>
    <xf numFmtId="166" fontId="0" fillId="2" borderId="0" xfId="0" applyNumberFormat="1" applyFill="1"/>
    <xf numFmtId="165" fontId="12" fillId="2" borderId="13" xfId="0" applyNumberFormat="1" applyFont="1" applyFill="1" applyBorder="1"/>
    <xf numFmtId="167" fontId="2" fillId="2" borderId="0" xfId="0" applyNumberFormat="1" applyFont="1" applyFill="1"/>
    <xf numFmtId="169" fontId="2" fillId="2" borderId="0" xfId="0" applyNumberFormat="1" applyFont="1" applyFill="1"/>
    <xf numFmtId="167" fontId="2" fillId="0" borderId="0" xfId="0" applyNumberFormat="1" applyFont="1"/>
    <xf numFmtId="167" fontId="0" fillId="0" borderId="0" xfId="0" applyNumberFormat="1"/>
    <xf numFmtId="44" fontId="34" fillId="9" borderId="0" xfId="2" applyFont="1" applyFill="1" applyBorder="1"/>
    <xf numFmtId="175" fontId="23" fillId="0" borderId="0" xfId="7" applyNumberFormat="1" applyBorder="1"/>
    <xf numFmtId="172" fontId="23" fillId="0" borderId="0" xfId="7" applyNumberFormat="1"/>
    <xf numFmtId="0" fontId="0" fillId="11" borderId="0" xfId="0" applyFill="1" applyAlignment="1">
      <alignment horizontal="center"/>
    </xf>
    <xf numFmtId="0" fontId="0" fillId="17" borderId="0" xfId="0" applyFill="1" applyAlignment="1">
      <alignment horizontal="center"/>
    </xf>
    <xf numFmtId="2" fontId="0" fillId="17" borderId="0" xfId="0" applyNumberFormat="1" applyFill="1" applyAlignment="1">
      <alignment horizontal="center"/>
    </xf>
    <xf numFmtId="166" fontId="11" fillId="0" borderId="1" xfId="3" applyFont="1" applyFill="1" applyBorder="1" applyAlignment="1">
      <alignment horizontal="center"/>
    </xf>
    <xf numFmtId="172" fontId="2" fillId="17" borderId="0" xfId="0" applyNumberFormat="1" applyFont="1" applyFill="1" applyAlignment="1">
      <alignment horizontal="center"/>
    </xf>
    <xf numFmtId="167" fontId="2" fillId="2" borderId="23" xfId="2" applyNumberFormat="1" applyFont="1" applyFill="1" applyBorder="1"/>
    <xf numFmtId="166" fontId="34" fillId="0" borderId="1" xfId="3" applyFont="1" applyFill="1" applyBorder="1" applyAlignment="1">
      <alignment horizontal="center"/>
    </xf>
    <xf numFmtId="172" fontId="2" fillId="11" borderId="0" xfId="0" applyNumberFormat="1" applyFont="1" applyFill="1" applyAlignment="1">
      <alignment horizontal="center"/>
    </xf>
    <xf numFmtId="44" fontId="33" fillId="4" borderId="24" xfId="2" applyFont="1" applyFill="1" applyBorder="1"/>
    <xf numFmtId="0" fontId="2" fillId="0" borderId="0" xfId="0" applyFont="1" applyAlignment="1">
      <alignment horizontal="center" vertical="center"/>
    </xf>
    <xf numFmtId="0" fontId="0" fillId="14" borderId="0" xfId="0" applyFill="1" applyAlignment="1">
      <alignment horizontal="center"/>
    </xf>
    <xf numFmtId="172" fontId="2" fillId="14" borderId="0" xfId="0" applyNumberFormat="1" applyFont="1" applyFill="1" applyAlignment="1">
      <alignment horizontal="center"/>
    </xf>
    <xf numFmtId="166" fontId="34" fillId="0" borderId="1" xfId="3" applyFont="1" applyFill="1" applyBorder="1"/>
    <xf numFmtId="0" fontId="2" fillId="4" borderId="0" xfId="2" applyNumberFormat="1" applyFont="1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66" fillId="5" borderId="39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20" xfId="0" applyFont="1" applyBorder="1" applyAlignment="1">
      <alignment horizontal="center"/>
    </xf>
    <xf numFmtId="0" fontId="66" fillId="0" borderId="1" xfId="0" applyFont="1" applyBorder="1"/>
    <xf numFmtId="0" fontId="66" fillId="0" borderId="2" xfId="0" applyFont="1" applyBorder="1" applyAlignment="1">
      <alignment horizontal="center"/>
    </xf>
    <xf numFmtId="0" fontId="67" fillId="5" borderId="0" xfId="0" applyFont="1" applyFill="1"/>
    <xf numFmtId="0" fontId="16" fillId="0" borderId="0" xfId="0" applyFont="1" applyAlignment="1">
      <alignment horizontal="center"/>
    </xf>
    <xf numFmtId="0" fontId="0" fillId="0" borderId="24" xfId="0" applyBorder="1"/>
    <xf numFmtId="44" fontId="0" fillId="0" borderId="0" xfId="2" applyFont="1" applyBorder="1"/>
    <xf numFmtId="0" fontId="0" fillId="0" borderId="31" xfId="0" applyBorder="1" applyAlignment="1">
      <alignment horizontal="center"/>
    </xf>
    <xf numFmtId="44" fontId="0" fillId="0" borderId="31" xfId="2" applyFont="1" applyBorder="1"/>
    <xf numFmtId="0" fontId="0" fillId="0" borderId="32" xfId="0" applyBorder="1"/>
    <xf numFmtId="0" fontId="0" fillId="0" borderId="20" xfId="0" applyBorder="1"/>
    <xf numFmtId="44" fontId="2" fillId="0" borderId="22" xfId="2" applyFont="1" applyBorder="1" applyAlignment="1">
      <alignment vertical="center"/>
    </xf>
    <xf numFmtId="44" fontId="1" fillId="0" borderId="22" xfId="2" applyFont="1" applyBorder="1" applyAlignment="1">
      <alignment vertical="center"/>
    </xf>
    <xf numFmtId="0" fontId="56" fillId="0" borderId="31" xfId="0" applyFont="1" applyBorder="1" applyAlignment="1">
      <alignment horizontal="center"/>
    </xf>
    <xf numFmtId="44" fontId="12" fillId="0" borderId="31" xfId="2" applyFont="1" applyBorder="1" applyAlignment="1">
      <alignment horizontal="center"/>
    </xf>
    <xf numFmtId="0" fontId="0" fillId="2" borderId="34" xfId="0" applyFill="1" applyBorder="1"/>
    <xf numFmtId="0" fontId="0" fillId="2" borderId="4" xfId="0" applyFill="1" applyBorder="1"/>
    <xf numFmtId="173" fontId="0" fillId="0" borderId="0" xfId="0" applyNumberFormat="1"/>
    <xf numFmtId="0" fontId="17" fillId="0" borderId="1" xfId="0" applyFont="1" applyBorder="1"/>
    <xf numFmtId="0" fontId="66" fillId="0" borderId="1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9" xfId="0" applyFont="1" applyBorder="1"/>
    <xf numFmtId="0" fontId="16" fillId="0" borderId="1" xfId="0" applyFont="1" applyBorder="1"/>
    <xf numFmtId="0" fontId="16" fillId="5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56" fillId="11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56" fillId="11" borderId="0" xfId="0" applyFont="1" applyFill="1" applyAlignment="1">
      <alignment horizontal="center"/>
    </xf>
    <xf numFmtId="0" fontId="2" fillId="13" borderId="20" xfId="0" applyFont="1" applyFill="1" applyBorder="1" applyAlignment="1">
      <alignment horizontal="left"/>
    </xf>
    <xf numFmtId="0" fontId="16" fillId="24" borderId="4" xfId="0" applyFont="1" applyFill="1" applyBorder="1" applyAlignment="1">
      <alignment horizontal="center"/>
    </xf>
    <xf numFmtId="0" fontId="16" fillId="24" borderId="23" xfId="0" applyFont="1" applyFill="1" applyBorder="1" applyAlignment="1">
      <alignment horizontal="center"/>
    </xf>
    <xf numFmtId="0" fontId="16" fillId="24" borderId="23" xfId="0" applyFont="1" applyFill="1" applyBorder="1" applyAlignment="1">
      <alignment horizontal="center" vertical="center"/>
    </xf>
    <xf numFmtId="0" fontId="56" fillId="5" borderId="21" xfId="0" applyFont="1" applyFill="1" applyBorder="1"/>
    <xf numFmtId="0" fontId="56" fillId="5" borderId="22" xfId="0" applyFont="1" applyFill="1" applyBorder="1"/>
    <xf numFmtId="0" fontId="56" fillId="5" borderId="30" xfId="0" applyFont="1" applyFill="1" applyBorder="1"/>
    <xf numFmtId="0" fontId="56" fillId="5" borderId="31" xfId="0" applyFont="1" applyFill="1" applyBorder="1"/>
    <xf numFmtId="0" fontId="16" fillId="2" borderId="20" xfId="0" applyFont="1" applyFill="1" applyBorder="1" applyAlignment="1">
      <alignment horizontal="center"/>
    </xf>
    <xf numFmtId="0" fontId="60" fillId="5" borderId="0" xfId="0" applyFont="1" applyFill="1"/>
    <xf numFmtId="44" fontId="56" fillId="5" borderId="1" xfId="0" applyNumberFormat="1" applyFont="1" applyFill="1" applyBorder="1" applyAlignment="1">
      <alignment horizontal="center"/>
    </xf>
    <xf numFmtId="44" fontId="2" fillId="0" borderId="1" xfId="2" applyFont="1" applyBorder="1" applyAlignment="1">
      <alignment vertical="center"/>
    </xf>
    <xf numFmtId="44" fontId="1" fillId="0" borderId="0" xfId="2" applyFont="1" applyBorder="1" applyAlignment="1">
      <alignment vertical="center"/>
    </xf>
    <xf numFmtId="44" fontId="12" fillId="0" borderId="0" xfId="2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2" fillId="0" borderId="0" xfId="0" applyFont="1"/>
    <xf numFmtId="44" fontId="0" fillId="0" borderId="4" xfId="2" applyFont="1" applyFill="1" applyBorder="1"/>
    <xf numFmtId="168" fontId="0" fillId="2" borderId="0" xfId="0" applyNumberFormat="1" applyFill="1"/>
    <xf numFmtId="0" fontId="61" fillId="0" borderId="0" xfId="0" applyFont="1"/>
    <xf numFmtId="1" fontId="0" fillId="5" borderId="1" xfId="0" applyNumberFormat="1" applyFill="1" applyBorder="1"/>
    <xf numFmtId="4" fontId="0" fillId="5" borderId="1" xfId="2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1" fontId="0" fillId="5" borderId="0" xfId="0" applyNumberFormat="1" applyFill="1"/>
    <xf numFmtId="4" fontId="0" fillId="5" borderId="0" xfId="2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8" fontId="0" fillId="0" borderId="1" xfId="0" applyNumberFormat="1" applyBorder="1"/>
    <xf numFmtId="168" fontId="2" fillId="2" borderId="0" xfId="0" applyNumberFormat="1" applyFont="1" applyFill="1"/>
    <xf numFmtId="0" fontId="56" fillId="6" borderId="1" xfId="0" applyFont="1" applyFill="1" applyBorder="1" applyAlignment="1">
      <alignment horizontal="center"/>
    </xf>
    <xf numFmtId="0" fontId="2" fillId="2" borderId="0" xfId="0" applyFont="1" applyFill="1"/>
    <xf numFmtId="44" fontId="12" fillId="0" borderId="0" xfId="2" applyFont="1" applyBorder="1"/>
    <xf numFmtId="44" fontId="11" fillId="0" borderId="0" xfId="2" applyFont="1" applyFill="1"/>
    <xf numFmtId="43" fontId="11" fillId="0" borderId="0" xfId="1" applyFont="1" applyFill="1"/>
    <xf numFmtId="0" fontId="11" fillId="6" borderId="0" xfId="0" applyFont="1" applyFill="1"/>
    <xf numFmtId="44" fontId="11" fillId="6" borderId="1" xfId="2" applyFont="1" applyFill="1" applyBorder="1"/>
    <xf numFmtId="195" fontId="11" fillId="6" borderId="1" xfId="1" applyNumberFormat="1" applyFont="1" applyFill="1" applyBorder="1" applyAlignment="1"/>
    <xf numFmtId="0" fontId="11" fillId="6" borderId="1" xfId="0" applyFont="1" applyFill="1" applyBorder="1" applyAlignment="1">
      <alignment vertical="top"/>
    </xf>
    <xf numFmtId="44" fontId="11" fillId="6" borderId="1" xfId="2" applyFont="1" applyFill="1" applyBorder="1" applyAlignment="1">
      <alignment vertical="top"/>
    </xf>
    <xf numFmtId="0" fontId="72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44" fontId="57" fillId="0" borderId="1" xfId="2" applyFont="1" applyBorder="1" applyAlignment="1">
      <alignment horizontal="center" vertical="center"/>
    </xf>
    <xf numFmtId="44" fontId="57" fillId="0" borderId="1" xfId="2" applyFont="1" applyBorder="1" applyAlignment="1">
      <alignment horizontal="center"/>
    </xf>
    <xf numFmtId="44" fontId="57" fillId="0" borderId="1" xfId="2" applyFont="1" applyBorder="1"/>
    <xf numFmtId="44" fontId="57" fillId="0" borderId="2" xfId="2" applyFont="1" applyBorder="1" applyAlignment="1">
      <alignment horizontal="center"/>
    </xf>
    <xf numFmtId="44" fontId="57" fillId="5" borderId="2" xfId="2" applyFont="1" applyFill="1" applyBorder="1" applyAlignment="1">
      <alignment horizontal="center"/>
    </xf>
    <xf numFmtId="44" fontId="57" fillId="5" borderId="1" xfId="2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44" fontId="57" fillId="0" borderId="1" xfId="2" applyFont="1" applyFill="1" applyBorder="1" applyAlignment="1">
      <alignment horizontal="center"/>
    </xf>
    <xf numFmtId="44" fontId="57" fillId="0" borderId="3" xfId="2" applyFont="1" applyFill="1" applyBorder="1" applyAlignment="1">
      <alignment horizontal="center"/>
    </xf>
    <xf numFmtId="172" fontId="57" fillId="0" borderId="5" xfId="2" applyNumberFormat="1" applyFont="1" applyFill="1" applyBorder="1" applyAlignment="1">
      <alignment horizontal="center"/>
    </xf>
    <xf numFmtId="44" fontId="57" fillId="0" borderId="5" xfId="2" applyFont="1" applyFill="1" applyBorder="1" applyAlignment="1">
      <alignment horizontal="center"/>
    </xf>
    <xf numFmtId="0" fontId="11" fillId="3" borderId="5" xfId="0" applyFont="1" applyFill="1" applyBorder="1"/>
    <xf numFmtId="43" fontId="11" fillId="3" borderId="5" xfId="1" applyFont="1" applyFill="1" applyBorder="1"/>
    <xf numFmtId="0" fontId="11" fillId="3" borderId="1" xfId="0" applyFont="1" applyFill="1" applyBorder="1"/>
    <xf numFmtId="43" fontId="11" fillId="3" borderId="1" xfId="1" applyFont="1" applyFill="1" applyBorder="1"/>
    <xf numFmtId="0" fontId="11" fillId="0" borderId="9" xfId="0" applyFont="1" applyBorder="1"/>
    <xf numFmtId="0" fontId="72" fillId="2" borderId="14" xfId="0" applyFont="1" applyFill="1" applyBorder="1"/>
    <xf numFmtId="44" fontId="34" fillId="2" borderId="15" xfId="2" applyFont="1" applyFill="1" applyBorder="1" applyAlignment="1">
      <alignment horizontal="center"/>
    </xf>
    <xf numFmtId="0" fontId="34" fillId="2" borderId="14" xfId="0" applyFont="1" applyFill="1" applyBorder="1" applyAlignment="1">
      <alignment horizontal="center"/>
    </xf>
    <xf numFmtId="44" fontId="57" fillId="0" borderId="0" xfId="2" applyFont="1" applyBorder="1"/>
    <xf numFmtId="0" fontId="34" fillId="2" borderId="14" xfId="0" applyFont="1" applyFill="1" applyBorder="1" applyAlignment="1">
      <alignment horizontal="center" vertical="center"/>
    </xf>
    <xf numFmtId="44" fontId="73" fillId="0" borderId="15" xfId="2" applyFont="1" applyFill="1" applyBorder="1" applyAlignment="1">
      <alignment horizontal="center"/>
    </xf>
    <xf numFmtId="0" fontId="11" fillId="3" borderId="48" xfId="0" applyFont="1" applyFill="1" applyBorder="1"/>
    <xf numFmtId="0" fontId="11" fillId="3" borderId="14" xfId="0" applyFont="1" applyFill="1" applyBorder="1"/>
    <xf numFmtId="0" fontId="0" fillId="0" borderId="12" xfId="0" applyBorder="1" applyAlignment="1">
      <alignment horizontal="center" vertical="center"/>
    </xf>
    <xf numFmtId="0" fontId="11" fillId="15" borderId="1" xfId="0" applyFont="1" applyFill="1" applyBorder="1"/>
    <xf numFmtId="44" fontId="11" fillId="15" borderId="1" xfId="2" applyFont="1" applyFill="1" applyBorder="1" applyAlignment="1"/>
    <xf numFmtId="44" fontId="23" fillId="15" borderId="1" xfId="2" applyFont="1" applyFill="1" applyBorder="1" applyAlignment="1" applyProtection="1">
      <alignment vertical="top"/>
      <protection locked="0"/>
    </xf>
    <xf numFmtId="44" fontId="11" fillId="15" borderId="1" xfId="0" applyNumberFormat="1" applyFont="1" applyFill="1" applyBorder="1"/>
    <xf numFmtId="165" fontId="11" fillId="15" borderId="1" xfId="0" applyNumberFormat="1" applyFont="1" applyFill="1" applyBorder="1"/>
    <xf numFmtId="0" fontId="0" fillId="26" borderId="1" xfId="0" applyFill="1" applyBorder="1" applyAlignment="1">
      <alignment horizontal="center"/>
    </xf>
    <xf numFmtId="0" fontId="0" fillId="26" borderId="0" xfId="0" applyFill="1"/>
    <xf numFmtId="44" fontId="2" fillId="15" borderId="36" xfId="2" applyFont="1" applyFill="1" applyBorder="1" applyAlignment="1">
      <alignment horizontal="center"/>
    </xf>
    <xf numFmtId="44" fontId="2" fillId="15" borderId="1" xfId="2" applyFont="1" applyFill="1" applyBorder="1" applyAlignment="1">
      <alignment horizontal="center"/>
    </xf>
    <xf numFmtId="0" fontId="2" fillId="15" borderId="20" xfId="0" applyFont="1" applyFill="1" applyBorder="1" applyAlignment="1">
      <alignment horizontal="center"/>
    </xf>
    <xf numFmtId="0" fontId="2" fillId="15" borderId="2" xfId="2" applyNumberFormat="1" applyFont="1" applyFill="1" applyBorder="1" applyAlignment="1">
      <alignment horizontal="center"/>
    </xf>
    <xf numFmtId="0" fontId="2" fillId="15" borderId="1" xfId="2" applyNumberFormat="1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19" xfId="0" applyFont="1" applyFill="1" applyBorder="1" applyAlignment="1">
      <alignment horizontal="center"/>
    </xf>
    <xf numFmtId="44" fontId="2" fillId="15" borderId="20" xfId="2" applyFont="1" applyFill="1" applyBorder="1" applyAlignment="1">
      <alignment horizontal="center"/>
    </xf>
    <xf numFmtId="44" fontId="2" fillId="15" borderId="2" xfId="2" applyFont="1" applyFill="1" applyBorder="1" applyAlignment="1">
      <alignment horizontal="center"/>
    </xf>
    <xf numFmtId="44" fontId="56" fillId="15" borderId="1" xfId="2" applyFont="1" applyFill="1" applyBorder="1" applyAlignment="1">
      <alignment horizontal="center"/>
    </xf>
    <xf numFmtId="0" fontId="71" fillId="26" borderId="1" xfId="0" applyFont="1" applyFill="1" applyBorder="1" applyAlignment="1">
      <alignment horizontal="center"/>
    </xf>
    <xf numFmtId="44" fontId="0" fillId="26" borderId="0" xfId="0" applyNumberFormat="1" applyFill="1"/>
    <xf numFmtId="168" fontId="0" fillId="26" borderId="0" xfId="0" applyNumberFormat="1" applyFill="1"/>
    <xf numFmtId="0" fontId="12" fillId="5" borderId="0" xfId="0" applyFont="1" applyFill="1"/>
    <xf numFmtId="0" fontId="56" fillId="26" borderId="1" xfId="0" applyFont="1" applyFill="1" applyBorder="1" applyAlignment="1">
      <alignment horizontal="center" vertical="center"/>
    </xf>
    <xf numFmtId="0" fontId="56" fillId="26" borderId="1" xfId="0" applyFont="1" applyFill="1" applyBorder="1" applyAlignment="1">
      <alignment horizontal="center"/>
    </xf>
    <xf numFmtId="0" fontId="2" fillId="26" borderId="0" xfId="0" applyFont="1" applyFill="1"/>
    <xf numFmtId="168" fontId="2" fillId="26" borderId="0" xfId="0" applyNumberFormat="1" applyFont="1" applyFill="1"/>
    <xf numFmtId="169" fontId="2" fillId="2" borderId="13" xfId="0" applyNumberFormat="1" applyFont="1" applyFill="1" applyBorder="1"/>
    <xf numFmtId="44" fontId="2" fillId="26" borderId="0" xfId="0" applyNumberFormat="1" applyFont="1" applyFill="1"/>
    <xf numFmtId="169" fontId="0" fillId="0" borderId="8" xfId="0" applyNumberFormat="1" applyBorder="1"/>
    <xf numFmtId="0" fontId="54" fillId="26" borderId="1" xfId="0" applyFont="1" applyFill="1" applyBorder="1" applyAlignment="1">
      <alignment horizontal="center"/>
    </xf>
    <xf numFmtId="0" fontId="53" fillId="26" borderId="1" xfId="0" applyFont="1" applyFill="1" applyBorder="1" applyAlignment="1">
      <alignment horizontal="right"/>
    </xf>
    <xf numFmtId="44" fontId="53" fillId="26" borderId="1" xfId="0" applyNumberFormat="1" applyFont="1" applyFill="1" applyBorder="1" applyAlignment="1">
      <alignment horizontal="right"/>
    </xf>
    <xf numFmtId="0" fontId="53" fillId="26" borderId="2" xfId="0" applyFont="1" applyFill="1" applyBorder="1" applyAlignment="1">
      <alignment horizontal="right"/>
    </xf>
    <xf numFmtId="0" fontId="53" fillId="26" borderId="0" xfId="0" applyFont="1" applyFill="1" applyAlignment="1">
      <alignment horizontal="right"/>
    </xf>
    <xf numFmtId="0" fontId="54" fillId="26" borderId="1" xfId="0" applyFont="1" applyFill="1" applyBorder="1" applyAlignment="1">
      <alignment horizontal="right"/>
    </xf>
    <xf numFmtId="44" fontId="54" fillId="26" borderId="1" xfId="0" applyNumberFormat="1" applyFont="1" applyFill="1" applyBorder="1" applyAlignment="1">
      <alignment horizontal="right"/>
    </xf>
    <xf numFmtId="0" fontId="54" fillId="26" borderId="1" xfId="0" applyFont="1" applyFill="1" applyBorder="1" applyAlignment="1">
      <alignment horizontal="center" vertical="center"/>
    </xf>
    <xf numFmtId="44" fontId="11" fillId="2" borderId="0" xfId="0" applyNumberFormat="1" applyFont="1" applyFill="1"/>
    <xf numFmtId="44" fontId="34" fillId="0" borderId="0" xfId="2" applyFont="1" applyFill="1" applyBorder="1"/>
    <xf numFmtId="0" fontId="11" fillId="3" borderId="24" xfId="0" applyFont="1" applyFill="1" applyBorder="1" applyAlignment="1">
      <alignment horizontal="center"/>
    </xf>
    <xf numFmtId="9" fontId="0" fillId="0" borderId="0" xfId="10" applyFont="1" applyAlignment="1">
      <alignment horizontal="center"/>
    </xf>
    <xf numFmtId="0" fontId="0" fillId="6" borderId="0" xfId="0" applyFill="1"/>
    <xf numFmtId="9" fontId="0" fillId="6" borderId="0" xfId="10" applyFont="1" applyFill="1" applyAlignment="1">
      <alignment horizontal="center"/>
    </xf>
    <xf numFmtId="172" fontId="62" fillId="0" borderId="0" xfId="2" applyNumberFormat="1" applyFont="1" applyFill="1" applyBorder="1" applyAlignment="1">
      <alignment horizontal="center"/>
    </xf>
    <xf numFmtId="165" fontId="64" fillId="2" borderId="0" xfId="0" applyNumberFormat="1" applyFont="1" applyFill="1"/>
    <xf numFmtId="44" fontId="15" fillId="0" borderId="0" xfId="0" applyNumberFormat="1" applyFont="1"/>
    <xf numFmtId="165" fontId="15" fillId="0" borderId="0" xfId="0" applyNumberFormat="1" applyFont="1"/>
    <xf numFmtId="43" fontId="11" fillId="0" borderId="1" xfId="1" applyFont="1" applyFill="1" applyBorder="1"/>
    <xf numFmtId="165" fontId="0" fillId="0" borderId="0" xfId="0" applyNumberFormat="1" applyAlignment="1">
      <alignment horizontal="center"/>
    </xf>
    <xf numFmtId="0" fontId="34" fillId="0" borderId="43" xfId="0" applyFont="1" applyBorder="1" applyAlignment="1">
      <alignment vertical="center"/>
    </xf>
    <xf numFmtId="44" fontId="25" fillId="0" borderId="0" xfId="2" applyFont="1"/>
    <xf numFmtId="167" fontId="25" fillId="0" borderId="0" xfId="2" applyNumberFormat="1" applyFont="1"/>
    <xf numFmtId="0" fontId="60" fillId="17" borderId="1" xfId="0" applyFont="1" applyFill="1" applyBorder="1" applyAlignment="1">
      <alignment horizontal="center"/>
    </xf>
    <xf numFmtId="0" fontId="59" fillId="17" borderId="1" xfId="0" applyFont="1" applyFill="1" applyBorder="1" applyAlignment="1">
      <alignment horizontal="center"/>
    </xf>
    <xf numFmtId="0" fontId="0" fillId="17" borderId="0" xfId="0" applyFill="1"/>
    <xf numFmtId="0" fontId="2" fillId="17" borderId="0" xfId="0" applyFont="1" applyFill="1"/>
    <xf numFmtId="168" fontId="2" fillId="17" borderId="0" xfId="0" applyNumberFormat="1" applyFont="1" applyFill="1"/>
    <xf numFmtId="0" fontId="0" fillId="17" borderId="24" xfId="0" applyFill="1" applyBorder="1"/>
    <xf numFmtId="44" fontId="0" fillId="17" borderId="0" xfId="2" applyFont="1" applyFill="1" applyBorder="1"/>
    <xf numFmtId="44" fontId="0" fillId="17" borderId="31" xfId="2" applyFont="1" applyFill="1" applyBorder="1"/>
    <xf numFmtId="0" fontId="0" fillId="17" borderId="32" xfId="0" applyFill="1" applyBorder="1"/>
    <xf numFmtId="44" fontId="2" fillId="17" borderId="0" xfId="0" applyNumberFormat="1" applyFont="1" applyFill="1"/>
    <xf numFmtId="173" fontId="0" fillId="5" borderId="19" xfId="0" applyNumberFormat="1" applyFill="1" applyBorder="1" applyAlignment="1">
      <alignment horizontal="center"/>
    </xf>
    <xf numFmtId="0" fontId="11" fillId="17" borderId="0" xfId="0" applyFont="1" applyFill="1" applyAlignment="1">
      <alignment horizontal="left"/>
    </xf>
    <xf numFmtId="173" fontId="0" fillId="0" borderId="5" xfId="0" applyNumberFormat="1" applyBorder="1"/>
    <xf numFmtId="173" fontId="0" fillId="0" borderId="56" xfId="0" applyNumberFormat="1" applyBorder="1"/>
    <xf numFmtId="0" fontId="0" fillId="6" borderId="38" xfId="0" applyFill="1" applyBorder="1" applyAlignment="1">
      <alignment horizontal="center" vertical="center" wrapText="1"/>
    </xf>
    <xf numFmtId="173" fontId="0" fillId="0" borderId="3" xfId="0" applyNumberFormat="1" applyBorder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165" fontId="0" fillId="22" borderId="17" xfId="0" applyNumberFormat="1" applyFill="1" applyBorder="1"/>
    <xf numFmtId="0" fontId="0" fillId="5" borderId="1" xfId="0" applyFill="1" applyBorder="1" applyAlignment="1">
      <alignment horizontal="center"/>
    </xf>
    <xf numFmtId="165" fontId="0" fillId="6" borderId="0" xfId="0" applyNumberFormat="1" applyFill="1"/>
    <xf numFmtId="169" fontId="0" fillId="2" borderId="28" xfId="0" applyNumberFormat="1" applyFill="1" applyBorder="1"/>
    <xf numFmtId="178" fontId="22" fillId="0" borderId="0" xfId="11" applyFont="1" applyBorder="1"/>
    <xf numFmtId="0" fontId="22" fillId="0" borderId="10" xfId="7" applyFont="1" applyBorder="1"/>
    <xf numFmtId="0" fontId="28" fillId="0" borderId="44" xfId="7" applyFont="1" applyBorder="1" applyAlignment="1">
      <alignment horizontal="right" indent="1"/>
    </xf>
    <xf numFmtId="37" fontId="28" fillId="0" borderId="10" xfId="7" applyNumberFormat="1" applyFont="1" applyBorder="1" applyAlignment="1">
      <alignment horizontal="right" indent="1"/>
    </xf>
    <xf numFmtId="182" fontId="28" fillId="0" borderId="0" xfId="12" applyNumberFormat="1" applyFont="1" applyBorder="1" applyAlignment="1">
      <alignment horizontal="right" indent="1"/>
    </xf>
    <xf numFmtId="183" fontId="40" fillId="0" borderId="0" xfId="7" applyNumberFormat="1" applyFont="1" applyBorder="1" applyAlignment="1">
      <alignment horizontal="right" indent="1"/>
    </xf>
    <xf numFmtId="179" fontId="22" fillId="0" borderId="0" xfId="13" applyFont="1" applyBorder="1" applyAlignment="1">
      <alignment horizontal="right" indent="1"/>
    </xf>
    <xf numFmtId="187" fontId="39" fillId="0" borderId="0" xfId="13" applyNumberFormat="1" applyFont="1" applyBorder="1" applyAlignment="1">
      <alignment horizontal="center"/>
    </xf>
    <xf numFmtId="177" fontId="39" fillId="0" borderId="0" xfId="7" applyNumberFormat="1" applyFont="1" applyBorder="1" applyAlignment="1">
      <alignment horizontal="left"/>
    </xf>
    <xf numFmtId="180" fontId="22" fillId="0" borderId="0" xfId="13" applyNumberFormat="1" applyFont="1" applyBorder="1" applyAlignment="1">
      <alignment horizontal="right" indent="1"/>
    </xf>
    <xf numFmtId="179" fontId="42" fillId="0" borderId="0" xfId="13" applyFont="1" applyBorder="1" applyAlignment="1">
      <alignment horizontal="right" indent="1"/>
    </xf>
    <xf numFmtId="179" fontId="22" fillId="0" borderId="0" xfId="13" applyFont="1" applyBorder="1" applyAlignment="1">
      <alignment horizontal="left"/>
    </xf>
    <xf numFmtId="9" fontId="23" fillId="2" borderId="0" xfId="10" applyFont="1" applyFill="1"/>
    <xf numFmtId="14" fontId="28" fillId="0" borderId="0" xfId="7" applyNumberFormat="1" applyFont="1" applyBorder="1"/>
    <xf numFmtId="14" fontId="23" fillId="0" borderId="0" xfId="7" applyNumberFormat="1" applyBorder="1"/>
    <xf numFmtId="196" fontId="22" fillId="0" borderId="0" xfId="7" applyNumberFormat="1" applyFont="1" applyBorder="1" applyAlignment="1">
      <alignment horizontal="right" indent="1"/>
    </xf>
    <xf numFmtId="9" fontId="22" fillId="0" borderId="0" xfId="10" applyFont="1" applyFill="1" applyBorder="1" applyAlignment="1"/>
    <xf numFmtId="177" fontId="23" fillId="11" borderId="0" xfId="7" applyNumberFormat="1" applyFill="1"/>
    <xf numFmtId="177" fontId="23" fillId="11" borderId="0" xfId="7" applyNumberFormat="1" applyFill="1" applyBorder="1"/>
    <xf numFmtId="178" fontId="0" fillId="11" borderId="0" xfId="11" applyFont="1" applyFill="1"/>
    <xf numFmtId="165" fontId="23" fillId="11" borderId="0" xfId="7" applyNumberFormat="1" applyFill="1"/>
    <xf numFmtId="165" fontId="0" fillId="11" borderId="0" xfId="11" applyNumberFormat="1" applyFont="1" applyFill="1"/>
    <xf numFmtId="172" fontId="23" fillId="11" borderId="0" xfId="7" applyNumberFormat="1" applyFill="1"/>
    <xf numFmtId="197" fontId="23" fillId="0" borderId="0" xfId="7" applyNumberFormat="1" applyBorder="1" applyAlignment="1">
      <alignment horizontal="right" indent="1"/>
    </xf>
    <xf numFmtId="0" fontId="2" fillId="28" borderId="1" xfId="0" applyFont="1" applyFill="1" applyBorder="1"/>
    <xf numFmtId="0" fontId="2" fillId="28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75" fillId="5" borderId="1" xfId="0" applyFont="1" applyFill="1" applyBorder="1" applyAlignment="1">
      <alignment horizontal="right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right"/>
    </xf>
    <xf numFmtId="198" fontId="76" fillId="5" borderId="1" xfId="0" applyNumberFormat="1" applyFont="1" applyFill="1" applyBorder="1"/>
    <xf numFmtId="198" fontId="8" fillId="5" borderId="1" xfId="0" applyNumberFormat="1" applyFont="1" applyFill="1" applyBorder="1"/>
    <xf numFmtId="164" fontId="7" fillId="5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right"/>
    </xf>
    <xf numFmtId="0" fontId="7" fillId="5" borderId="1" xfId="0" applyFont="1" applyFill="1" applyBorder="1"/>
    <xf numFmtId="0" fontId="7" fillId="5" borderId="5" xfId="0" applyFont="1" applyFill="1" applyBorder="1" applyAlignment="1">
      <alignment horizontal="center"/>
    </xf>
    <xf numFmtId="0" fontId="77" fillId="5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/>
    </xf>
    <xf numFmtId="0" fontId="75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17" fillId="5" borderId="5" xfId="0" applyFont="1" applyFill="1" applyBorder="1" applyAlignment="1">
      <alignment horizontal="right" vertical="center"/>
    </xf>
    <xf numFmtId="0" fontId="78" fillId="5" borderId="0" xfId="0" applyFont="1" applyFill="1" applyAlignment="1">
      <alignment vertical="center" wrapText="1"/>
    </xf>
    <xf numFmtId="0" fontId="0" fillId="5" borderId="2" xfId="0" applyFill="1" applyBorder="1" applyAlignment="1">
      <alignment horizontal="center"/>
    </xf>
    <xf numFmtId="173" fontId="0" fillId="5" borderId="1" xfId="0" applyNumberFormat="1" applyFill="1" applyBorder="1"/>
    <xf numFmtId="0" fontId="77" fillId="5" borderId="3" xfId="0" applyFont="1" applyFill="1" applyBorder="1" applyAlignment="1">
      <alignment horizontal="right" vertical="center"/>
    </xf>
    <xf numFmtId="198" fontId="7" fillId="5" borderId="1" xfId="0" applyNumberFormat="1" applyFont="1" applyFill="1" applyBorder="1"/>
    <xf numFmtId="0" fontId="7" fillId="5" borderId="4" xfId="0" applyFont="1" applyFill="1" applyBorder="1" applyAlignment="1">
      <alignment horizontal="left"/>
    </xf>
    <xf numFmtId="0" fontId="75" fillId="5" borderId="4" xfId="0" applyFont="1" applyFill="1" applyBorder="1" applyAlignment="1">
      <alignment horizontal="right" vertical="center"/>
    </xf>
    <xf numFmtId="0" fontId="79" fillId="5" borderId="0" xfId="0" applyFont="1" applyFill="1"/>
    <xf numFmtId="0" fontId="7" fillId="5" borderId="4" xfId="0" applyFont="1" applyFill="1" applyBorder="1" applyAlignment="1">
      <alignment horizontal="center"/>
    </xf>
    <xf numFmtId="164" fontId="7" fillId="5" borderId="4" xfId="0" applyNumberFormat="1" applyFont="1" applyFill="1" applyBorder="1" applyAlignment="1">
      <alignment horizontal="right"/>
    </xf>
    <xf numFmtId="198" fontId="76" fillId="5" borderId="4" xfId="0" applyNumberFormat="1" applyFont="1" applyFill="1" applyBorder="1"/>
    <xf numFmtId="0" fontId="79" fillId="5" borderId="1" xfId="0" applyFont="1" applyFill="1" applyBorder="1"/>
    <xf numFmtId="0" fontId="7" fillId="5" borderId="5" xfId="0" applyFont="1" applyFill="1" applyBorder="1" applyAlignment="1">
      <alignment horizontal="left"/>
    </xf>
    <xf numFmtId="0" fontId="75" fillId="5" borderId="3" xfId="0" applyFont="1" applyFill="1" applyBorder="1" applyAlignment="1">
      <alignment horizontal="right" vertical="center"/>
    </xf>
    <xf numFmtId="0" fontId="7" fillId="5" borderId="5" xfId="0" applyFont="1" applyFill="1" applyBorder="1"/>
    <xf numFmtId="0" fontId="0" fillId="5" borderId="3" xfId="0" applyFill="1" applyBorder="1" applyAlignment="1">
      <alignment horizontal="center" vertical="center"/>
    </xf>
    <xf numFmtId="164" fontId="7" fillId="5" borderId="5" xfId="0" applyNumberFormat="1" applyFont="1" applyFill="1" applyBorder="1" applyAlignment="1">
      <alignment horizontal="right"/>
    </xf>
    <xf numFmtId="198" fontId="76" fillId="5" borderId="5" xfId="0" applyNumberFormat="1" applyFont="1" applyFill="1" applyBorder="1"/>
    <xf numFmtId="0" fontId="77" fillId="5" borderId="1" xfId="0" applyFont="1" applyFill="1" applyBorder="1" applyAlignment="1">
      <alignment horizontal="right"/>
    </xf>
    <xf numFmtId="0" fontId="7" fillId="5" borderId="4" xfId="0" applyFont="1" applyFill="1" applyBorder="1"/>
    <xf numFmtId="0" fontId="77" fillId="5" borderId="4" xfId="0" applyFont="1" applyFill="1" applyBorder="1" applyAlignment="1">
      <alignment horizontal="right"/>
    </xf>
    <xf numFmtId="0" fontId="17" fillId="5" borderId="1" xfId="0" applyFont="1" applyFill="1" applyBorder="1" applyAlignment="1">
      <alignment horizontal="left"/>
    </xf>
    <xf numFmtId="0" fontId="60" fillId="5" borderId="1" xfId="0" applyFont="1" applyFill="1" applyBorder="1" applyAlignment="1">
      <alignment horizontal="right" vertical="center"/>
    </xf>
    <xf numFmtId="0" fontId="2" fillId="5" borderId="1" xfId="0" applyFont="1" applyFill="1" applyBorder="1"/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right"/>
    </xf>
    <xf numFmtId="0" fontId="78" fillId="0" borderId="0" xfId="0" applyFont="1"/>
    <xf numFmtId="0" fontId="17" fillId="0" borderId="19" xfId="0" applyFont="1" applyBorder="1" applyAlignment="1">
      <alignment horizontal="center"/>
    </xf>
    <xf numFmtId="173" fontId="0" fillId="0" borderId="0" xfId="0" applyNumberFormat="1" applyAlignment="1">
      <alignment horizontal="right"/>
    </xf>
    <xf numFmtId="0" fontId="2" fillId="0" borderId="1" xfId="0" applyFont="1" applyBorder="1"/>
    <xf numFmtId="0" fontId="17" fillId="0" borderId="4" xfId="0" applyFont="1" applyBorder="1" applyAlignment="1">
      <alignment horizontal="left"/>
    </xf>
    <xf numFmtId="0" fontId="17" fillId="0" borderId="4" xfId="0" applyFont="1" applyBorder="1" applyAlignment="1">
      <alignment horizontal="right"/>
    </xf>
    <xf numFmtId="0" fontId="17" fillId="0" borderId="21" xfId="0" applyFont="1" applyBorder="1" applyAlignment="1">
      <alignment horizontal="center"/>
    </xf>
    <xf numFmtId="173" fontId="0" fillId="0" borderId="20" xfId="0" applyNumberFormat="1" applyBorder="1" applyAlignment="1">
      <alignment horizontal="right"/>
    </xf>
    <xf numFmtId="0" fontId="71" fillId="0" borderId="1" xfId="0" applyFont="1" applyBorder="1" applyAlignment="1">
      <alignment vertical="center"/>
    </xf>
    <xf numFmtId="0" fontId="71" fillId="0" borderId="1" xfId="0" applyFont="1" applyBorder="1" applyAlignment="1">
      <alignment horizontal="right" vertical="center"/>
    </xf>
    <xf numFmtId="0" fontId="71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5" fillId="0" borderId="5" xfId="0" applyFont="1" applyBorder="1" applyAlignment="1">
      <alignment horizontal="right" vertical="center"/>
    </xf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198" fontId="76" fillId="0" borderId="1" xfId="0" applyNumberFormat="1" applyFont="1" applyBorder="1"/>
    <xf numFmtId="4" fontId="0" fillId="8" borderId="1" xfId="0" applyNumberFormat="1" applyFill="1" applyBorder="1"/>
    <xf numFmtId="4" fontId="2" fillId="8" borderId="1" xfId="0" applyNumberFormat="1" applyFont="1" applyFill="1" applyBorder="1"/>
    <xf numFmtId="0" fontId="7" fillId="2" borderId="1" xfId="0" applyFont="1" applyFill="1" applyBorder="1" applyAlignment="1">
      <alignment horizontal="left"/>
    </xf>
    <xf numFmtId="0" fontId="77" fillId="2" borderId="1" xfId="0" applyFont="1" applyFill="1" applyBorder="1" applyAlignment="1">
      <alignment horizontal="right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right"/>
    </xf>
    <xf numFmtId="198" fontId="76" fillId="2" borderId="1" xfId="0" applyNumberFormat="1" applyFont="1" applyFill="1" applyBorder="1"/>
    <xf numFmtId="198" fontId="8" fillId="2" borderId="1" xfId="0" applyNumberFormat="1" applyFont="1" applyFill="1" applyBorder="1"/>
    <xf numFmtId="0" fontId="8" fillId="2" borderId="1" xfId="0" applyFont="1" applyFill="1" applyBorder="1" applyAlignment="1">
      <alignment horizontal="left"/>
    </xf>
    <xf numFmtId="0" fontId="75" fillId="2" borderId="1" xfId="0" applyFont="1" applyFill="1" applyBorder="1" applyAlignment="1">
      <alignment horizontal="right"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right"/>
    </xf>
    <xf numFmtId="0" fontId="79" fillId="2" borderId="1" xfId="0" applyFont="1" applyFill="1" applyBorder="1"/>
    <xf numFmtId="164" fontId="0" fillId="11" borderId="0" xfId="0" applyNumberFormat="1" applyFill="1"/>
    <xf numFmtId="0" fontId="0" fillId="12" borderId="0" xfId="0" applyFill="1"/>
    <xf numFmtId="43" fontId="11" fillId="2" borderId="1" xfId="0" applyNumberFormat="1" applyFont="1" applyFill="1" applyBorder="1"/>
    <xf numFmtId="0" fontId="11" fillId="29" borderId="14" xfId="0" applyFont="1" applyFill="1" applyBorder="1"/>
    <xf numFmtId="43" fontId="11" fillId="29" borderId="1" xfId="1" applyFont="1" applyFill="1" applyBorder="1"/>
    <xf numFmtId="0" fontId="11" fillId="29" borderId="1" xfId="0" applyFont="1" applyFill="1" applyBorder="1"/>
    <xf numFmtId="43" fontId="11" fillId="29" borderId="1" xfId="0" applyNumberFormat="1" applyFont="1" applyFill="1" applyBorder="1"/>
    <xf numFmtId="44" fontId="0" fillId="0" borderId="1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5" fillId="0" borderId="1" xfId="0" applyFont="1" applyBorder="1" applyAlignment="1">
      <alignment horizontal="right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98" fontId="8" fillId="0" borderId="1" xfId="0" applyNumberFormat="1" applyFont="1" applyBorder="1"/>
    <xf numFmtId="0" fontId="80" fillId="30" borderId="19" xfId="0" applyFont="1" applyFill="1" applyBorder="1" applyAlignment="1">
      <alignment horizontal="center" vertical="center"/>
    </xf>
    <xf numFmtId="0" fontId="0" fillId="31" borderId="1" xfId="0" applyFill="1" applyBorder="1"/>
    <xf numFmtId="44" fontId="0" fillId="0" borderId="0" xfId="2" applyFont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44" fontId="11" fillId="2" borderId="2" xfId="2" applyFont="1" applyFill="1" applyBorder="1" applyAlignment="1">
      <alignment horizontal="center"/>
    </xf>
    <xf numFmtId="0" fontId="11" fillId="2" borderId="19" xfId="0" applyFont="1" applyFill="1" applyBorder="1"/>
    <xf numFmtId="0" fontId="15" fillId="2" borderId="1" xfId="0" applyFont="1" applyFill="1" applyBorder="1"/>
    <xf numFmtId="0" fontId="12" fillId="0" borderId="5" xfId="0" applyFont="1" applyBorder="1"/>
    <xf numFmtId="44" fontId="12" fillId="0" borderId="5" xfId="2" applyFont="1" applyBorder="1"/>
    <xf numFmtId="168" fontId="12" fillId="0" borderId="5" xfId="0" applyNumberFormat="1" applyFont="1" applyBorder="1"/>
    <xf numFmtId="168" fontId="12" fillId="0" borderId="1" xfId="0" applyNumberFormat="1" applyFont="1" applyBorder="1"/>
    <xf numFmtId="0" fontId="12" fillId="0" borderId="1" xfId="0" applyFont="1" applyBorder="1"/>
    <xf numFmtId="44" fontId="12" fillId="0" borderId="1" xfId="2" applyFont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44" fontId="12" fillId="5" borderId="1" xfId="2" applyFont="1" applyFill="1" applyBorder="1"/>
    <xf numFmtId="44" fontId="12" fillId="0" borderId="30" xfId="2" applyFont="1" applyBorder="1"/>
    <xf numFmtId="44" fontId="12" fillId="0" borderId="2" xfId="2" applyFont="1" applyBorder="1"/>
    <xf numFmtId="44" fontId="12" fillId="5" borderId="2" xfId="2" applyFont="1" applyFill="1" applyBorder="1"/>
    <xf numFmtId="44" fontId="0" fillId="0" borderId="2" xfId="2" applyFont="1" applyBorder="1"/>
    <xf numFmtId="0" fontId="53" fillId="27" borderId="1" xfId="0" applyFont="1" applyFill="1" applyBorder="1" applyAlignment="1">
      <alignment horizontal="right"/>
    </xf>
    <xf numFmtId="0" fontId="53" fillId="27" borderId="2" xfId="0" applyFont="1" applyFill="1" applyBorder="1" applyAlignment="1">
      <alignment horizontal="right"/>
    </xf>
    <xf numFmtId="0" fontId="53" fillId="32" borderId="1" xfId="0" applyFont="1" applyFill="1" applyBorder="1"/>
    <xf numFmtId="2" fontId="53" fillId="32" borderId="1" xfId="0" applyNumberFormat="1" applyFont="1" applyFill="1" applyBorder="1" applyAlignment="1">
      <alignment horizontal="right"/>
    </xf>
    <xf numFmtId="0" fontId="53" fillId="32" borderId="2" xfId="0" applyFont="1" applyFill="1" applyBorder="1"/>
    <xf numFmtId="0" fontId="53" fillId="27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173" fontId="36" fillId="0" borderId="1" xfId="0" applyNumberFormat="1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173" fontId="36" fillId="0" borderId="1" xfId="0" applyNumberFormat="1" applyFont="1" applyBorder="1" applyAlignment="1">
      <alignment horizontal="center" vertical="center"/>
    </xf>
    <xf numFmtId="3" fontId="36" fillId="0" borderId="1" xfId="0" applyNumberFormat="1" applyFont="1" applyBorder="1" applyAlignment="1">
      <alignment horizontal="center"/>
    </xf>
    <xf numFmtId="0" fontId="53" fillId="26" borderId="2" xfId="0" applyFont="1" applyFill="1" applyBorder="1"/>
    <xf numFmtId="0" fontId="53" fillId="26" borderId="19" xfId="0" applyFont="1" applyFill="1" applyBorder="1"/>
    <xf numFmtId="0" fontId="53" fillId="26" borderId="20" xfId="0" applyFont="1" applyFill="1" applyBorder="1"/>
    <xf numFmtId="44" fontId="11" fillId="7" borderId="0" xfId="0" applyNumberFormat="1" applyFont="1" applyFill="1"/>
    <xf numFmtId="0" fontId="34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4" fontId="57" fillId="0" borderId="1" xfId="2" applyFont="1" applyFill="1" applyBorder="1" applyAlignment="1">
      <alignment horizontal="center" vertical="center"/>
    </xf>
    <xf numFmtId="44" fontId="57" fillId="0" borderId="1" xfId="2" applyFont="1" applyFill="1" applyBorder="1"/>
    <xf numFmtId="44" fontId="57" fillId="0" borderId="2" xfId="2" applyFont="1" applyFill="1" applyBorder="1" applyAlignment="1">
      <alignment horizontal="center"/>
    </xf>
    <xf numFmtId="44" fontId="63" fillId="0" borderId="0" xfId="2" applyFont="1" applyFill="1" applyBorder="1" applyAlignment="1">
      <alignment horizontal="center"/>
    </xf>
    <xf numFmtId="44" fontId="57" fillId="0" borderId="0" xfId="2" applyFont="1" applyFill="1" applyBorder="1"/>
    <xf numFmtId="165" fontId="35" fillId="6" borderId="0" xfId="2" applyNumberFormat="1" applyFont="1" applyFill="1" applyBorder="1" applyAlignment="1">
      <alignment horizontal="center"/>
    </xf>
    <xf numFmtId="165" fontId="11" fillId="0" borderId="1" xfId="0" applyNumberFormat="1" applyFont="1" applyBorder="1"/>
    <xf numFmtId="0" fontId="23" fillId="0" borderId="9" xfId="7" applyFill="1" applyBorder="1"/>
    <xf numFmtId="10" fontId="12" fillId="0" borderId="0" xfId="12" applyNumberFormat="1" applyFont="1" applyFill="1" applyBorder="1"/>
    <xf numFmtId="175" fontId="23" fillId="0" borderId="0" xfId="7" applyNumberFormat="1" applyFill="1" applyBorder="1"/>
    <xf numFmtId="0" fontId="23" fillId="0" borderId="0" xfId="7" applyFill="1"/>
    <xf numFmtId="177" fontId="23" fillId="0" borderId="0" xfId="7" applyNumberFormat="1" applyFill="1"/>
    <xf numFmtId="175" fontId="23" fillId="0" borderId="0" xfId="7" applyNumberFormat="1" applyFill="1"/>
    <xf numFmtId="181" fontId="23" fillId="0" borderId="0" xfId="7" applyNumberFormat="1" applyFill="1"/>
    <xf numFmtId="1" fontId="23" fillId="0" borderId="0" xfId="7" applyNumberFormat="1" applyFill="1"/>
    <xf numFmtId="44" fontId="0" fillId="0" borderId="10" xfId="2" applyFont="1" applyFill="1" applyBorder="1"/>
    <xf numFmtId="0" fontId="11" fillId="7" borderId="0" xfId="0" applyFont="1" applyFill="1" applyAlignment="1">
      <alignment horizontal="right"/>
    </xf>
    <xf numFmtId="166" fontId="0" fillId="0" borderId="0" xfId="3" applyFont="1" applyFill="1" applyBorder="1"/>
    <xf numFmtId="166" fontId="2" fillId="0" borderId="0" xfId="3" applyFont="1" applyFill="1" applyBorder="1"/>
    <xf numFmtId="44" fontId="2" fillId="0" borderId="0" xfId="0" applyNumberFormat="1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right"/>
    </xf>
    <xf numFmtId="0" fontId="81" fillId="34" borderId="1" xfId="0" applyFont="1" applyFill="1" applyBorder="1" applyAlignment="1">
      <alignment horizontal="center" vertical="center"/>
    </xf>
    <xf numFmtId="0" fontId="81" fillId="34" borderId="1" xfId="0" applyFont="1" applyFill="1" applyBorder="1" applyAlignment="1">
      <alignment horizontal="center"/>
    </xf>
    <xf numFmtId="0" fontId="81" fillId="34" borderId="4" xfId="0" applyFont="1" applyFill="1" applyBorder="1" applyAlignment="1">
      <alignment horizontal="center"/>
    </xf>
    <xf numFmtId="44" fontId="0" fillId="5" borderId="1" xfId="2" applyFont="1" applyFill="1" applyBorder="1"/>
    <xf numFmtId="0" fontId="82" fillId="0" borderId="1" xfId="0" applyFont="1" applyBorder="1" applyAlignment="1">
      <alignment vertical="top"/>
    </xf>
    <xf numFmtId="44" fontId="82" fillId="0" borderId="1" xfId="2" applyFont="1" applyFill="1" applyBorder="1" applyAlignment="1" applyProtection="1">
      <alignment vertical="top"/>
    </xf>
    <xf numFmtId="44" fontId="82" fillId="0" borderId="1" xfId="0" applyNumberFormat="1" applyFont="1" applyBorder="1"/>
    <xf numFmtId="44" fontId="1" fillId="5" borderId="1" xfId="2" applyFont="1" applyFill="1" applyBorder="1"/>
    <xf numFmtId="44" fontId="1" fillId="0" borderId="1" xfId="2" applyFont="1" applyBorder="1"/>
    <xf numFmtId="44" fontId="81" fillId="17" borderId="1" xfId="0" applyNumberFormat="1" applyFont="1" applyFill="1" applyBorder="1"/>
    <xf numFmtId="0" fontId="82" fillId="0" borderId="0" xfId="0" applyFont="1" applyAlignment="1">
      <alignment vertical="top"/>
    </xf>
    <xf numFmtId="44" fontId="82" fillId="0" borderId="0" xfId="2" applyFont="1" applyFill="1" applyBorder="1" applyAlignment="1" applyProtection="1">
      <alignment vertical="top"/>
    </xf>
    <xf numFmtId="44" fontId="82" fillId="0" borderId="0" xfId="0" applyNumberFormat="1" applyFont="1"/>
    <xf numFmtId="0" fontId="2" fillId="5" borderId="1" xfId="0" applyFont="1" applyFill="1" applyBorder="1" applyAlignment="1">
      <alignment horizontal="center"/>
    </xf>
    <xf numFmtId="44" fontId="2" fillId="5" borderId="1" xfId="2" applyFont="1" applyFill="1" applyBorder="1"/>
    <xf numFmtId="0" fontId="82" fillId="5" borderId="0" xfId="0" applyFont="1" applyFill="1" applyAlignment="1">
      <alignment vertical="top"/>
    </xf>
    <xf numFmtId="44" fontId="82" fillId="5" borderId="0" xfId="2" applyFont="1" applyFill="1" applyBorder="1" applyAlignment="1" applyProtection="1">
      <alignment vertical="top"/>
    </xf>
    <xf numFmtId="44" fontId="82" fillId="5" borderId="0" xfId="0" applyNumberFormat="1" applyFont="1" applyFill="1"/>
    <xf numFmtId="44" fontId="2" fillId="0" borderId="1" xfId="2" applyFont="1" applyBorder="1"/>
    <xf numFmtId="44" fontId="2" fillId="0" borderId="0" xfId="2" applyFont="1"/>
    <xf numFmtId="44" fontId="2" fillId="2" borderId="0" xfId="2" applyFont="1" applyFill="1"/>
    <xf numFmtId="0" fontId="2" fillId="3" borderId="4" xfId="0" applyFont="1" applyFill="1" applyBorder="1"/>
    <xf numFmtId="0" fontId="2" fillId="3" borderId="3" xfId="0" applyFont="1" applyFill="1" applyBorder="1"/>
    <xf numFmtId="0" fontId="83" fillId="0" borderId="1" xfId="0" applyFont="1" applyBorder="1"/>
    <xf numFmtId="0" fontId="84" fillId="0" borderId="1" xfId="0" applyFont="1" applyBorder="1"/>
    <xf numFmtId="44" fontId="0" fillId="0" borderId="1" xfId="0" applyNumberFormat="1" applyBorder="1"/>
    <xf numFmtId="0" fontId="58" fillId="35" borderId="38" xfId="0" applyFont="1" applyFill="1" applyBorder="1" applyAlignment="1">
      <alignment horizontal="center"/>
    </xf>
    <xf numFmtId="0" fontId="58" fillId="0" borderId="40" xfId="0" applyFont="1" applyBorder="1" applyAlignment="1">
      <alignment horizontal="center"/>
    </xf>
    <xf numFmtId="0" fontId="85" fillId="0" borderId="1" xfId="0" applyFont="1" applyBorder="1"/>
    <xf numFmtId="8" fontId="0" fillId="0" borderId="1" xfId="0" applyNumberFormat="1" applyBorder="1"/>
    <xf numFmtId="0" fontId="86" fillId="36" borderId="48" xfId="0" applyFont="1" applyFill="1" applyBorder="1" applyAlignment="1">
      <alignment horizontal="left"/>
    </xf>
    <xf numFmtId="8" fontId="86" fillId="35" borderId="56" xfId="0" applyNumberFormat="1" applyFont="1" applyFill="1" applyBorder="1"/>
    <xf numFmtId="0" fontId="86" fillId="36" borderId="14" xfId="0" applyFont="1" applyFill="1" applyBorder="1" applyAlignment="1">
      <alignment horizontal="left"/>
    </xf>
    <xf numFmtId="8" fontId="86" fillId="35" borderId="15" xfId="0" applyNumberFormat="1" applyFont="1" applyFill="1" applyBorder="1"/>
    <xf numFmtId="4" fontId="85" fillId="0" borderId="1" xfId="0" applyNumberFormat="1" applyFont="1" applyBorder="1" applyAlignment="1">
      <alignment vertical="center"/>
    </xf>
    <xf numFmtId="8" fontId="86" fillId="35" borderId="1" xfId="0" applyNumberFormat="1" applyFont="1" applyFill="1" applyBorder="1"/>
    <xf numFmtId="8" fontId="2" fillId="2" borderId="1" xfId="0" applyNumberFormat="1" applyFont="1" applyFill="1" applyBorder="1"/>
    <xf numFmtId="44" fontId="2" fillId="2" borderId="1" xfId="0" applyNumberFormat="1" applyFont="1" applyFill="1" applyBorder="1"/>
    <xf numFmtId="8" fontId="1" fillId="5" borderId="24" xfId="2" applyNumberFormat="1" applyFont="1" applyFill="1" applyBorder="1"/>
    <xf numFmtId="8" fontId="1" fillId="0" borderId="24" xfId="2" applyNumberFormat="1" applyFont="1" applyFill="1" applyBorder="1"/>
    <xf numFmtId="0" fontId="2" fillId="37" borderId="1" xfId="0" applyFont="1" applyFill="1" applyBorder="1" applyAlignment="1">
      <alignment horizontal="center"/>
    </xf>
    <xf numFmtId="44" fontId="0" fillId="12" borderId="0" xfId="2" applyFont="1" applyFill="1"/>
    <xf numFmtId="0" fontId="2" fillId="20" borderId="1" xfId="0" applyFont="1" applyFill="1" applyBorder="1" applyAlignment="1">
      <alignment horizontal="center"/>
    </xf>
    <xf numFmtId="44" fontId="0" fillId="0" borderId="5" xfId="2" applyFont="1" applyBorder="1"/>
    <xf numFmtId="44" fontId="0" fillId="5" borderId="5" xfId="2" applyFont="1" applyFill="1" applyBorder="1"/>
    <xf numFmtId="44" fontId="0" fillId="5" borderId="0" xfId="2" applyFont="1" applyFill="1"/>
    <xf numFmtId="3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44" fontId="2" fillId="0" borderId="0" xfId="2" applyFont="1" applyBorder="1"/>
    <xf numFmtId="44" fontId="2" fillId="8" borderId="0" xfId="2" applyFont="1" applyFill="1"/>
    <xf numFmtId="0" fontId="0" fillId="8" borderId="0" xfId="0" applyFill="1"/>
    <xf numFmtId="0" fontId="2" fillId="0" borderId="50" xfId="0" applyFont="1" applyBorder="1"/>
    <xf numFmtId="0" fontId="0" fillId="0" borderId="57" xfId="0" applyBorder="1" applyAlignment="1">
      <alignment horizontal="center"/>
    </xf>
    <xf numFmtId="167" fontId="0" fillId="2" borderId="1" xfId="0" applyNumberFormat="1" applyFill="1" applyBorder="1"/>
    <xf numFmtId="172" fontId="0" fillId="14" borderId="0" xfId="0" applyNumberFormat="1" applyFill="1" applyAlignment="1">
      <alignment horizontal="center"/>
    </xf>
    <xf numFmtId="3" fontId="2" fillId="5" borderId="22" xfId="0" applyNumberFormat="1" applyFont="1" applyFill="1" applyBorder="1" applyAlignment="1">
      <alignment horizontal="center"/>
    </xf>
    <xf numFmtId="44" fontId="11" fillId="38" borderId="0" xfId="2" applyFont="1" applyFill="1" applyBorder="1" applyAlignment="1">
      <alignment horizontal="center" vertical="center"/>
    </xf>
    <xf numFmtId="0" fontId="11" fillId="38" borderId="0" xfId="0" applyFont="1" applyFill="1"/>
    <xf numFmtId="9" fontId="11" fillId="38" borderId="0" xfId="10" applyFont="1" applyFill="1"/>
    <xf numFmtId="44" fontId="11" fillId="38" borderId="0" xfId="2" applyFont="1" applyFill="1"/>
    <xf numFmtId="44" fontId="11" fillId="30" borderId="0" xfId="2" applyFont="1" applyFill="1" applyBorder="1" applyAlignment="1">
      <alignment horizontal="center" vertical="center"/>
    </xf>
    <xf numFmtId="44" fontId="11" fillId="30" borderId="0" xfId="2" applyFont="1" applyFill="1" applyBorder="1"/>
    <xf numFmtId="44" fontId="23" fillId="30" borderId="0" xfId="2" applyFont="1" applyFill="1" applyBorder="1" applyAlignment="1">
      <alignment horizontal="right" indent="1"/>
    </xf>
    <xf numFmtId="44" fontId="22" fillId="30" borderId="0" xfId="2" applyFont="1" applyFill="1" applyBorder="1" applyAlignment="1">
      <alignment horizontal="right" indent="1"/>
    </xf>
    <xf numFmtId="44" fontId="11" fillId="30" borderId="0" xfId="2" applyFont="1" applyFill="1"/>
    <xf numFmtId="167" fontId="25" fillId="30" borderId="0" xfId="2" applyNumberFormat="1" applyFont="1" applyFill="1"/>
    <xf numFmtId="0" fontId="11" fillId="30" borderId="0" xfId="0" applyFont="1" applyFill="1"/>
    <xf numFmtId="0" fontId="11" fillId="39" borderId="0" xfId="0" applyFont="1" applyFill="1"/>
    <xf numFmtId="44" fontId="34" fillId="39" borderId="0" xfId="2" applyFont="1" applyFill="1" applyBorder="1"/>
    <xf numFmtId="173" fontId="34" fillId="39" borderId="0" xfId="2" applyNumberFormat="1" applyFont="1" applyFill="1" applyBorder="1"/>
    <xf numFmtId="44" fontId="11" fillId="3" borderId="1" xfId="2" applyFont="1" applyFill="1" applyBorder="1" applyAlignment="1">
      <alignment horizontal="center" vertical="center"/>
    </xf>
    <xf numFmtId="44" fontId="34" fillId="3" borderId="1" xfId="2" applyFont="1" applyFill="1" applyBorder="1"/>
    <xf numFmtId="44" fontId="11" fillId="3" borderId="1" xfId="2" applyFont="1" applyFill="1" applyBorder="1"/>
    <xf numFmtId="167" fontId="25" fillId="3" borderId="1" xfId="2" applyNumberFormat="1" applyFont="1" applyFill="1" applyBorder="1"/>
    <xf numFmtId="9" fontId="11" fillId="3" borderId="1" xfId="10" applyFont="1" applyFill="1" applyBorder="1"/>
    <xf numFmtId="44" fontId="34" fillId="38" borderId="5" xfId="2" applyFont="1" applyFill="1" applyBorder="1"/>
    <xf numFmtId="0" fontId="11" fillId="38" borderId="5" xfId="0" applyFont="1" applyFill="1" applyBorder="1"/>
    <xf numFmtId="44" fontId="11" fillId="23" borderId="1" xfId="2" applyFont="1" applyFill="1" applyBorder="1" applyAlignment="1">
      <alignment horizontal="center" vertical="center"/>
    </xf>
    <xf numFmtId="44" fontId="34" fillId="23" borderId="1" xfId="2" applyFont="1" applyFill="1" applyBorder="1"/>
    <xf numFmtId="44" fontId="11" fillId="23" borderId="1" xfId="2" applyFont="1" applyFill="1" applyBorder="1"/>
    <xf numFmtId="167" fontId="25" fillId="23" borderId="1" xfId="2" applyNumberFormat="1" applyFont="1" applyFill="1" applyBorder="1"/>
    <xf numFmtId="0" fontId="11" fillId="23" borderId="1" xfId="0" applyFont="1" applyFill="1" applyBorder="1"/>
    <xf numFmtId="9" fontId="11" fillId="23" borderId="1" xfId="10" applyFont="1" applyFill="1" applyBorder="1"/>
    <xf numFmtId="172" fontId="11" fillId="2" borderId="0" xfId="0" applyNumberFormat="1" applyFont="1" applyFill="1"/>
    <xf numFmtId="0" fontId="11" fillId="2" borderId="0" xfId="0" applyFont="1" applyFill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73" fontId="0" fillId="0" borderId="1" xfId="0" applyNumberFormat="1" applyBorder="1" applyAlignment="1">
      <alignment vertical="center"/>
    </xf>
    <xf numFmtId="0" fontId="0" fillId="5" borderId="5" xfId="0" applyFill="1" applyBorder="1"/>
    <xf numFmtId="173" fontId="0" fillId="5" borderId="15" xfId="0" applyNumberFormat="1" applyFill="1" applyBorder="1"/>
    <xf numFmtId="172" fontId="0" fillId="2" borderId="0" xfId="0" applyNumberFormat="1" applyFill="1"/>
    <xf numFmtId="43" fontId="0" fillId="0" borderId="0" xfId="1" applyFont="1" applyBorder="1" applyAlignment="1">
      <alignment horizontal="center" vertical="center"/>
    </xf>
    <xf numFmtId="173" fontId="0" fillId="2" borderId="15" xfId="0" applyNumberFormat="1" applyFill="1" applyBorder="1"/>
    <xf numFmtId="0" fontId="0" fillId="0" borderId="9" xfId="0" applyBorder="1" applyAlignment="1">
      <alignment horizontal="left"/>
    </xf>
    <xf numFmtId="173" fontId="0" fillId="2" borderId="4" xfId="0" applyNumberFormat="1" applyFill="1" applyBorder="1"/>
    <xf numFmtId="173" fontId="0" fillId="2" borderId="47" xfId="0" applyNumberFormat="1" applyFill="1" applyBorder="1"/>
    <xf numFmtId="0" fontId="0" fillId="0" borderId="36" xfId="0" applyBorder="1" applyAlignment="1">
      <alignment horizontal="center" vertical="center"/>
    </xf>
    <xf numFmtId="173" fontId="0" fillId="0" borderId="36" xfId="0" applyNumberFormat="1" applyBorder="1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0" xfId="0" applyFont="1"/>
    <xf numFmtId="173" fontId="13" fillId="0" borderId="0" xfId="0" applyNumberFormat="1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173" fontId="17" fillId="0" borderId="0" xfId="0" applyNumberFormat="1" applyFont="1"/>
    <xf numFmtId="173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6" fontId="88" fillId="0" borderId="0" xfId="0" applyNumberFormat="1" applyFont="1"/>
    <xf numFmtId="0" fontId="0" fillId="0" borderId="0" xfId="0" applyAlignment="1">
      <alignment horizontal="right" indent="2"/>
    </xf>
    <xf numFmtId="173" fontId="0" fillId="2" borderId="34" xfId="0" applyNumberFormat="1" applyFill="1" applyBorder="1"/>
    <xf numFmtId="0" fontId="32" fillId="16" borderId="0" xfId="0" applyFont="1" applyFill="1" applyAlignment="1">
      <alignment horizontal="center"/>
    </xf>
    <xf numFmtId="44" fontId="32" fillId="16" borderId="0" xfId="2" applyFont="1" applyFill="1" applyAlignment="1">
      <alignment horizontal="center"/>
    </xf>
    <xf numFmtId="0" fontId="0" fillId="40" borderId="1" xfId="0" applyFill="1" applyBorder="1" applyAlignment="1">
      <alignment horizontal="center"/>
    </xf>
    <xf numFmtId="1" fontId="0" fillId="40" borderId="1" xfId="0" applyNumberFormat="1" applyFill="1" applyBorder="1" applyAlignment="1">
      <alignment horizontal="center"/>
    </xf>
    <xf numFmtId="44" fontId="0" fillId="40" borderId="1" xfId="2" applyFont="1" applyFill="1" applyBorder="1" applyAlignment="1">
      <alignment horizontal="center"/>
    </xf>
    <xf numFmtId="0" fontId="82" fillId="0" borderId="0" xfId="0" applyFont="1"/>
    <xf numFmtId="1" fontId="0" fillId="3" borderId="1" xfId="0" applyNumberFormat="1" applyFill="1" applyBorder="1" applyAlignment="1">
      <alignment horizontal="right"/>
    </xf>
    <xf numFmtId="167" fontId="0" fillId="7" borderId="58" xfId="0" applyNumberFormat="1" applyFill="1" applyBorder="1"/>
    <xf numFmtId="44" fontId="57" fillId="0" borderId="0" xfId="2" applyFont="1"/>
    <xf numFmtId="44" fontId="11" fillId="22" borderId="4" xfId="0" applyNumberFormat="1" applyFont="1" applyFill="1" applyBorder="1"/>
    <xf numFmtId="44" fontId="0" fillId="0" borderId="0" xfId="0" applyNumberFormat="1" applyAlignment="1">
      <alignment wrapText="1"/>
    </xf>
    <xf numFmtId="173" fontId="23" fillId="0" borderId="0" xfId="7" applyNumberFormat="1" applyBorder="1"/>
    <xf numFmtId="0" fontId="8" fillId="0" borderId="0" xfId="0" applyFont="1"/>
    <xf numFmtId="180" fontId="8" fillId="0" borderId="0" xfId="1" applyNumberFormat="1" applyFont="1"/>
    <xf numFmtId="0" fontId="91" fillId="0" borderId="0" xfId="0" applyFont="1" applyAlignment="1">
      <alignment vertical="top" wrapText="1" readingOrder="1"/>
    </xf>
    <xf numFmtId="0" fontId="93" fillId="0" borderId="0" xfId="0" applyFont="1" applyAlignment="1">
      <alignment horizontal="left" vertical="top" wrapText="1" readingOrder="1"/>
    </xf>
    <xf numFmtId="200" fontId="93" fillId="0" borderId="0" xfId="0" applyNumberFormat="1" applyFont="1" applyAlignment="1">
      <alignment horizontal="right" vertical="top" wrapText="1" readingOrder="1"/>
    </xf>
    <xf numFmtId="201" fontId="94" fillId="0" borderId="59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horizontal="center"/>
    </xf>
    <xf numFmtId="0" fontId="34" fillId="0" borderId="41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 wrapText="1"/>
    </xf>
    <xf numFmtId="0" fontId="34" fillId="0" borderId="27" xfId="0" applyFont="1" applyBorder="1" applyAlignment="1">
      <alignment vertical="center"/>
    </xf>
    <xf numFmtId="0" fontId="11" fillId="0" borderId="29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44" fontId="11" fillId="0" borderId="1" xfId="2" applyFont="1" applyFill="1" applyBorder="1"/>
    <xf numFmtId="44" fontId="11" fillId="0" borderId="1" xfId="0" applyNumberFormat="1" applyFont="1" applyBorder="1"/>
    <xf numFmtId="0" fontId="34" fillId="0" borderId="1" xfId="0" applyFont="1" applyBorder="1"/>
    <xf numFmtId="174" fontId="11" fillId="0" borderId="1" xfId="2" applyNumberFormat="1" applyFont="1" applyFill="1" applyBorder="1"/>
    <xf numFmtId="44" fontId="11" fillId="0" borderId="1" xfId="2" applyFont="1" applyFill="1" applyBorder="1" applyAlignment="1">
      <alignment horizontal="center"/>
    </xf>
    <xf numFmtId="0" fontId="0" fillId="7" borderId="1" xfId="0" applyFill="1" applyBorder="1"/>
    <xf numFmtId="44" fontId="0" fillId="7" borderId="1" xfId="2" applyFont="1" applyFill="1" applyBorder="1"/>
    <xf numFmtId="0" fontId="82" fillId="7" borderId="1" xfId="0" applyFont="1" applyFill="1" applyBorder="1" applyAlignment="1">
      <alignment vertical="top"/>
    </xf>
    <xf numFmtId="44" fontId="82" fillId="7" borderId="1" xfId="2" applyFont="1" applyFill="1" applyBorder="1" applyAlignment="1" applyProtection="1">
      <alignment vertical="top"/>
    </xf>
    <xf numFmtId="44" fontId="82" fillId="7" borderId="1" xfId="0" applyNumberFormat="1" applyFont="1" applyFill="1" applyBorder="1"/>
    <xf numFmtId="44" fontId="1" fillId="7" borderId="1" xfId="2" applyFont="1" applyFill="1" applyBorder="1"/>
    <xf numFmtId="44" fontId="2" fillId="2" borderId="1" xfId="0" applyNumberFormat="1" applyFont="1" applyFill="1" applyBorder="1" applyAlignment="1">
      <alignment horizontal="center"/>
    </xf>
    <xf numFmtId="0" fontId="97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0" fillId="5" borderId="5" xfId="0" applyNumberFormat="1" applyFill="1" applyBorder="1"/>
    <xf numFmtId="3" fontId="0" fillId="5" borderId="1" xfId="0" applyNumberFormat="1" applyFill="1" applyBorder="1"/>
    <xf numFmtId="173" fontId="0" fillId="2" borderId="1" xfId="0" applyNumberFormat="1" applyFill="1" applyBorder="1"/>
    <xf numFmtId="0" fontId="0" fillId="8" borderId="1" xfId="0" applyFill="1" applyBorder="1"/>
    <xf numFmtId="173" fontId="0" fillId="8" borderId="1" xfId="0" applyNumberFormat="1" applyFill="1" applyBorder="1"/>
    <xf numFmtId="173" fontId="0" fillId="8" borderId="15" xfId="0" applyNumberFormat="1" applyFill="1" applyBorder="1"/>
    <xf numFmtId="0" fontId="0" fillId="41" borderId="1" xfId="0" applyFill="1" applyBorder="1" applyAlignment="1">
      <alignment wrapText="1"/>
    </xf>
    <xf numFmtId="0" fontId="0" fillId="41" borderId="1" xfId="0" applyFill="1" applyBorder="1"/>
    <xf numFmtId="173" fontId="0" fillId="41" borderId="1" xfId="0" applyNumberFormat="1" applyFill="1" applyBorder="1"/>
    <xf numFmtId="173" fontId="0" fillId="41" borderId="15" xfId="0" applyNumberFormat="1" applyFill="1" applyBorder="1"/>
    <xf numFmtId="0" fontId="0" fillId="42" borderId="1" xfId="0" applyFill="1" applyBorder="1"/>
    <xf numFmtId="173" fontId="0" fillId="42" borderId="1" xfId="0" applyNumberFormat="1" applyFill="1" applyBorder="1"/>
    <xf numFmtId="173" fontId="0" fillId="42" borderId="15" xfId="0" applyNumberFormat="1" applyFill="1" applyBorder="1"/>
    <xf numFmtId="0" fontId="0" fillId="2" borderId="36" xfId="0" applyFill="1" applyBorder="1"/>
    <xf numFmtId="0" fontId="0" fillId="2" borderId="39" xfId="0" applyFill="1" applyBorder="1"/>
    <xf numFmtId="0" fontId="0" fillId="2" borderId="3" xfId="0" applyFill="1" applyBorder="1"/>
    <xf numFmtId="3" fontId="0" fillId="0" borderId="36" xfId="0" applyNumberFormat="1" applyBorder="1" applyAlignment="1">
      <alignment horizontal="center" vertical="center"/>
    </xf>
    <xf numFmtId="173" fontId="0" fillId="2" borderId="36" xfId="0" applyNumberFormat="1" applyFill="1" applyBorder="1"/>
    <xf numFmtId="0" fontId="0" fillId="23" borderId="36" xfId="0" applyFill="1" applyBorder="1"/>
    <xf numFmtId="0" fontId="0" fillId="23" borderId="3" xfId="0" applyFill="1" applyBorder="1"/>
    <xf numFmtId="173" fontId="0" fillId="23" borderId="3" xfId="0" applyNumberFormat="1" applyFill="1" applyBorder="1"/>
    <xf numFmtId="173" fontId="0" fillId="23" borderId="15" xfId="0" applyNumberFormat="1" applyFill="1" applyBorder="1"/>
    <xf numFmtId="0" fontId="0" fillId="23" borderId="34" xfId="0" applyFill="1" applyBorder="1"/>
    <xf numFmtId="0" fontId="0" fillId="23" borderId="1" xfId="0" applyFill="1" applyBorder="1"/>
    <xf numFmtId="173" fontId="0" fillId="23" borderId="1" xfId="0" applyNumberFormat="1" applyFill="1" applyBorder="1"/>
    <xf numFmtId="173" fontId="0" fillId="2" borderId="3" xfId="0" applyNumberFormat="1" applyFill="1" applyBorder="1"/>
    <xf numFmtId="173" fontId="0" fillId="2" borderId="56" xfId="0" applyNumberFormat="1" applyFill="1" applyBorder="1"/>
    <xf numFmtId="0" fontId="0" fillId="43" borderId="7" xfId="0" applyFill="1" applyBorder="1"/>
    <xf numFmtId="0" fontId="0" fillId="43" borderId="36" xfId="0" applyFill="1" applyBorder="1"/>
    <xf numFmtId="173" fontId="0" fillId="43" borderId="36" xfId="0" applyNumberFormat="1" applyFill="1" applyBorder="1"/>
    <xf numFmtId="173" fontId="0" fillId="43" borderId="37" xfId="0" applyNumberFormat="1" applyFill="1" applyBorder="1"/>
    <xf numFmtId="0" fontId="0" fillId="43" borderId="0" xfId="0" applyFill="1"/>
    <xf numFmtId="0" fontId="0" fillId="43" borderId="1" xfId="0" applyFill="1" applyBorder="1"/>
    <xf numFmtId="173" fontId="0" fillId="43" borderId="1" xfId="0" applyNumberFormat="1" applyFill="1" applyBorder="1"/>
    <xf numFmtId="173" fontId="0" fillId="43" borderId="15" xfId="0" applyNumberFormat="1" applyFill="1" applyBorder="1"/>
    <xf numFmtId="0" fontId="0" fillId="43" borderId="12" xfId="0" applyFill="1" applyBorder="1"/>
    <xf numFmtId="0" fontId="0" fillId="43" borderId="34" xfId="0" applyFill="1" applyBorder="1"/>
    <xf numFmtId="173" fontId="0" fillId="43" borderId="34" xfId="0" applyNumberFormat="1" applyFill="1" applyBorder="1"/>
    <xf numFmtId="173" fontId="0" fillId="43" borderId="35" xfId="0" applyNumberFormat="1" applyFill="1" applyBorder="1"/>
    <xf numFmtId="0" fontId="0" fillId="11" borderId="7" xfId="0" applyFill="1" applyBorder="1"/>
    <xf numFmtId="0" fontId="0" fillId="11" borderId="36" xfId="0" applyFill="1" applyBorder="1"/>
    <xf numFmtId="173" fontId="0" fillId="11" borderId="36" xfId="0" applyNumberFormat="1" applyFill="1" applyBorder="1"/>
    <xf numFmtId="173" fontId="0" fillId="11" borderId="37" xfId="0" applyNumberFormat="1" applyFill="1" applyBorder="1"/>
    <xf numFmtId="0" fontId="0" fillId="11" borderId="1" xfId="0" applyFill="1" applyBorder="1"/>
    <xf numFmtId="173" fontId="0" fillId="11" borderId="1" xfId="0" applyNumberFormat="1" applyFill="1" applyBorder="1"/>
    <xf numFmtId="173" fontId="0" fillId="11" borderId="15" xfId="0" applyNumberFormat="1" applyFill="1" applyBorder="1"/>
    <xf numFmtId="0" fontId="0" fillId="11" borderId="12" xfId="0" applyFill="1" applyBorder="1"/>
    <xf numFmtId="0" fontId="0" fillId="11" borderId="34" xfId="0" applyFill="1" applyBorder="1"/>
    <xf numFmtId="173" fontId="0" fillId="11" borderId="34" xfId="0" applyNumberFormat="1" applyFill="1" applyBorder="1"/>
    <xf numFmtId="173" fontId="0" fillId="11" borderId="35" xfId="0" applyNumberFormat="1" applyFill="1" applyBorder="1"/>
    <xf numFmtId="175" fontId="0" fillId="0" borderId="0" xfId="0" applyNumberFormat="1" applyAlignment="1">
      <alignment vertical="center"/>
    </xf>
    <xf numFmtId="180" fontId="8" fillId="0" borderId="0" xfId="0" applyNumberFormat="1" applyFont="1"/>
    <xf numFmtId="0" fontId="94" fillId="0" borderId="60" xfId="0" applyFont="1" applyBorder="1" applyAlignment="1">
      <alignment horizontal="left" wrapText="1" readingOrder="1"/>
    </xf>
    <xf numFmtId="0" fontId="94" fillId="0" borderId="60" xfId="0" applyFont="1" applyBorder="1" applyAlignment="1">
      <alignment horizontal="right" wrapText="1" readingOrder="1"/>
    </xf>
    <xf numFmtId="180" fontId="8" fillId="0" borderId="1" xfId="1" applyNumberFormat="1" applyFont="1" applyBorder="1"/>
    <xf numFmtId="0" fontId="8" fillId="0" borderId="1" xfId="0" applyFont="1" applyBorder="1"/>
    <xf numFmtId="180" fontId="8" fillId="0" borderId="0" xfId="1" applyNumberFormat="1" applyFont="1" applyFill="1"/>
    <xf numFmtId="39" fontId="8" fillId="0" borderId="0" xfId="0" applyNumberFormat="1" applyFont="1"/>
    <xf numFmtId="180" fontId="8" fillId="0" borderId="0" xfId="1" applyNumberFormat="1" applyFont="1" applyFill="1" applyAlignment="1">
      <alignment vertical="top"/>
    </xf>
    <xf numFmtId="201" fontId="94" fillId="0" borderId="0" xfId="0" applyNumberFormat="1" applyFont="1" applyAlignment="1">
      <alignment horizontal="right" vertical="top" wrapText="1" readingOrder="1"/>
    </xf>
    <xf numFmtId="43" fontId="95" fillId="0" borderId="26" xfId="1" applyFont="1" applyBorder="1"/>
    <xf numFmtId="0" fontId="95" fillId="0" borderId="27" xfId="0" applyFont="1" applyBorder="1"/>
    <xf numFmtId="0" fontId="95" fillId="0" borderId="28" xfId="0" applyFont="1" applyBorder="1"/>
    <xf numFmtId="180" fontId="96" fillId="14" borderId="1" xfId="1" applyNumberFormat="1" applyFont="1" applyFill="1" applyBorder="1"/>
    <xf numFmtId="180" fontId="8" fillId="0" borderId="20" xfId="1" applyNumberFormat="1" applyFont="1" applyBorder="1"/>
    <xf numFmtId="180" fontId="8" fillId="0" borderId="5" xfId="1" applyNumberFormat="1" applyFont="1" applyBorder="1"/>
    <xf numFmtId="180" fontId="95" fillId="14" borderId="1" xfId="1" applyNumberFormat="1" applyFont="1" applyFill="1" applyBorder="1"/>
    <xf numFmtId="180" fontId="8" fillId="0" borderId="1" xfId="1" applyNumberFormat="1" applyFont="1" applyFill="1" applyBorder="1"/>
    <xf numFmtId="180" fontId="8" fillId="8" borderId="0" xfId="1" applyNumberFormat="1" applyFont="1" applyFill="1"/>
    <xf numFmtId="44" fontId="11" fillId="0" borderId="0" xfId="0" applyNumberFormat="1" applyFont="1" applyAlignment="1">
      <alignment horizontal="center"/>
    </xf>
    <xf numFmtId="2" fontId="0" fillId="0" borderId="0" xfId="12" applyNumberFormat="1" applyFont="1" applyBorder="1"/>
    <xf numFmtId="0" fontId="11" fillId="0" borderId="0" xfId="0" applyFont="1" applyAlignment="1">
      <alignment horizontal="right"/>
    </xf>
    <xf numFmtId="0" fontId="11" fillId="44" borderId="0" xfId="0" applyFont="1" applyFill="1"/>
    <xf numFmtId="44" fontId="11" fillId="44" borderId="0" xfId="0" applyNumberFormat="1" applyFont="1" applyFill="1"/>
    <xf numFmtId="177" fontId="23" fillId="0" borderId="0" xfId="7" applyNumberFormat="1" applyAlignment="1">
      <alignment horizontal="center"/>
    </xf>
    <xf numFmtId="177" fontId="47" fillId="0" borderId="0" xfId="7" applyNumberFormat="1" applyFont="1" applyBorder="1" applyAlignment="1">
      <alignment horizontal="center"/>
    </xf>
    <xf numFmtId="0" fontId="37" fillId="0" borderId="6" xfId="7" applyFont="1" applyBorder="1" applyAlignment="1">
      <alignment horizontal="center"/>
    </xf>
    <xf numFmtId="0" fontId="37" fillId="0" borderId="7" xfId="7" applyFont="1" applyBorder="1" applyAlignment="1">
      <alignment horizontal="center"/>
    </xf>
    <xf numFmtId="0" fontId="37" fillId="0" borderId="9" xfId="7" applyFont="1" applyBorder="1" applyAlignment="1">
      <alignment horizontal="center"/>
    </xf>
    <xf numFmtId="0" fontId="37" fillId="0" borderId="0" xfId="7" applyFont="1" applyBorder="1" applyAlignment="1">
      <alignment horizontal="center"/>
    </xf>
    <xf numFmtId="0" fontId="24" fillId="0" borderId="0" xfId="7" applyFont="1" applyFill="1" applyBorder="1" applyAlignment="1">
      <alignment wrapText="1"/>
    </xf>
    <xf numFmtId="0" fontId="15" fillId="0" borderId="0" xfId="0" applyFont="1" applyAlignment="1">
      <alignment wrapText="1"/>
    </xf>
    <xf numFmtId="181" fontId="0" fillId="0" borderId="0" xfId="12" applyNumberFormat="1" applyFont="1" applyBorder="1" applyAlignment="1">
      <alignment horizontal="center" wrapText="1"/>
    </xf>
    <xf numFmtId="181" fontId="0" fillId="0" borderId="10" xfId="12" applyNumberFormat="1" applyFont="1" applyBorder="1" applyAlignment="1">
      <alignment horizontal="center" wrapText="1"/>
    </xf>
    <xf numFmtId="177" fontId="49" fillId="0" borderId="0" xfId="7" applyNumberFormat="1" applyFont="1" applyBorder="1" applyAlignment="1">
      <alignment horizontal="right"/>
    </xf>
    <xf numFmtId="44" fontId="11" fillId="44" borderId="0" xfId="0" applyNumberFormat="1" applyFont="1" applyFill="1" applyAlignment="1">
      <alignment horizontal="center"/>
    </xf>
    <xf numFmtId="0" fontId="11" fillId="44" borderId="0" xfId="0" applyFont="1" applyFill="1" applyAlignment="1">
      <alignment horizontal="center"/>
    </xf>
    <xf numFmtId="0" fontId="11" fillId="44" borderId="24" xfId="0" applyFont="1" applyFill="1" applyBorder="1" applyAlignment="1">
      <alignment horizontal="center"/>
    </xf>
    <xf numFmtId="0" fontId="34" fillId="0" borderId="0" xfId="0" applyFont="1" applyAlignment="1">
      <alignment horizontal="center" vertical="center" wrapText="1"/>
    </xf>
    <xf numFmtId="173" fontId="11" fillId="30" borderId="1" xfId="2" applyNumberFormat="1" applyFont="1" applyFill="1" applyBorder="1" applyAlignment="1">
      <alignment horizontal="right"/>
    </xf>
    <xf numFmtId="173" fontId="34" fillId="39" borderId="1" xfId="2" applyNumberFormat="1" applyFont="1" applyFill="1" applyBorder="1" applyAlignment="1">
      <alignment horizontal="right"/>
    </xf>
    <xf numFmtId="44" fontId="34" fillId="23" borderId="1" xfId="2" applyFont="1" applyFill="1" applyBorder="1" applyAlignment="1">
      <alignment horizontal="center" vertical="center"/>
    </xf>
    <xf numFmtId="44" fontId="34" fillId="3" borderId="1" xfId="2" applyFont="1" applyFill="1" applyBorder="1" applyAlignment="1">
      <alignment horizontal="center"/>
    </xf>
    <xf numFmtId="44" fontId="34" fillId="38" borderId="2" xfId="2" applyFont="1" applyFill="1" applyBorder="1" applyAlignment="1">
      <alignment horizontal="center"/>
    </xf>
    <xf numFmtId="44" fontId="34" fillId="38" borderId="19" xfId="2" applyFont="1" applyFill="1" applyBorder="1" applyAlignment="1">
      <alignment horizontal="center"/>
    </xf>
    <xf numFmtId="44" fontId="34" fillId="38" borderId="20" xfId="2" applyFont="1" applyFill="1" applyBorder="1" applyAlignment="1">
      <alignment horizontal="center"/>
    </xf>
    <xf numFmtId="44" fontId="34" fillId="2" borderId="31" xfId="2" applyFont="1" applyFill="1" applyBorder="1" applyAlignment="1">
      <alignment vertical="top"/>
    </xf>
    <xf numFmtId="44" fontId="11" fillId="7" borderId="0" xfId="0" applyNumberFormat="1" applyFont="1" applyFill="1" applyAlignment="1">
      <alignment horizontal="center"/>
    </xf>
    <xf numFmtId="0" fontId="0" fillId="0" borderId="18" xfId="0" applyBorder="1" applyAlignment="1">
      <alignment horizontal="center" wrapText="1"/>
    </xf>
    <xf numFmtId="0" fontId="74" fillId="12" borderId="54" xfId="0" applyFont="1" applyFill="1" applyBorder="1" applyAlignment="1">
      <alignment horizontal="center"/>
    </xf>
    <xf numFmtId="0" fontId="74" fillId="12" borderId="31" xfId="0" applyFont="1" applyFill="1" applyBorder="1" applyAlignment="1">
      <alignment horizontal="center"/>
    </xf>
    <xf numFmtId="0" fontId="74" fillId="12" borderId="32" xfId="0" applyFont="1" applyFill="1" applyBorder="1" applyAlignment="1">
      <alignment horizontal="center"/>
    </xf>
    <xf numFmtId="0" fontId="60" fillId="5" borderId="2" xfId="0" applyFont="1" applyFill="1" applyBorder="1" applyAlignment="1">
      <alignment horizontal="center" vertical="center"/>
    </xf>
    <xf numFmtId="0" fontId="60" fillId="5" borderId="19" xfId="0" applyFont="1" applyFill="1" applyBorder="1" applyAlignment="1">
      <alignment horizontal="center" vertical="center"/>
    </xf>
    <xf numFmtId="0" fontId="60" fillId="5" borderId="20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/>
    </xf>
    <xf numFmtId="0" fontId="17" fillId="5" borderId="19" xfId="0" applyFont="1" applyFill="1" applyBorder="1" applyAlignment="1">
      <alignment horizontal="center"/>
    </xf>
    <xf numFmtId="0" fontId="17" fillId="5" borderId="2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5" borderId="0" xfId="0" applyFont="1" applyFill="1" applyAlignment="1">
      <alignment horizontal="center"/>
    </xf>
    <xf numFmtId="0" fontId="13" fillId="0" borderId="0" xfId="0" applyFont="1" applyAlignment="1">
      <alignment horizontal="center" wrapText="1"/>
    </xf>
    <xf numFmtId="0" fontId="2" fillId="5" borderId="21" xfId="0" applyFont="1" applyFill="1" applyBorder="1" applyAlignment="1">
      <alignment horizontal="left"/>
    </xf>
    <xf numFmtId="0" fontId="2" fillId="5" borderId="22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left"/>
    </xf>
    <xf numFmtId="44" fontId="0" fillId="5" borderId="0" xfId="2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5" borderId="6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172" fontId="0" fillId="11" borderId="0" xfId="0" applyNumberFormat="1" applyFill="1" applyAlignment="1">
      <alignment horizontal="center"/>
    </xf>
    <xf numFmtId="172" fontId="2" fillId="17" borderId="0" xfId="0" applyNumberFormat="1" applyFont="1" applyFill="1" applyAlignment="1">
      <alignment horizontal="center"/>
    </xf>
    <xf numFmtId="172" fontId="2" fillId="14" borderId="0" xfId="0" applyNumberFormat="1" applyFont="1" applyFill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23" borderId="50" xfId="0" applyFill="1" applyBorder="1" applyAlignment="1">
      <alignment horizontal="center" vertical="center" wrapText="1"/>
    </xf>
    <xf numFmtId="0" fontId="0" fillId="23" borderId="52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0" fontId="0" fillId="43" borderId="53" xfId="0" applyFill="1" applyBorder="1" applyAlignment="1">
      <alignment horizontal="center" vertical="center" wrapText="1"/>
    </xf>
    <xf numFmtId="0" fontId="0" fillId="43" borderId="14" xfId="0" applyFill="1" applyBorder="1" applyAlignment="1">
      <alignment horizontal="center" vertical="center" wrapText="1"/>
    </xf>
    <xf numFmtId="0" fontId="0" fillId="43" borderId="49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6" borderId="49" xfId="0" applyFill="1" applyBorder="1" applyAlignment="1">
      <alignment horizontal="center" vertical="center" wrapText="1"/>
    </xf>
    <xf numFmtId="0" fontId="0" fillId="6" borderId="50" xfId="0" applyFill="1" applyBorder="1" applyAlignment="1">
      <alignment horizontal="center" vertical="center" wrapText="1"/>
    </xf>
    <xf numFmtId="0" fontId="0" fillId="6" borderId="51" xfId="0" applyFill="1" applyBorder="1" applyAlignment="1">
      <alignment horizontal="center" vertical="center" wrapText="1"/>
    </xf>
    <xf numFmtId="0" fontId="0" fillId="6" borderId="52" xfId="0" applyFill="1" applyBorder="1" applyAlignment="1">
      <alignment horizontal="center" vertical="center" wrapText="1"/>
    </xf>
    <xf numFmtId="0" fontId="0" fillId="6" borderId="53" xfId="0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2" borderId="49" xfId="0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0" fillId="0" borderId="9" xfId="0" applyBorder="1"/>
    <xf numFmtId="0" fontId="0" fillId="0" borderId="0" xfId="0"/>
    <xf numFmtId="0" fontId="4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wrapText="1" indent="1"/>
    </xf>
    <xf numFmtId="0" fontId="0" fillId="0" borderId="19" xfId="0" applyBorder="1" applyAlignment="1">
      <alignment horizontal="left" wrapText="1" indent="1"/>
    </xf>
    <xf numFmtId="0" fontId="0" fillId="0" borderId="20" xfId="0" applyBorder="1" applyAlignment="1">
      <alignment horizontal="left" wrapText="1" indent="1"/>
    </xf>
    <xf numFmtId="0" fontId="0" fillId="6" borderId="48" xfId="0" applyFill="1" applyBorder="1" applyAlignment="1">
      <alignment horizontal="center" vertical="center" wrapText="1"/>
    </xf>
    <xf numFmtId="0" fontId="93" fillId="0" borderId="0" xfId="0" applyFont="1" applyAlignment="1">
      <alignment horizontal="left" vertical="top" wrapText="1" readingOrder="1"/>
    </xf>
    <xf numFmtId="0" fontId="8" fillId="0" borderId="0" xfId="0" applyFont="1"/>
    <xf numFmtId="0" fontId="94" fillId="0" borderId="0" xfId="0" applyFont="1" applyAlignment="1">
      <alignment horizontal="right" vertical="top" wrapText="1" readingOrder="1"/>
    </xf>
    <xf numFmtId="0" fontId="91" fillId="0" borderId="0" xfId="0" applyFont="1" applyAlignment="1">
      <alignment vertical="top" wrapText="1" readingOrder="1"/>
    </xf>
    <xf numFmtId="0" fontId="101" fillId="0" borderId="0" xfId="0" applyFont="1" applyAlignment="1">
      <alignment horizontal="left" wrapText="1" readingOrder="1"/>
    </xf>
    <xf numFmtId="201" fontId="94" fillId="0" borderId="0" xfId="0" applyNumberFormat="1" applyFont="1" applyAlignment="1">
      <alignment horizontal="right" vertical="top" wrapText="1" readingOrder="1"/>
    </xf>
    <xf numFmtId="0" fontId="8" fillId="0" borderId="0" xfId="0" applyFont="1" applyAlignment="1">
      <alignment vertical="top" wrapText="1"/>
    </xf>
    <xf numFmtId="0" fontId="100" fillId="0" borderId="0" xfId="0" applyFont="1" applyAlignment="1">
      <alignment horizontal="left" wrapText="1" readingOrder="1"/>
    </xf>
    <xf numFmtId="199" fontId="93" fillId="0" borderId="0" xfId="0" applyNumberFormat="1" applyFont="1" applyAlignment="1">
      <alignment horizontal="left" vertical="top" wrapText="1" readingOrder="1"/>
    </xf>
    <xf numFmtId="200" fontId="93" fillId="0" borderId="0" xfId="0" applyNumberFormat="1" applyFont="1" applyAlignment="1">
      <alignment horizontal="right" vertical="top" wrapText="1" readingOrder="1"/>
    </xf>
    <xf numFmtId="201" fontId="94" fillId="0" borderId="59" xfId="0" applyNumberFormat="1" applyFont="1" applyBorder="1" applyAlignment="1">
      <alignment horizontal="right" vertical="top" wrapText="1" readingOrder="1"/>
    </xf>
    <xf numFmtId="0" fontId="8" fillId="0" borderId="59" xfId="0" applyFont="1" applyBorder="1" applyAlignment="1">
      <alignment vertical="top" wrapText="1"/>
    </xf>
    <xf numFmtId="200" fontId="93" fillId="0" borderId="61" xfId="0" applyNumberFormat="1" applyFont="1" applyBorder="1" applyAlignment="1">
      <alignment horizontal="right" vertical="top" wrapText="1" readingOrder="1"/>
    </xf>
    <xf numFmtId="0" fontId="99" fillId="0" borderId="0" xfId="0" applyFont="1" applyAlignment="1">
      <alignment horizontal="left" wrapText="1" readingOrder="1"/>
    </xf>
    <xf numFmtId="0" fontId="92" fillId="0" borderId="0" xfId="0" applyFont="1" applyAlignment="1">
      <alignment horizontal="left" wrapText="1" readingOrder="1"/>
    </xf>
    <xf numFmtId="0" fontId="92" fillId="0" borderId="0" xfId="0" applyFont="1" applyAlignment="1">
      <alignment horizontal="center" vertical="top" wrapText="1" readingOrder="1"/>
    </xf>
    <xf numFmtId="0" fontId="98" fillId="0" borderId="0" xfId="0" applyFont="1" applyAlignment="1">
      <alignment horizontal="center" vertical="top" wrapText="1" readingOrder="1"/>
    </xf>
    <xf numFmtId="0" fontId="94" fillId="0" borderId="60" xfId="0" applyFont="1" applyBorder="1" applyAlignment="1">
      <alignment horizontal="left" wrapText="1" readingOrder="1"/>
    </xf>
    <xf numFmtId="0" fontId="8" fillId="0" borderId="60" xfId="0" applyFont="1" applyBorder="1" applyAlignment="1">
      <alignment vertical="top" wrapText="1"/>
    </xf>
    <xf numFmtId="0" fontId="94" fillId="0" borderId="60" xfId="0" applyFont="1" applyBorder="1" applyAlignment="1">
      <alignment horizontal="right" wrapText="1" readingOrder="1"/>
    </xf>
    <xf numFmtId="0" fontId="2" fillId="20" borderId="3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52" fillId="26" borderId="1" xfId="0" applyFont="1" applyFill="1" applyBorder="1" applyAlignment="1">
      <alignment horizontal="center" vertical="center"/>
    </xf>
    <xf numFmtId="0" fontId="52" fillId="26" borderId="2" xfId="0" applyFont="1" applyFill="1" applyBorder="1" applyAlignment="1">
      <alignment horizontal="center" vertical="center"/>
    </xf>
    <xf numFmtId="0" fontId="52" fillId="26" borderId="19" xfId="0" applyFont="1" applyFill="1" applyBorder="1" applyAlignment="1">
      <alignment horizontal="center" vertical="center"/>
    </xf>
    <xf numFmtId="0" fontId="52" fillId="26" borderId="20" xfId="0" applyFont="1" applyFill="1" applyBorder="1" applyAlignment="1">
      <alignment horizontal="center" vertical="center"/>
    </xf>
    <xf numFmtId="0" fontId="54" fillId="26" borderId="1" xfId="0" applyFont="1" applyFill="1" applyBorder="1" applyAlignment="1">
      <alignment horizontal="center"/>
    </xf>
    <xf numFmtId="0" fontId="55" fillId="26" borderId="2" xfId="0" applyFont="1" applyFill="1" applyBorder="1" applyAlignment="1">
      <alignment horizontal="center" vertical="center"/>
    </xf>
    <xf numFmtId="0" fontId="55" fillId="26" borderId="19" xfId="0" applyFont="1" applyFill="1" applyBorder="1" applyAlignment="1">
      <alignment horizontal="center" vertical="center"/>
    </xf>
    <xf numFmtId="0" fontId="55" fillId="26" borderId="20" xfId="0" applyFont="1" applyFill="1" applyBorder="1" applyAlignment="1">
      <alignment horizontal="center" vertical="center"/>
    </xf>
    <xf numFmtId="0" fontId="53" fillId="26" borderId="22" xfId="0" applyFont="1" applyFill="1" applyBorder="1"/>
    <xf numFmtId="0" fontId="2" fillId="2" borderId="1" xfId="0" applyFont="1" applyFill="1" applyBorder="1" applyAlignment="1">
      <alignment horizontal="center"/>
    </xf>
    <xf numFmtId="0" fontId="87" fillId="3" borderId="2" xfId="0" applyFont="1" applyFill="1" applyBorder="1" applyAlignment="1">
      <alignment horizontal="center"/>
    </xf>
    <xf numFmtId="0" fontId="87" fillId="3" borderId="19" xfId="0" applyFont="1" applyFill="1" applyBorder="1" applyAlignment="1">
      <alignment horizontal="center"/>
    </xf>
    <xf numFmtId="0" fontId="87" fillId="3" borderId="20" xfId="0" applyFont="1" applyFill="1" applyBorder="1" applyAlignment="1">
      <alignment horizontal="center"/>
    </xf>
    <xf numFmtId="0" fontId="2" fillId="33" borderId="2" xfId="0" applyFont="1" applyFill="1" applyBorder="1" applyAlignment="1">
      <alignment horizontal="center"/>
    </xf>
    <xf numFmtId="0" fontId="2" fillId="33" borderId="19" xfId="0" applyFont="1" applyFill="1" applyBorder="1" applyAlignment="1">
      <alignment horizontal="center"/>
    </xf>
    <xf numFmtId="0" fontId="2" fillId="33" borderId="20" xfId="0" applyFont="1" applyFill="1" applyBorder="1" applyAlignment="1">
      <alignment horizontal="center"/>
    </xf>
    <xf numFmtId="0" fontId="81" fillId="17" borderId="2" xfId="0" applyFont="1" applyFill="1" applyBorder="1" applyAlignment="1">
      <alignment horizontal="center" vertical="top"/>
    </xf>
    <xf numFmtId="0" fontId="81" fillId="17" borderId="19" xfId="0" applyFont="1" applyFill="1" applyBorder="1" applyAlignment="1">
      <alignment horizontal="center" vertical="top"/>
    </xf>
    <xf numFmtId="0" fontId="81" fillId="17" borderId="20" xfId="0" applyFont="1" applyFill="1" applyBorder="1" applyAlignment="1">
      <alignment horizontal="center" vertical="top"/>
    </xf>
    <xf numFmtId="0" fontId="2" fillId="3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65" fillId="16" borderId="27" xfId="0" applyFont="1" applyFill="1" applyBorder="1" applyAlignment="1">
      <alignment horizontal="center" vertical="center"/>
    </xf>
    <xf numFmtId="0" fontId="2" fillId="15" borderId="45" xfId="0" applyFont="1" applyFill="1" applyBorder="1" applyAlignment="1">
      <alignment horizontal="center"/>
    </xf>
    <xf numFmtId="0" fontId="2" fillId="15" borderId="46" xfId="0" applyFont="1" applyFill="1" applyBorder="1" applyAlignment="1">
      <alignment horizontal="center"/>
    </xf>
    <xf numFmtId="0" fontId="2" fillId="15" borderId="55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19" xfId="0" applyFont="1" applyFill="1" applyBorder="1" applyAlignment="1">
      <alignment horizontal="center"/>
    </xf>
    <xf numFmtId="0" fontId="2" fillId="15" borderId="20" xfId="0" applyFont="1" applyFill="1" applyBorder="1" applyAlignment="1">
      <alignment horizontal="center"/>
    </xf>
    <xf numFmtId="0" fontId="56" fillId="13" borderId="4" xfId="0" applyFont="1" applyFill="1" applyBorder="1" applyAlignment="1">
      <alignment horizontal="left" vertical="center"/>
    </xf>
    <xf numFmtId="0" fontId="56" fillId="13" borderId="5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15" borderId="19" xfId="0" applyFont="1" applyFill="1" applyBorder="1" applyAlignment="1">
      <alignment horizontal="center" vertical="center"/>
    </xf>
    <xf numFmtId="0" fontId="2" fillId="15" borderId="20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56" fillId="13" borderId="4" xfId="0" applyFont="1" applyFill="1" applyBorder="1" applyAlignment="1">
      <alignment horizontal="center" vertical="center"/>
    </xf>
    <xf numFmtId="0" fontId="56" fillId="13" borderId="5" xfId="0" applyFont="1" applyFill="1" applyBorder="1" applyAlignment="1">
      <alignment horizontal="center" vertical="center"/>
    </xf>
    <xf numFmtId="0" fontId="2" fillId="11" borderId="21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2" fillId="11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0" fillId="25" borderId="2" xfId="0" applyFont="1" applyFill="1" applyBorder="1" applyAlignment="1">
      <alignment horizontal="center"/>
    </xf>
    <xf numFmtId="0" fontId="70" fillId="25" borderId="19" xfId="0" applyFont="1" applyFill="1" applyBorder="1" applyAlignment="1">
      <alignment horizontal="center"/>
    </xf>
    <xf numFmtId="0" fontId="70" fillId="25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 vertical="center"/>
    </xf>
    <xf numFmtId="0" fontId="2" fillId="21" borderId="20" xfId="0" applyFont="1" applyFill="1" applyBorder="1" applyAlignment="1">
      <alignment horizontal="center" vertical="center"/>
    </xf>
    <xf numFmtId="0" fontId="66" fillId="0" borderId="2" xfId="0" applyFont="1" applyBorder="1" applyAlignment="1">
      <alignment horizontal="center"/>
    </xf>
    <xf numFmtId="0" fontId="66" fillId="0" borderId="19" xfId="0" applyFont="1" applyBorder="1" applyAlignment="1">
      <alignment horizontal="center"/>
    </xf>
    <xf numFmtId="0" fontId="66" fillId="0" borderId="2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44" fontId="60" fillId="5" borderId="2" xfId="2" applyFont="1" applyFill="1" applyBorder="1" applyAlignment="1">
      <alignment horizontal="center"/>
    </xf>
    <xf numFmtId="44" fontId="60" fillId="5" borderId="19" xfId="2" applyFont="1" applyFill="1" applyBorder="1" applyAlignment="1">
      <alignment horizontal="center"/>
    </xf>
    <xf numFmtId="44" fontId="60" fillId="5" borderId="20" xfId="2" applyFont="1" applyFill="1" applyBorder="1" applyAlignment="1">
      <alignment horizontal="center"/>
    </xf>
    <xf numFmtId="0" fontId="60" fillId="5" borderId="30" xfId="0" applyFont="1" applyFill="1" applyBorder="1" applyAlignment="1">
      <alignment horizontal="left"/>
    </xf>
    <xf numFmtId="0" fontId="60" fillId="5" borderId="31" xfId="0" applyFont="1" applyFill="1" applyBorder="1" applyAlignment="1">
      <alignment horizontal="left"/>
    </xf>
    <xf numFmtId="0" fontId="60" fillId="5" borderId="32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2" fillId="17" borderId="21" xfId="0" applyFont="1" applyFill="1" applyBorder="1" applyAlignment="1">
      <alignment horizontal="center"/>
    </xf>
    <xf numFmtId="0" fontId="2" fillId="17" borderId="22" xfId="0" applyFont="1" applyFill="1" applyBorder="1" applyAlignment="1">
      <alignment horizontal="center"/>
    </xf>
    <xf numFmtId="0" fontId="2" fillId="17" borderId="23" xfId="0" applyFont="1" applyFill="1" applyBorder="1" applyAlignment="1">
      <alignment horizontal="center"/>
    </xf>
    <xf numFmtId="0" fontId="0" fillId="17" borderId="25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30" xfId="0" applyFill="1" applyBorder="1" applyAlignment="1">
      <alignment horizontal="center"/>
    </xf>
    <xf numFmtId="0" fontId="0" fillId="17" borderId="31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68" fillId="5" borderId="21" xfId="0" applyFont="1" applyFill="1" applyBorder="1" applyAlignment="1">
      <alignment horizontal="center" vertical="center"/>
    </xf>
    <xf numFmtId="0" fontId="68" fillId="5" borderId="22" xfId="0" applyFont="1" applyFill="1" applyBorder="1" applyAlignment="1">
      <alignment horizontal="center" vertical="center"/>
    </xf>
    <xf numFmtId="0" fontId="68" fillId="5" borderId="23" xfId="0" applyFont="1" applyFill="1" applyBorder="1" applyAlignment="1">
      <alignment horizontal="center" vertical="center"/>
    </xf>
    <xf numFmtId="0" fontId="68" fillId="5" borderId="30" xfId="0" applyFont="1" applyFill="1" applyBorder="1" applyAlignment="1">
      <alignment horizontal="center" vertical="center"/>
    </xf>
    <xf numFmtId="0" fontId="68" fillId="5" borderId="31" xfId="0" applyFont="1" applyFill="1" applyBorder="1" applyAlignment="1">
      <alignment horizontal="center" vertical="center"/>
    </xf>
    <xf numFmtId="0" fontId="68" fillId="5" borderId="32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58" fillId="26" borderId="9" xfId="0" applyFont="1" applyFill="1" applyBorder="1" applyAlignment="1">
      <alignment horizontal="center"/>
    </xf>
    <xf numFmtId="0" fontId="58" fillId="26" borderId="0" xfId="0" applyFont="1" applyFill="1" applyAlignment="1">
      <alignment horizontal="center"/>
    </xf>
    <xf numFmtId="0" fontId="25" fillId="26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59" fillId="17" borderId="9" xfId="0" applyFont="1" applyFill="1" applyBorder="1" applyAlignment="1">
      <alignment horizontal="center"/>
    </xf>
    <xf numFmtId="0" fontId="59" fillId="17" borderId="0" xfId="0" applyFont="1" applyFill="1" applyAlignment="1">
      <alignment horizontal="center"/>
    </xf>
    <xf numFmtId="0" fontId="13" fillId="26" borderId="0" xfId="0" applyFont="1" applyFill="1" applyAlignment="1">
      <alignment horizontal="center" vertical="center"/>
    </xf>
    <xf numFmtId="0" fontId="13" fillId="26" borderId="3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5" fillId="2" borderId="25" xfId="0" applyFont="1" applyFill="1" applyBorder="1" applyAlignment="1">
      <alignment horizontal="center"/>
    </xf>
    <xf numFmtId="0" fontId="58" fillId="26" borderId="9" xfId="0" applyFont="1" applyFill="1" applyBorder="1" applyAlignment="1">
      <alignment horizontal="center" vertical="center"/>
    </xf>
    <xf numFmtId="0" fontId="58" fillId="26" borderId="0" xfId="0" applyFont="1" applyFill="1" applyAlignment="1">
      <alignment horizontal="center" vertical="center"/>
    </xf>
  </cellXfs>
  <cellStyles count="14">
    <cellStyle name="Comma 2" xfId="13" xr:uid="{F5E19BAB-07EA-47A1-AED0-24B019A9C25F}"/>
    <cellStyle name="Currency 2" xfId="11" xr:uid="{ADF583E7-E198-49D4-B31E-45BE3EDE827D}"/>
    <cellStyle name="Hiperlink" xfId="8" builtinId="8"/>
    <cellStyle name="Moeda" xfId="2" builtinId="4"/>
    <cellStyle name="Moeda 2" xfId="3" xr:uid="{D5350D54-7FF0-4751-AF2C-BA2568F6CE84}"/>
    <cellStyle name="Moeda 3" xfId="4" xr:uid="{345F4C51-18F6-457F-A1B7-C64FEDFCBF59}"/>
    <cellStyle name="Moeda 4" xfId="5" xr:uid="{EC1EA5DF-641E-4461-A688-E69BE272AA28}"/>
    <cellStyle name="Normal" xfId="0" builtinId="0"/>
    <cellStyle name="Normal 2" xfId="7" xr:uid="{1134909A-846E-4B3C-A200-E02BDEC3B2B7}"/>
    <cellStyle name="Normal 2 2" xfId="6" xr:uid="{7539FEFE-D61E-4B9F-9CF1-8ED33931BFC5}"/>
    <cellStyle name="Normal 3" xfId="9" xr:uid="{5E7D62E3-86A7-4AD1-B615-5510761B8978}"/>
    <cellStyle name="Percent 2" xfId="12" xr:uid="{7D093B49-FC2E-4CA1-AAF3-7870EF388907}"/>
    <cellStyle name="Porcentagem" xfId="10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co/Documents/SCHUH%20m/Safra%202020-2021/OR&#199;AMENTO%20SAFRA%2020-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  <sheetName val="ORÇAMENTO 19-20"/>
      <sheetName val="Peças e concertos"/>
      <sheetName val="Diesel, Gasolina"/>
      <sheetName val="Lubrificantes"/>
      <sheetName val="Alimentos"/>
      <sheetName val="Veiculos"/>
      <sheetName val="Utilidades"/>
      <sheetName val="Suprimentos-Serv.Profiss."/>
      <sheetName val="Avião "/>
      <sheetName val="Sal., Provis. e Encarg."/>
      <sheetName val="Quimic. Fertil. Sement."/>
      <sheetName val="Contrat. Serviços "/>
      <sheetName val="Depreciasão "/>
      <sheetName val="Valdimir"/>
      <sheetName val="Romerio (colh)"/>
      <sheetName val="RH "/>
      <sheetName val="Angelo"/>
      <sheetName val=" Marcio Plant e Equi Tec"/>
      <sheetName val="Piru"/>
      <sheetName val="Mineiro "/>
      <sheetName val="Dalv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N7">
            <v>0</v>
          </cell>
        </row>
        <row r="10">
          <cell r="D10">
            <v>0</v>
          </cell>
          <cell r="I10">
            <v>0</v>
          </cell>
        </row>
        <row r="11">
          <cell r="D11">
            <v>0</v>
          </cell>
          <cell r="I11">
            <v>0</v>
          </cell>
        </row>
        <row r="12">
          <cell r="D12">
            <v>0</v>
          </cell>
          <cell r="I12">
            <v>0</v>
          </cell>
        </row>
        <row r="13">
          <cell r="D13">
            <v>0</v>
          </cell>
          <cell r="I13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E36A-047E-4AD1-80D4-A881F329BA9B}">
  <dimension ref="B1:AI104"/>
  <sheetViews>
    <sheetView tabSelected="1" topLeftCell="A19" zoomScale="90" zoomScaleNormal="90" workbookViewId="0">
      <selection activeCell="L23" sqref="L23"/>
    </sheetView>
  </sheetViews>
  <sheetFormatPr defaultColWidth="8.85546875" defaultRowHeight="15" x14ac:dyDescent="0.25"/>
  <cols>
    <col min="1" max="1" width="1.42578125" style="196" customWidth="1"/>
    <col min="2" max="2" width="2.7109375" style="196" customWidth="1"/>
    <col min="3" max="3" width="39.28515625" style="196" customWidth="1"/>
    <col min="4" max="4" width="31" style="239" bestFit="1" customWidth="1"/>
    <col min="5" max="5" width="4.85546875" style="279" customWidth="1"/>
    <col min="6" max="6" width="25.140625" style="239" customWidth="1"/>
    <col min="7" max="7" width="3.28515625" style="239" customWidth="1"/>
    <col min="8" max="8" width="15.85546875" style="279" bestFit="1" customWidth="1"/>
    <col min="9" max="9" width="2.140625" style="279" customWidth="1"/>
    <col min="10" max="10" width="17.28515625" style="357" bestFit="1" customWidth="1"/>
    <col min="11" max="11" width="1.28515625" style="357" customWidth="1"/>
    <col min="12" max="12" width="25.5703125" style="196" customWidth="1"/>
    <col min="13" max="13" width="27.5703125" style="196" bestFit="1" customWidth="1"/>
    <col min="14" max="14" width="12.28515625" style="197" hidden="1" customWidth="1"/>
    <col min="15" max="15" width="15" style="197" hidden="1" customWidth="1"/>
    <col min="16" max="16" width="12.28515625" style="197" hidden="1" customWidth="1"/>
    <col min="17" max="17" width="15" style="196" hidden="1" customWidth="1"/>
    <col min="18" max="18" width="0" style="196" hidden="1" customWidth="1"/>
    <col min="19" max="19" width="12.42578125" style="196" hidden="1" customWidth="1"/>
    <col min="20" max="20" width="0" style="196" hidden="1" customWidth="1"/>
    <col min="21" max="21" width="12.42578125" style="196" hidden="1" customWidth="1"/>
    <col min="22" max="22" width="0" style="196" hidden="1" customWidth="1"/>
    <col min="23" max="23" width="12.42578125" style="196" hidden="1" customWidth="1"/>
    <col min="24" max="26" width="0" style="196" hidden="1" customWidth="1"/>
    <col min="27" max="27" width="35.42578125" style="196" customWidth="1"/>
    <col min="28" max="28" width="15.28515625" style="196" customWidth="1"/>
    <col min="29" max="29" width="14.7109375" style="196" bestFit="1" customWidth="1"/>
    <col min="30" max="30" width="8.85546875" style="196"/>
    <col min="31" max="31" width="7.42578125" style="196" bestFit="1" customWidth="1"/>
    <col min="32" max="32" width="8.85546875" style="196"/>
    <col min="33" max="33" width="9.28515625" style="196" customWidth="1"/>
    <col min="34" max="16384" width="8.85546875" style="196"/>
  </cols>
  <sheetData>
    <row r="1" spans="2:35" ht="15.75" customHeight="1" x14ac:dyDescent="0.25">
      <c r="B1" s="1100" t="s">
        <v>684</v>
      </c>
      <c r="C1" s="1101"/>
      <c r="D1" s="1101"/>
      <c r="E1" s="1101"/>
      <c r="F1" s="1101"/>
      <c r="G1" s="1101"/>
      <c r="H1" s="1101"/>
      <c r="I1" s="1101"/>
      <c r="J1" s="1101"/>
      <c r="K1" s="194"/>
      <c r="L1" s="195"/>
    </row>
    <row r="2" spans="2:35" x14ac:dyDescent="0.25">
      <c r="B2" s="1102" t="s">
        <v>1383</v>
      </c>
      <c r="C2" s="1103"/>
      <c r="D2" s="1103"/>
      <c r="E2" s="1103"/>
      <c r="F2" s="1103"/>
      <c r="G2" s="1103"/>
      <c r="H2" s="1103"/>
      <c r="I2" s="1103"/>
      <c r="J2" s="1103"/>
      <c r="K2" s="198"/>
      <c r="L2" s="199"/>
      <c r="AB2" s="200">
        <f>$AB$16+(AD2*$AB$19)</f>
        <v>8945727.4073581547</v>
      </c>
      <c r="AC2" s="201"/>
      <c r="AD2" s="201">
        <v>1.2</v>
      </c>
      <c r="AE2" s="202"/>
      <c r="AF2" s="202"/>
      <c r="AG2" s="202"/>
      <c r="AH2" s="201"/>
    </row>
    <row r="3" spans="2:35" ht="11.25" customHeight="1" x14ac:dyDescent="0.2">
      <c r="B3" s="203" t="s">
        <v>305</v>
      </c>
      <c r="C3" s="204"/>
      <c r="D3" s="205"/>
      <c r="E3" s="205"/>
      <c r="F3" s="693"/>
      <c r="G3" s="693"/>
      <c r="H3" s="205"/>
      <c r="I3" s="205"/>
      <c r="J3" s="206"/>
      <c r="K3" s="206"/>
      <c r="L3" s="694"/>
      <c r="AB3" s="207">
        <f>$AB$16+(AD3*$AB$19)</f>
        <v>8648569.5153848995</v>
      </c>
      <c r="AC3" s="208"/>
      <c r="AD3" s="208">
        <v>1.1499999999999999</v>
      </c>
      <c r="AE3" s="209"/>
      <c r="AF3" s="209"/>
      <c r="AG3" s="209"/>
      <c r="AH3" s="201"/>
    </row>
    <row r="4" spans="2:35" ht="15.75" customHeight="1" x14ac:dyDescent="0.2">
      <c r="B4" s="210"/>
      <c r="C4" s="211"/>
      <c r="D4" s="212" t="s">
        <v>306</v>
      </c>
      <c r="E4" s="213"/>
      <c r="F4" s="212" t="s">
        <v>212</v>
      </c>
      <c r="G4" s="214"/>
      <c r="H4" s="212" t="s">
        <v>307</v>
      </c>
      <c r="I4" s="215"/>
      <c r="J4" s="216" t="s">
        <v>308</v>
      </c>
      <c r="K4" s="217"/>
      <c r="L4" s="695" t="s">
        <v>1</v>
      </c>
      <c r="AB4" s="200">
        <f>$AB$16+(AD4*$AB$19)</f>
        <v>8351411.6234116433</v>
      </c>
      <c r="AC4" s="218"/>
      <c r="AD4" s="201">
        <v>1.1000000000000001</v>
      </c>
      <c r="AE4" s="219"/>
      <c r="AF4" s="219"/>
      <c r="AG4" s="219"/>
      <c r="AH4" s="220"/>
    </row>
    <row r="5" spans="2:35" ht="12.75" x14ac:dyDescent="0.2">
      <c r="B5" s="210"/>
      <c r="C5" s="221" t="s">
        <v>831</v>
      </c>
      <c r="D5" s="222">
        <v>0</v>
      </c>
      <c r="E5" s="223"/>
      <c r="F5" s="222">
        <v>900</v>
      </c>
      <c r="G5" s="224"/>
      <c r="H5" s="222">
        <v>1380</v>
      </c>
      <c r="I5" s="224"/>
      <c r="J5" s="222" t="s">
        <v>309</v>
      </c>
      <c r="K5" s="217"/>
      <c r="L5" s="696">
        <f>D5+F5+H5</f>
        <v>2280</v>
      </c>
      <c r="AA5" s="225" t="s">
        <v>310</v>
      </c>
      <c r="AB5" s="207">
        <f>$AB$16+(AD5*$AB$19)</f>
        <v>8054253.7314383872</v>
      </c>
      <c r="AC5" s="208"/>
      <c r="AD5" s="208">
        <v>1.05</v>
      </c>
      <c r="AE5" s="209"/>
      <c r="AF5" s="209"/>
      <c r="AG5" s="209"/>
      <c r="AH5" s="220"/>
    </row>
    <row r="6" spans="2:35" ht="12.75" x14ac:dyDescent="0.2">
      <c r="B6" s="210"/>
      <c r="C6" s="226"/>
      <c r="D6" s="227">
        <f>D5/$L5</f>
        <v>0</v>
      </c>
      <c r="E6" s="228" t="s">
        <v>310</v>
      </c>
      <c r="F6" s="227">
        <f>F5/$L5</f>
        <v>0.39473684210526316</v>
      </c>
      <c r="G6" s="227" t="s">
        <v>310</v>
      </c>
      <c r="H6" s="227">
        <f>H5/$L5</f>
        <v>0.60526315789473684</v>
      </c>
      <c r="I6" s="228"/>
      <c r="J6" s="229"/>
      <c r="K6" s="229"/>
      <c r="L6" s="230">
        <f>SUM(D6:K6)</f>
        <v>1</v>
      </c>
      <c r="AB6" s="231">
        <f>D80</f>
        <v>7757095.8394651301</v>
      </c>
      <c r="AC6" s="225"/>
      <c r="AD6" s="232">
        <v>1</v>
      </c>
      <c r="AE6" s="233" t="s">
        <v>311</v>
      </c>
      <c r="AF6" s="234"/>
      <c r="AG6" s="234"/>
    </row>
    <row r="7" spans="2:35" ht="15.75" customHeight="1" x14ac:dyDescent="0.2">
      <c r="B7" s="210"/>
      <c r="C7" s="221" t="s">
        <v>312</v>
      </c>
      <c r="D7" s="222">
        <v>0</v>
      </c>
      <c r="E7" s="222"/>
      <c r="F7" s="222">
        <f>F5</f>
        <v>900</v>
      </c>
      <c r="G7" s="222">
        <v>5750</v>
      </c>
      <c r="H7" s="222">
        <f>H5</f>
        <v>1380</v>
      </c>
      <c r="I7" s="224"/>
      <c r="J7" s="222" t="s">
        <v>309</v>
      </c>
      <c r="K7" s="217"/>
      <c r="L7" s="696">
        <f>D7+F7+H7</f>
        <v>2280</v>
      </c>
      <c r="M7" s="196" t="s">
        <v>313</v>
      </c>
      <c r="AA7" s="235"/>
      <c r="AB7" s="207">
        <f t="shared" ref="AB7:AB15" si="0">$AB$16+(AD7*$AB$19)</f>
        <v>7162780.0555186169</v>
      </c>
      <c r="AC7" s="208"/>
      <c r="AD7" s="208">
        <v>0.9</v>
      </c>
      <c r="AE7" s="209"/>
      <c r="AF7" s="209"/>
      <c r="AG7" s="209"/>
      <c r="AH7" s="220"/>
      <c r="AI7" s="220"/>
    </row>
    <row r="8" spans="2:35" ht="11.25" customHeight="1" x14ac:dyDescent="0.2">
      <c r="B8" s="210"/>
      <c r="C8" s="236" t="s">
        <v>832</v>
      </c>
      <c r="D8" s="227">
        <f>D7/$L7</f>
        <v>0</v>
      </c>
      <c r="E8" s="228" t="s">
        <v>310</v>
      </c>
      <c r="F8" s="227">
        <f>F7/$L7</f>
        <v>0.39473684210526316</v>
      </c>
      <c r="G8" s="227" t="s">
        <v>310</v>
      </c>
      <c r="H8" s="227">
        <f>H7/$L7</f>
        <v>0.60526315789473684</v>
      </c>
      <c r="I8" s="228"/>
      <c r="J8" s="229"/>
      <c r="K8" s="229"/>
      <c r="L8" s="230">
        <f>SUM(D8:K8)</f>
        <v>1</v>
      </c>
      <c r="AA8" s="220">
        <v>0</v>
      </c>
      <c r="AB8" s="200">
        <f t="shared" si="0"/>
        <v>6271306.3795988476</v>
      </c>
      <c r="AC8" s="201"/>
      <c r="AD8" s="201">
        <v>0.75</v>
      </c>
      <c r="AE8" s="219"/>
      <c r="AF8" s="219"/>
      <c r="AG8" s="219"/>
      <c r="AH8" s="220"/>
    </row>
    <row r="9" spans="2:35" ht="15.75" customHeight="1" thickBot="1" x14ac:dyDescent="0.25">
      <c r="B9" s="210"/>
      <c r="C9" s="226" t="s">
        <v>310</v>
      </c>
      <c r="D9" s="237" t="s">
        <v>310</v>
      </c>
      <c r="E9" s="238" t="s">
        <v>310</v>
      </c>
      <c r="F9" s="237" t="s">
        <v>310</v>
      </c>
      <c r="G9" s="697" t="s">
        <v>310</v>
      </c>
      <c r="H9" s="237" t="s">
        <v>310</v>
      </c>
      <c r="I9" s="228"/>
      <c r="J9" s="229"/>
      <c r="K9" s="229"/>
      <c r="L9" s="230"/>
      <c r="AA9" s="239">
        <f>AB6-AA10</f>
        <v>7757095.8394651301</v>
      </c>
      <c r="AB9" s="207">
        <f t="shared" si="0"/>
        <v>5676990.5956523344</v>
      </c>
      <c r="AC9" s="208"/>
      <c r="AD9" s="208">
        <v>0.65</v>
      </c>
      <c r="AE9" s="209"/>
      <c r="AF9" s="209"/>
      <c r="AG9" s="209"/>
      <c r="AH9" s="220"/>
    </row>
    <row r="10" spans="2:35" ht="15.75" customHeight="1" thickBot="1" x14ac:dyDescent="0.3">
      <c r="B10" s="210"/>
      <c r="C10" s="211" t="s">
        <v>314</v>
      </c>
      <c r="D10" s="240">
        <v>0</v>
      </c>
      <c r="E10" s="241"/>
      <c r="F10" s="240">
        <v>70</v>
      </c>
      <c r="G10" s="698"/>
      <c r="H10" s="240">
        <v>180</v>
      </c>
      <c r="I10" s="242"/>
      <c r="J10" s="215" t="s">
        <v>309</v>
      </c>
      <c r="K10" s="215"/>
      <c r="L10" s="243"/>
      <c r="M10" s="196" t="s">
        <v>685</v>
      </c>
      <c r="AA10" s="244"/>
      <c r="AB10" s="200">
        <f t="shared" si="0"/>
        <v>4785516.9197325651</v>
      </c>
      <c r="AC10" s="201"/>
      <c r="AD10" s="201">
        <v>0.5</v>
      </c>
      <c r="AE10" s="219"/>
      <c r="AF10" s="219"/>
      <c r="AG10" s="219"/>
      <c r="AH10" s="220"/>
    </row>
    <row r="11" spans="2:35" ht="15.75" customHeight="1" x14ac:dyDescent="0.2">
      <c r="B11" s="210"/>
      <c r="C11" s="211"/>
      <c r="D11" s="245" t="s">
        <v>315</v>
      </c>
      <c r="E11" s="213"/>
      <c r="F11" s="245" t="s">
        <v>316</v>
      </c>
      <c r="G11" s="245"/>
      <c r="H11" s="245" t="s">
        <v>316</v>
      </c>
      <c r="I11" s="245"/>
      <c r="J11" s="217"/>
      <c r="K11" s="215"/>
      <c r="L11" s="243"/>
      <c r="M11" s="196" t="s">
        <v>317</v>
      </c>
      <c r="AA11" s="244">
        <f>D43</f>
        <v>0</v>
      </c>
      <c r="AB11" s="207">
        <f t="shared" si="0"/>
        <v>4191201.1357860523</v>
      </c>
      <c r="AC11" s="208"/>
      <c r="AD11" s="208">
        <v>0.4</v>
      </c>
      <c r="AE11" s="209"/>
      <c r="AF11" s="209"/>
      <c r="AG11" s="209"/>
      <c r="AH11" s="220"/>
    </row>
    <row r="12" spans="2:35" ht="13.5" thickBot="1" x14ac:dyDescent="0.25">
      <c r="B12" s="210"/>
      <c r="C12" s="211"/>
      <c r="D12" s="246"/>
      <c r="E12" s="247"/>
      <c r="F12" s="246"/>
      <c r="G12" s="246"/>
      <c r="H12" s="246"/>
      <c r="I12" s="246"/>
      <c r="J12" s="215"/>
      <c r="K12" s="215"/>
      <c r="L12" s="243"/>
      <c r="M12" s="196" t="s">
        <v>318</v>
      </c>
      <c r="AA12" s="244">
        <f>D45</f>
        <v>14904000</v>
      </c>
      <c r="AB12" s="200">
        <f t="shared" si="0"/>
        <v>3299727.4598662825</v>
      </c>
      <c r="AC12" s="201"/>
      <c r="AD12" s="201">
        <v>0.25</v>
      </c>
      <c r="AE12" s="219"/>
      <c r="AF12" s="219"/>
      <c r="AG12" s="219"/>
      <c r="AH12" s="220"/>
    </row>
    <row r="13" spans="2:35" ht="15.75" thickBot="1" x14ac:dyDescent="0.3">
      <c r="B13" s="210"/>
      <c r="C13" s="248" t="s">
        <v>319</v>
      </c>
      <c r="D13" s="249">
        <v>0</v>
      </c>
      <c r="E13" s="250"/>
      <c r="F13" s="251">
        <v>20</v>
      </c>
      <c r="G13" s="250"/>
      <c r="H13" s="251">
        <f>60/D29</f>
        <v>11.111111111111111</v>
      </c>
      <c r="I13" s="252"/>
      <c r="J13" s="251"/>
      <c r="K13" s="253"/>
      <c r="L13" s="243"/>
      <c r="M13" s="196" t="s">
        <v>320</v>
      </c>
      <c r="P13" s="197" t="s">
        <v>833</v>
      </c>
      <c r="Q13" s="196">
        <v>465439.97375999996</v>
      </c>
      <c r="AA13" s="244">
        <f>D44</f>
        <v>6804000</v>
      </c>
      <c r="AB13" s="207">
        <f t="shared" si="0"/>
        <v>3002569.5678930264</v>
      </c>
      <c r="AC13" s="208"/>
      <c r="AD13" s="208">
        <v>0.2</v>
      </c>
      <c r="AE13" s="209"/>
      <c r="AF13" s="209"/>
      <c r="AG13" s="209"/>
      <c r="AH13" s="220"/>
    </row>
    <row r="14" spans="2:35" ht="12.75" x14ac:dyDescent="0.2">
      <c r="B14" s="210"/>
      <c r="C14" s="1104" t="s">
        <v>321</v>
      </c>
      <c r="D14" s="213" t="s">
        <v>322</v>
      </c>
      <c r="E14" s="213"/>
      <c r="F14" s="213" t="s">
        <v>323</v>
      </c>
      <c r="G14" s="213"/>
      <c r="H14" s="213" t="s">
        <v>324</v>
      </c>
      <c r="I14" s="213"/>
      <c r="J14" s="254" t="s">
        <v>325</v>
      </c>
      <c r="K14" s="255"/>
      <c r="L14" s="243"/>
      <c r="P14" s="197" t="s">
        <v>834</v>
      </c>
      <c r="Q14" s="196">
        <f>Q13*15</f>
        <v>6981599.6063999999</v>
      </c>
      <c r="AB14" s="200">
        <f t="shared" si="0"/>
        <v>2705411.6759197693</v>
      </c>
      <c r="AC14" s="256"/>
      <c r="AD14" s="201">
        <v>0.15</v>
      </c>
      <c r="AE14" s="219"/>
      <c r="AF14" s="219"/>
      <c r="AG14" s="219"/>
      <c r="AH14" s="220"/>
    </row>
    <row r="15" spans="2:35" ht="27" customHeight="1" x14ac:dyDescent="0.2">
      <c r="B15" s="210"/>
      <c r="C15" s="1105"/>
      <c r="D15" s="257" t="s">
        <v>310</v>
      </c>
      <c r="E15" s="213"/>
      <c r="F15" s="213"/>
      <c r="G15" s="213"/>
      <c r="H15" s="213"/>
      <c r="I15" s="213"/>
      <c r="J15" s="254"/>
      <c r="K15" s="255"/>
      <c r="L15" s="243"/>
      <c r="P15" s="197" t="s">
        <v>835</v>
      </c>
      <c r="Q15" s="196">
        <f>Q14/0.45359237</f>
        <v>15391792.428959949</v>
      </c>
      <c r="AB15" s="207">
        <f t="shared" si="0"/>
        <v>2408253.7839465132</v>
      </c>
      <c r="AC15" s="208"/>
      <c r="AD15" s="208">
        <v>0.1</v>
      </c>
      <c r="AE15" s="209"/>
      <c r="AF15" s="209"/>
      <c r="AG15" s="209"/>
      <c r="AH15" s="220"/>
    </row>
    <row r="16" spans="2:35" ht="15.75" customHeight="1" x14ac:dyDescent="0.2">
      <c r="B16" s="210"/>
      <c r="C16" s="248" t="s">
        <v>326</v>
      </c>
      <c r="D16" s="258">
        <f>D13*2.2046*D29*15</f>
        <v>0</v>
      </c>
      <c r="E16" s="213"/>
      <c r="F16" s="258">
        <f>F13*D29</f>
        <v>108</v>
      </c>
      <c r="G16" s="258"/>
      <c r="H16" s="258">
        <f>H13*D29</f>
        <v>60</v>
      </c>
      <c r="I16" s="213"/>
      <c r="J16" s="259">
        <f>J13*D29</f>
        <v>0</v>
      </c>
      <c r="K16" s="255"/>
      <c r="L16" s="243"/>
      <c r="P16" s="197" t="s">
        <v>327</v>
      </c>
      <c r="Q16" s="260">
        <f>Q15*D13*D29</f>
        <v>0</v>
      </c>
      <c r="AB16" s="200">
        <v>1813938</v>
      </c>
      <c r="AD16" s="201">
        <v>0</v>
      </c>
      <c r="AH16" s="220"/>
    </row>
    <row r="17" spans="2:30" ht="12.75" x14ac:dyDescent="0.2">
      <c r="B17" s="210"/>
      <c r="C17" s="211"/>
      <c r="D17" s="217" t="s">
        <v>328</v>
      </c>
      <c r="E17" s="213"/>
      <c r="F17" s="261" t="s">
        <v>324</v>
      </c>
      <c r="G17" s="261"/>
      <c r="H17" s="213" t="s">
        <v>324</v>
      </c>
      <c r="I17" s="213"/>
      <c r="J17" s="217" t="s">
        <v>325</v>
      </c>
      <c r="K17" s="215"/>
      <c r="L17" s="243"/>
      <c r="P17" s="197" t="s">
        <v>329</v>
      </c>
      <c r="Q17" s="260">
        <f>Q16-D43</f>
        <v>0</v>
      </c>
      <c r="AD17" s="201"/>
    </row>
    <row r="18" spans="2:30" ht="13.5" thickBot="1" x14ac:dyDescent="0.25">
      <c r="B18" s="210"/>
      <c r="C18" s="211"/>
      <c r="D18" s="215"/>
      <c r="E18" s="247"/>
      <c r="F18" s="699"/>
      <c r="G18" s="699"/>
      <c r="H18" s="247"/>
      <c r="I18" s="247"/>
      <c r="J18" s="215"/>
      <c r="K18" s="215"/>
      <c r="L18" s="243"/>
      <c r="AA18" s="262"/>
      <c r="AB18" s="239"/>
      <c r="AC18" s="262"/>
      <c r="AD18" s="201"/>
    </row>
    <row r="19" spans="2:30" ht="15.75" thickBot="1" x14ac:dyDescent="0.3">
      <c r="B19" s="210"/>
      <c r="C19" s="211" t="s">
        <v>330</v>
      </c>
      <c r="D19" s="263">
        <v>8.25</v>
      </c>
      <c r="E19" s="264"/>
      <c r="F19" s="700"/>
      <c r="G19" s="701"/>
      <c r="H19" s="702"/>
      <c r="I19" s="703"/>
      <c r="J19" s="265"/>
      <c r="K19" s="265"/>
      <c r="L19" s="243"/>
      <c r="AB19" s="289">
        <f>AB6-AB16</f>
        <v>5943157.8394651301</v>
      </c>
    </row>
    <row r="20" spans="2:30" ht="15.75" thickBot="1" x14ac:dyDescent="0.3">
      <c r="B20" s="210"/>
      <c r="C20" s="211"/>
      <c r="D20" s="266"/>
      <c r="E20" s="267"/>
      <c r="F20" s="704"/>
      <c r="G20" s="267"/>
      <c r="H20" s="702"/>
      <c r="I20" s="703"/>
      <c r="J20" s="265"/>
      <c r="K20" s="265"/>
      <c r="L20" s="243"/>
      <c r="AB20" s="291">
        <f>1-(AA9/AB19)</f>
        <v>-0.30521450868335842</v>
      </c>
      <c r="AC20" s="705">
        <f>(AC21*AB20)/AB21</f>
        <v>-0.21365015607835092</v>
      </c>
      <c r="AD20" s="196" t="s">
        <v>836</v>
      </c>
    </row>
    <row r="21" spans="2:30" ht="15.75" thickBot="1" x14ac:dyDescent="0.3">
      <c r="B21" s="210"/>
      <c r="C21" s="211" t="s">
        <v>331</v>
      </c>
      <c r="D21" s="268">
        <v>1</v>
      </c>
      <c r="E21" s="247"/>
      <c r="F21" s="269">
        <f>D19-F19</f>
        <v>8.25</v>
      </c>
      <c r="G21" s="247"/>
      <c r="H21" s="215" t="s">
        <v>310</v>
      </c>
      <c r="I21" s="215"/>
      <c r="J21" s="270"/>
      <c r="K21" s="271"/>
      <c r="L21" s="243"/>
      <c r="AB21" s="196">
        <v>100</v>
      </c>
      <c r="AC21" s="196">
        <v>70</v>
      </c>
    </row>
    <row r="22" spans="2:30" ht="15.75" thickBot="1" x14ac:dyDescent="0.3">
      <c r="B22" s="210"/>
      <c r="C22" s="211" t="s">
        <v>332</v>
      </c>
      <c r="D22" s="268">
        <v>1</v>
      </c>
      <c r="E22" s="247"/>
      <c r="F22" s="215" t="s">
        <v>310</v>
      </c>
      <c r="G22" s="247"/>
      <c r="H22" s="215" t="s">
        <v>310</v>
      </c>
      <c r="I22" s="215"/>
      <c r="J22" s="270"/>
      <c r="K22" s="271"/>
      <c r="L22" s="243"/>
    </row>
    <row r="23" spans="2:30" ht="15.75" thickBot="1" x14ac:dyDescent="0.3">
      <c r="B23" s="210"/>
      <c r="C23" s="211" t="s">
        <v>333</v>
      </c>
      <c r="D23" s="268">
        <v>1</v>
      </c>
      <c r="E23" s="247"/>
      <c r="F23" s="215" t="s">
        <v>310</v>
      </c>
      <c r="G23" s="247"/>
      <c r="H23" s="215" t="s">
        <v>310</v>
      </c>
      <c r="I23" s="215"/>
      <c r="J23" s="270"/>
      <c r="K23" s="271"/>
      <c r="L23" s="243"/>
    </row>
    <row r="24" spans="2:30" ht="15.75" thickBot="1" x14ac:dyDescent="0.3">
      <c r="B24" s="210"/>
      <c r="C24" s="211" t="s">
        <v>334</v>
      </c>
      <c r="D24" s="268">
        <v>1</v>
      </c>
      <c r="E24" s="247"/>
      <c r="F24" s="215" t="s">
        <v>310</v>
      </c>
      <c r="G24" s="247"/>
      <c r="H24" s="215" t="s">
        <v>310</v>
      </c>
      <c r="I24" s="215"/>
      <c r="J24" s="270"/>
      <c r="K24" s="271"/>
      <c r="L24" s="243"/>
    </row>
    <row r="25" spans="2:30" thickBot="1" x14ac:dyDescent="0.25">
      <c r="B25" s="210"/>
      <c r="C25" s="226"/>
      <c r="D25" s="272"/>
      <c r="E25" s="215"/>
      <c r="F25" s="273"/>
      <c r="G25" s="215"/>
      <c r="H25" s="274"/>
      <c r="I25" s="215"/>
      <c r="J25" s="215"/>
      <c r="K25" s="215"/>
      <c r="L25" s="243"/>
    </row>
    <row r="26" spans="2:30" ht="15.75" thickBot="1" x14ac:dyDescent="0.3">
      <c r="B26" s="210"/>
      <c r="C26" s="211" t="s">
        <v>335</v>
      </c>
      <c r="D26" s="268">
        <v>0.4</v>
      </c>
      <c r="E26" s="247"/>
      <c r="F26" s="215" t="s">
        <v>310</v>
      </c>
      <c r="G26" s="247"/>
      <c r="H26" s="215" t="s">
        <v>310</v>
      </c>
      <c r="I26" s="215"/>
      <c r="J26" s="268">
        <v>0.52</v>
      </c>
      <c r="K26" s="271"/>
      <c r="L26" s="243"/>
    </row>
    <row r="27" spans="2:30" ht="15.75" thickBot="1" x14ac:dyDescent="0.3">
      <c r="B27" s="210"/>
      <c r="C27" s="211"/>
      <c r="D27" s="270"/>
      <c r="E27" s="247"/>
      <c r="F27" s="215"/>
      <c r="G27" s="247"/>
      <c r="H27" s="215"/>
      <c r="I27" s="215"/>
      <c r="J27" s="271"/>
      <c r="K27" s="271"/>
      <c r="L27" s="243"/>
    </row>
    <row r="28" spans="2:30" ht="15.75" thickBot="1" x14ac:dyDescent="0.3">
      <c r="B28" s="210"/>
      <c r="C28" s="211" t="s">
        <v>336</v>
      </c>
      <c r="D28" s="275">
        <v>0</v>
      </c>
      <c r="E28" s="247"/>
      <c r="F28" s="215"/>
      <c r="G28" s="247"/>
      <c r="H28" s="215"/>
      <c r="I28" s="215"/>
      <c r="J28" s="271"/>
      <c r="K28" s="271"/>
      <c r="L28" s="243"/>
    </row>
    <row r="29" spans="2:30" ht="15.75" thickBot="1" x14ac:dyDescent="0.3">
      <c r="B29" s="210"/>
      <c r="C29" s="211" t="s">
        <v>337</v>
      </c>
      <c r="D29" s="276">
        <v>5.4</v>
      </c>
      <c r="E29" s="276"/>
      <c r="F29" s="276" t="s">
        <v>1113</v>
      </c>
      <c r="G29" s="247"/>
      <c r="H29" s="215"/>
      <c r="I29" s="215"/>
      <c r="J29" s="251"/>
      <c r="K29" s="271"/>
      <c r="L29" s="243"/>
    </row>
    <row r="30" spans="2:30" ht="12.75" x14ac:dyDescent="0.2">
      <c r="B30" s="210"/>
      <c r="C30" s="211"/>
      <c r="D30" s="277"/>
      <c r="E30" s="247"/>
      <c r="F30" s="215"/>
      <c r="G30" s="247"/>
      <c r="H30" s="215"/>
      <c r="I30" s="215"/>
      <c r="J30" s="271"/>
      <c r="K30" s="271"/>
      <c r="L30" s="243"/>
    </row>
    <row r="31" spans="2:30" ht="12.75" x14ac:dyDescent="0.2">
      <c r="B31" s="210"/>
      <c r="C31" s="226"/>
      <c r="D31" s="277"/>
      <c r="E31" s="277"/>
      <c r="F31" s="277"/>
      <c r="G31" s="277" t="s">
        <v>310</v>
      </c>
      <c r="H31" s="277"/>
      <c r="I31" s="215"/>
      <c r="J31" s="271"/>
      <c r="K31" s="271"/>
      <c r="L31" s="243"/>
    </row>
    <row r="32" spans="2:30" ht="15.75" thickBot="1" x14ac:dyDescent="0.3">
      <c r="B32" s="210"/>
      <c r="C32" s="278" t="s">
        <v>338</v>
      </c>
      <c r="D32" s="212" t="str">
        <f>D35</f>
        <v>Algodão</v>
      </c>
      <c r="F32" s="212" t="str">
        <f>F35</f>
        <v>Soja</v>
      </c>
      <c r="G32" s="214"/>
      <c r="H32" s="212" t="str">
        <f>H35</f>
        <v>Milho</v>
      </c>
      <c r="J32" s="280"/>
      <c r="K32" s="280"/>
      <c r="L32" s="199"/>
    </row>
    <row r="33" spans="2:30" ht="13.5" thickBot="1" x14ac:dyDescent="0.25">
      <c r="B33" s="210"/>
      <c r="C33" s="211" t="s">
        <v>1380</v>
      </c>
      <c r="D33" s="281">
        <v>0</v>
      </c>
      <c r="E33" s="282"/>
      <c r="F33" s="283">
        <f>'Quimi. Fert. Semente'!G27</f>
        <v>358.68976997827667</v>
      </c>
      <c r="G33" s="284" t="s">
        <v>310</v>
      </c>
      <c r="H33" s="283">
        <f>'Quimi. Fert. Semente'!G28</f>
        <v>694.25045601750548</v>
      </c>
      <c r="I33" s="285"/>
      <c r="J33" s="215"/>
      <c r="K33" s="215"/>
      <c r="L33" s="243"/>
    </row>
    <row r="34" spans="2:30" s="197" customFormat="1" ht="12.75" x14ac:dyDescent="0.2">
      <c r="B34" s="210"/>
      <c r="C34" s="226"/>
      <c r="D34" s="277">
        <v>0</v>
      </c>
      <c r="E34" s="277"/>
      <c r="F34" s="277">
        <f>(F33*D29)-F36</f>
        <v>86.236757882693837</v>
      </c>
      <c r="G34" s="277"/>
      <c r="H34" s="277">
        <f>(H33*D29)-H36</f>
        <v>-201.74153750547066</v>
      </c>
      <c r="I34" s="215"/>
      <c r="J34" s="286"/>
      <c r="K34" s="271"/>
      <c r="L34" s="243"/>
      <c r="M34" s="196"/>
      <c r="Q34" s="196"/>
      <c r="R34" s="196"/>
      <c r="S34" s="196"/>
      <c r="T34" s="196"/>
      <c r="U34" s="196"/>
      <c r="V34" s="196"/>
      <c r="W34" s="196"/>
    </row>
    <row r="35" spans="2:30" s="197" customFormat="1" ht="15.75" thickBot="1" x14ac:dyDescent="0.3">
      <c r="B35" s="210"/>
      <c r="C35" s="278" t="s">
        <v>339</v>
      </c>
      <c r="D35" s="212" t="str">
        <f>D4</f>
        <v>Algodão</v>
      </c>
      <c r="E35" s="279"/>
      <c r="F35" s="212" t="str">
        <f>F4</f>
        <v>Soja</v>
      </c>
      <c r="G35" s="214"/>
      <c r="H35" s="212" t="str">
        <f>H4</f>
        <v>Milho</v>
      </c>
      <c r="I35" s="279"/>
      <c r="J35" s="280"/>
      <c r="K35" s="280"/>
      <c r="L35" s="199"/>
      <c r="M35" s="196"/>
      <c r="Q35" s="196"/>
      <c r="R35" s="196"/>
      <c r="S35" s="196"/>
      <c r="T35" s="196"/>
      <c r="U35" s="196"/>
      <c r="V35" s="196"/>
      <c r="W35" s="196"/>
    </row>
    <row r="36" spans="2:30" s="197" customFormat="1" ht="13.5" thickBot="1" x14ac:dyDescent="0.25">
      <c r="B36" s="210"/>
      <c r="C36" s="211" t="s">
        <v>1381</v>
      </c>
      <c r="D36" s="287">
        <v>0</v>
      </c>
      <c r="E36" s="213"/>
      <c r="F36" s="287">
        <f>'Quimi. Fert. Semente'!G22*'Orçam-Realiza'!D29</f>
        <v>1850.6880000000003</v>
      </c>
      <c r="G36" s="288" t="s">
        <v>310</v>
      </c>
      <c r="H36" s="287">
        <f>'Quimi. Fert. Semente'!G23*'Orçam-Realiza'!D29</f>
        <v>3950.6940000000004</v>
      </c>
      <c r="I36" s="285"/>
      <c r="J36" s="708"/>
      <c r="K36" s="215"/>
      <c r="L36" s="243"/>
      <c r="M36" s="196"/>
      <c r="Q36" s="196"/>
      <c r="R36" s="196"/>
      <c r="S36" s="196"/>
      <c r="T36" s="196"/>
      <c r="U36" s="196"/>
      <c r="V36" s="196"/>
      <c r="W36" s="196"/>
    </row>
    <row r="37" spans="2:30" s="197" customFormat="1" ht="13.5" thickBot="1" x14ac:dyDescent="0.25">
      <c r="B37" s="210"/>
      <c r="C37" s="226" t="s">
        <v>1114</v>
      </c>
      <c r="D37" s="290">
        <v>0</v>
      </c>
      <c r="E37" s="213"/>
      <c r="F37" s="290">
        <f>F33*D29</f>
        <v>1936.9247578826942</v>
      </c>
      <c r="G37" s="288"/>
      <c r="H37" s="290">
        <f>H33*D29</f>
        <v>3748.9524624945298</v>
      </c>
      <c r="I37" s="285"/>
      <c r="J37" s="708"/>
      <c r="K37" s="215"/>
      <c r="L37" s="243"/>
      <c r="M37" s="196"/>
      <c r="Q37" s="196"/>
      <c r="R37" s="196"/>
      <c r="S37" s="196"/>
      <c r="T37" s="196"/>
      <c r="U37" s="196"/>
      <c r="V37" s="196"/>
      <c r="W37" s="196"/>
    </row>
    <row r="38" spans="2:30" s="197" customFormat="1" ht="12.75" x14ac:dyDescent="0.2">
      <c r="B38" s="210"/>
      <c r="C38" s="226"/>
      <c r="D38" s="292"/>
      <c r="E38" s="247"/>
      <c r="F38" s="292"/>
      <c r="G38" s="292"/>
      <c r="H38" s="292"/>
      <c r="I38" s="285"/>
      <c r="J38" s="215"/>
      <c r="K38" s="215"/>
      <c r="L38" s="243"/>
      <c r="M38" s="196"/>
      <c r="Q38" s="196"/>
      <c r="R38" s="196"/>
      <c r="S38" s="196"/>
      <c r="T38" s="196"/>
      <c r="U38" s="196"/>
      <c r="V38" s="196"/>
      <c r="W38" s="196"/>
    </row>
    <row r="39" spans="2:30" s="197" customFormat="1" ht="12.75" x14ac:dyDescent="0.2">
      <c r="B39" s="210"/>
      <c r="C39" s="226"/>
      <c r="D39" s="292"/>
      <c r="E39" s="247"/>
      <c r="F39" s="292"/>
      <c r="G39" s="292"/>
      <c r="H39" s="292"/>
      <c r="I39" s="285"/>
      <c r="J39" s="215"/>
      <c r="K39" s="215"/>
      <c r="L39" s="243"/>
      <c r="M39" s="196"/>
      <c r="O39" s="197" t="s">
        <v>306</v>
      </c>
      <c r="Q39" s="196" t="s">
        <v>212</v>
      </c>
      <c r="R39" s="196"/>
      <c r="S39" s="196" t="s">
        <v>307</v>
      </c>
      <c r="T39" s="196"/>
      <c r="U39" s="196"/>
      <c r="V39" s="196"/>
      <c r="W39" s="196"/>
    </row>
    <row r="40" spans="2:30" s="197" customFormat="1" x14ac:dyDescent="0.25">
      <c r="B40" s="210"/>
      <c r="C40" s="278"/>
      <c r="D40" s="293" t="s">
        <v>1382</v>
      </c>
      <c r="E40" s="294"/>
      <c r="F40" s="294"/>
      <c r="G40" s="294"/>
      <c r="H40" s="295"/>
      <c r="I40" s="279"/>
      <c r="J40" s="280"/>
      <c r="K40" s="280"/>
      <c r="L40" s="199"/>
      <c r="M40" s="196"/>
      <c r="O40" s="197">
        <v>3801.3675895082356</v>
      </c>
      <c r="P40" s="197">
        <f>O40/Q40</f>
        <v>3.2924818456700868</v>
      </c>
      <c r="Q40" s="196">
        <v>1154.5599240000001</v>
      </c>
      <c r="R40" s="196"/>
      <c r="S40" s="196">
        <v>1647.2279039999999</v>
      </c>
      <c r="T40" s="196"/>
      <c r="U40" s="196"/>
      <c r="V40" s="196"/>
      <c r="W40" s="196"/>
    </row>
    <row r="41" spans="2:30" s="197" customFormat="1" x14ac:dyDescent="0.25">
      <c r="B41" s="210"/>
      <c r="C41" s="278"/>
      <c r="D41" s="279"/>
      <c r="E41" s="279"/>
      <c r="F41" s="296" t="s">
        <v>340</v>
      </c>
      <c r="G41" s="297"/>
      <c r="H41" s="279"/>
      <c r="I41" s="298"/>
      <c r="J41" s="280"/>
      <c r="K41" s="280"/>
      <c r="L41" s="199"/>
      <c r="M41" s="196"/>
      <c r="O41" s="299">
        <f>D5</f>
        <v>0</v>
      </c>
      <c r="P41" s="299"/>
      <c r="Q41" s="299">
        <f>F5</f>
        <v>900</v>
      </c>
      <c r="R41" s="299"/>
      <c r="S41" s="299">
        <f>H5</f>
        <v>1380</v>
      </c>
      <c r="T41" s="196"/>
      <c r="U41" s="196"/>
      <c r="V41" s="196"/>
      <c r="W41" s="196"/>
    </row>
    <row r="42" spans="2:30" s="197" customFormat="1" x14ac:dyDescent="0.25">
      <c r="B42" s="210"/>
      <c r="C42" s="300"/>
      <c r="D42" s="301" t="s">
        <v>341</v>
      </c>
      <c r="E42" s="302"/>
      <c r="F42" s="303" t="s">
        <v>342</v>
      </c>
      <c r="G42" s="304"/>
      <c r="H42" s="279"/>
      <c r="I42" s="298"/>
      <c r="J42" s="280"/>
      <c r="K42" s="280"/>
      <c r="L42" s="199"/>
      <c r="M42" s="196"/>
      <c r="Q42" s="196"/>
      <c r="R42" s="196"/>
      <c r="S42" s="196"/>
      <c r="T42" s="196"/>
      <c r="U42" s="196"/>
      <c r="V42" s="196"/>
      <c r="W42" s="196"/>
    </row>
    <row r="43" spans="2:30" s="197" customFormat="1" x14ac:dyDescent="0.25">
      <c r="B43" s="210"/>
      <c r="C43" s="278" t="s">
        <v>343</v>
      </c>
      <c r="D43" s="305">
        <f>D16*D10*D26*(D7+H43)</f>
        <v>0</v>
      </c>
      <c r="E43" s="306"/>
      <c r="F43" s="307">
        <f t="shared" ref="F43:F50" si="1">D43/$D$48</f>
        <v>0</v>
      </c>
      <c r="G43" s="308"/>
      <c r="H43" s="192"/>
      <c r="I43" s="309"/>
      <c r="J43" s="310"/>
      <c r="K43" s="280"/>
      <c r="L43" s="311"/>
      <c r="M43" s="196"/>
      <c r="Q43" s="196"/>
      <c r="R43" s="196"/>
      <c r="S43" s="196"/>
      <c r="T43" s="196"/>
      <c r="U43" s="196"/>
      <c r="V43" s="196"/>
      <c r="W43" s="196"/>
    </row>
    <row r="44" spans="2:30" s="197" customFormat="1" x14ac:dyDescent="0.25">
      <c r="B44" s="312"/>
      <c r="C44" s="278" t="s">
        <v>344</v>
      </c>
      <c r="D44" s="305">
        <f>F16*F10*F7</f>
        <v>6804000</v>
      </c>
      <c r="E44" s="306"/>
      <c r="F44" s="307">
        <f t="shared" si="1"/>
        <v>0.31343283582089554</v>
      </c>
      <c r="G44" s="308"/>
      <c r="H44" s="192"/>
      <c r="I44" s="309"/>
      <c r="J44" s="313"/>
      <c r="K44" s="280"/>
      <c r="L44" s="199"/>
      <c r="M44" s="278"/>
      <c r="O44" s="299">
        <v>10327</v>
      </c>
      <c r="P44" s="299"/>
      <c r="Q44" s="299">
        <v>392</v>
      </c>
      <c r="R44" s="299"/>
      <c r="S44" s="299">
        <v>691</v>
      </c>
      <c r="T44" s="196"/>
      <c r="U44" s="196"/>
      <c r="V44" s="196"/>
      <c r="W44" s="196"/>
    </row>
    <row r="45" spans="2:30" s="197" customFormat="1" x14ac:dyDescent="0.25">
      <c r="B45" s="314"/>
      <c r="C45" s="278" t="s">
        <v>345</v>
      </c>
      <c r="D45" s="305">
        <f>H16*H10*H7</f>
        <v>14904000</v>
      </c>
      <c r="E45" s="306"/>
      <c r="F45" s="307">
        <f t="shared" si="1"/>
        <v>0.68656716417910446</v>
      </c>
      <c r="G45" s="308"/>
      <c r="H45" s="192"/>
      <c r="I45" s="309"/>
      <c r="J45" s="315"/>
      <c r="K45" s="280"/>
      <c r="L45" s="199"/>
      <c r="M45" s="278"/>
      <c r="Q45" s="196"/>
      <c r="R45" s="196"/>
      <c r="S45" s="196"/>
      <c r="T45" s="196"/>
      <c r="U45" s="196"/>
      <c r="V45" s="196"/>
      <c r="W45" s="196"/>
      <c r="AC45" s="196"/>
      <c r="AD45" s="196"/>
    </row>
    <row r="46" spans="2:30" s="197" customFormat="1" x14ac:dyDescent="0.25">
      <c r="B46" s="316" t="s">
        <v>346</v>
      </c>
      <c r="C46" s="211" t="s">
        <v>347</v>
      </c>
      <c r="D46" s="305">
        <f>(D10*D7*J26*15)/1000*J16</f>
        <v>0</v>
      </c>
      <c r="E46" s="306"/>
      <c r="F46" s="307">
        <f t="shared" si="1"/>
        <v>0</v>
      </c>
      <c r="G46" s="308"/>
      <c r="H46" s="192"/>
      <c r="I46" s="309"/>
      <c r="J46" s="315"/>
      <c r="K46" s="280"/>
      <c r="L46" s="199"/>
      <c r="M46" s="278"/>
      <c r="Q46" s="196"/>
      <c r="R46" s="196"/>
      <c r="S46" s="196"/>
      <c r="T46" s="196"/>
      <c r="U46" s="196"/>
      <c r="V46" s="196"/>
      <c r="W46" s="196"/>
      <c r="AC46" s="239"/>
      <c r="AD46" s="317"/>
    </row>
    <row r="47" spans="2:30" s="197" customFormat="1" x14ac:dyDescent="0.25">
      <c r="B47" s="314"/>
      <c r="C47" s="197" t="s">
        <v>348</v>
      </c>
      <c r="D47" s="318">
        <f>D28</f>
        <v>0</v>
      </c>
      <c r="E47" s="306"/>
      <c r="F47" s="319">
        <f t="shared" si="1"/>
        <v>0</v>
      </c>
      <c r="G47" s="308"/>
      <c r="H47" s="192"/>
      <c r="I47" s="309"/>
      <c r="J47" s="280"/>
      <c r="K47" s="280"/>
      <c r="L47" s="199"/>
      <c r="M47" s="278"/>
      <c r="N47" s="320"/>
      <c r="O47" s="321"/>
      <c r="Q47" s="196"/>
      <c r="R47" s="196"/>
      <c r="S47" s="196"/>
      <c r="T47" s="196"/>
      <c r="U47" s="196"/>
      <c r="V47" s="196"/>
      <c r="W47" s="196"/>
    </row>
    <row r="48" spans="2:30" s="197" customFormat="1" x14ac:dyDescent="0.25">
      <c r="B48" s="314"/>
      <c r="C48" s="322" t="s">
        <v>349</v>
      </c>
      <c r="D48" s="323">
        <f>SUM(D43:D47)</f>
        <v>21708000</v>
      </c>
      <c r="E48" s="213"/>
      <c r="F48" s="324">
        <f t="shared" si="1"/>
        <v>1</v>
      </c>
      <c r="G48" s="325"/>
      <c r="H48" s="326"/>
      <c r="I48" s="327"/>
      <c r="J48" s="328">
        <v>3.5299999999999998E-2</v>
      </c>
      <c r="K48" s="328"/>
      <c r="L48" s="329"/>
      <c r="M48" s="991"/>
      <c r="N48" s="320"/>
      <c r="O48" s="321"/>
      <c r="Q48" s="196"/>
      <c r="R48" s="196"/>
      <c r="S48" s="196"/>
      <c r="T48" s="196"/>
      <c r="U48" s="196"/>
      <c r="V48" s="196"/>
      <c r="W48" s="196"/>
    </row>
    <row r="49" spans="2:33" s="197" customFormat="1" x14ac:dyDescent="0.25">
      <c r="B49" s="314"/>
      <c r="C49" s="278" t="s">
        <v>840</v>
      </c>
      <c r="D49" s="716">
        <f>((0.25+1.2+1.08+1)%*D48)*-1</f>
        <v>-766292.40000000014</v>
      </c>
      <c r="E49" s="306"/>
      <c r="F49" s="331">
        <f t="shared" si="1"/>
        <v>-3.5300000000000005E-2</v>
      </c>
      <c r="G49" s="308"/>
      <c r="H49" s="192"/>
      <c r="I49" s="309"/>
      <c r="J49" s="280"/>
      <c r="K49" s="280"/>
      <c r="L49" s="199"/>
      <c r="M49" s="279"/>
      <c r="N49" s="320"/>
      <c r="O49" s="321"/>
      <c r="Q49" s="196"/>
      <c r="R49" s="196"/>
      <c r="S49" s="196"/>
      <c r="T49" s="196"/>
      <c r="U49" s="196"/>
      <c r="V49" s="196"/>
      <c r="W49" s="196"/>
    </row>
    <row r="50" spans="2:33" s="197" customFormat="1" x14ac:dyDescent="0.25">
      <c r="B50" s="314"/>
      <c r="C50" s="278"/>
      <c r="D50" s="330">
        <v>0</v>
      </c>
      <c r="E50" s="306"/>
      <c r="F50" s="331">
        <f t="shared" si="1"/>
        <v>0</v>
      </c>
      <c r="G50" s="308"/>
      <c r="H50" s="192"/>
      <c r="I50" s="309"/>
      <c r="J50" s="280"/>
      <c r="K50" s="280"/>
      <c r="L50" s="199"/>
      <c r="M50" s="278"/>
      <c r="N50" s="320"/>
      <c r="O50" s="321"/>
      <c r="Q50" s="196"/>
      <c r="R50" s="196"/>
      <c r="S50" s="196"/>
      <c r="T50" s="196"/>
      <c r="U50" s="196"/>
      <c r="V50" s="196"/>
      <c r="W50" s="196"/>
    </row>
    <row r="51" spans="2:33" x14ac:dyDescent="0.25">
      <c r="B51" s="314"/>
      <c r="C51" s="226"/>
      <c r="D51" s="332">
        <v>0</v>
      </c>
      <c r="E51" s="306"/>
      <c r="F51" s="1106" t="s">
        <v>350</v>
      </c>
      <c r="G51" s="1106"/>
      <c r="H51" s="1106"/>
      <c r="I51" s="1106"/>
      <c r="J51" s="1106"/>
      <c r="K51" s="1106"/>
      <c r="L51" s="1107"/>
      <c r="M51" s="278"/>
      <c r="N51" s="320"/>
      <c r="O51" s="321"/>
    </row>
    <row r="52" spans="2:33" s="225" customFormat="1" x14ac:dyDescent="0.25">
      <c r="B52" s="333"/>
      <c r="C52" s="226"/>
      <c r="D52" s="332">
        <v>0</v>
      </c>
      <c r="E52" s="306"/>
      <c r="F52" s="1106"/>
      <c r="G52" s="1106"/>
      <c r="H52" s="1106"/>
      <c r="I52" s="1106"/>
      <c r="J52" s="1106"/>
      <c r="K52" s="1106"/>
      <c r="L52" s="1107"/>
      <c r="M52" s="706"/>
      <c r="N52" s="334"/>
      <c r="O52" s="335"/>
      <c r="P52" s="336"/>
    </row>
    <row r="53" spans="2:33" x14ac:dyDescent="0.25">
      <c r="B53" s="314"/>
      <c r="C53" s="322" t="s">
        <v>351</v>
      </c>
      <c r="D53" s="213">
        <f>SUM(D48:D52)</f>
        <v>20941707.600000001</v>
      </c>
      <c r="E53" s="213"/>
      <c r="F53" s="324">
        <f>D53/$D$48</f>
        <v>0.96470000000000011</v>
      </c>
      <c r="G53" s="325"/>
      <c r="H53" s="192"/>
      <c r="I53" s="327"/>
      <c r="J53" s="328"/>
      <c r="K53" s="328"/>
      <c r="L53" s="329"/>
      <c r="M53" s="707"/>
      <c r="N53" s="320"/>
      <c r="O53" s="321"/>
    </row>
    <row r="54" spans="2:33" x14ac:dyDescent="0.25">
      <c r="B54" s="314"/>
      <c r="C54" s="226"/>
      <c r="D54" s="306"/>
      <c r="E54" s="306"/>
      <c r="F54" s="307"/>
      <c r="G54" s="308"/>
      <c r="H54" s="11" t="s">
        <v>352</v>
      </c>
      <c r="I54" s="337"/>
      <c r="J54" s="298" t="s">
        <v>353</v>
      </c>
      <c r="K54" s="298"/>
      <c r="L54" s="338" t="s">
        <v>354</v>
      </c>
      <c r="M54" s="278"/>
      <c r="N54" s="320"/>
      <c r="O54" s="321"/>
      <c r="AA54" s="196" t="s">
        <v>355</v>
      </c>
    </row>
    <row r="55" spans="2:33" x14ac:dyDescent="0.25">
      <c r="B55" s="333" t="s">
        <v>356</v>
      </c>
      <c r="C55" s="339" t="s">
        <v>357</v>
      </c>
      <c r="D55" s="340">
        <f>-'Quimi. Fert. Semente'!N6*'Orçam-Realiza'!D29</f>
        <v>-3025512</v>
      </c>
      <c r="E55" s="305"/>
      <c r="F55" s="341">
        <f>D55/$D$79</f>
        <v>0.22947296855992227</v>
      </c>
      <c r="G55" s="342"/>
      <c r="H55" s="343"/>
      <c r="I55" s="344"/>
      <c r="J55" s="345"/>
      <c r="K55" s="346"/>
      <c r="L55" s="347">
        <f>H55-J55</f>
        <v>0</v>
      </c>
      <c r="M55" s="278"/>
      <c r="N55" s="320"/>
      <c r="O55" s="321"/>
      <c r="Q55" s="196" t="s">
        <v>358</v>
      </c>
      <c r="S55" s="196" t="s">
        <v>359</v>
      </c>
      <c r="U55" s="196" t="s">
        <v>360</v>
      </c>
      <c r="V55" s="196" t="s">
        <v>1</v>
      </c>
    </row>
    <row r="56" spans="2:33" x14ac:dyDescent="0.25">
      <c r="B56" s="333" t="s">
        <v>361</v>
      </c>
      <c r="C56" s="339" t="s">
        <v>362</v>
      </c>
      <c r="D56" s="340">
        <f>-'Quimi. Fert. Semente'!D8*'Orçam-Realiza'!D29</f>
        <v>-1393524</v>
      </c>
      <c r="E56" s="305"/>
      <c r="F56" s="341">
        <f t="shared" ref="F56:F78" si="2">D56/$D$79</f>
        <v>0.10569321458301839</v>
      </c>
      <c r="G56" s="342"/>
      <c r="H56" s="343"/>
      <c r="I56" s="348"/>
      <c r="J56" s="345"/>
      <c r="K56" s="346"/>
      <c r="L56" s="347">
        <f>H56-J56</f>
        <v>0</v>
      </c>
      <c r="M56" s="278"/>
      <c r="N56" s="320"/>
      <c r="O56" s="321"/>
      <c r="Q56" s="196" t="s">
        <v>358</v>
      </c>
      <c r="S56" s="196" t="s">
        <v>359</v>
      </c>
      <c r="U56" s="196" t="s">
        <v>360</v>
      </c>
      <c r="V56" s="196" t="s">
        <v>1</v>
      </c>
      <c r="AG56" s="349"/>
    </row>
    <row r="57" spans="2:33" s="225" customFormat="1" x14ac:dyDescent="0.25">
      <c r="B57" s="333"/>
      <c r="C57" s="339" t="s">
        <v>363</v>
      </c>
      <c r="D57" s="340">
        <f>-'Quimi. Fert. Semente'!I8*'Orçam-Realiza'!D29</f>
        <v>-1032921.7200000002</v>
      </c>
      <c r="E57" s="305"/>
      <c r="F57" s="341">
        <f t="shared" si="2"/>
        <v>7.8342975793327177E-2</v>
      </c>
      <c r="G57" s="342"/>
      <c r="H57" s="343"/>
      <c r="I57" s="348"/>
      <c r="J57" s="345"/>
      <c r="K57" s="346"/>
      <c r="L57" s="347">
        <f>H57-J57</f>
        <v>0</v>
      </c>
      <c r="M57" s="322"/>
      <c r="N57" s="334"/>
      <c r="O57" s="335"/>
      <c r="P57" s="336"/>
    </row>
    <row r="58" spans="2:33" s="225" customFormat="1" x14ac:dyDescent="0.25">
      <c r="B58" s="333"/>
      <c r="C58" s="350" t="s">
        <v>364</v>
      </c>
      <c r="D58" s="340">
        <f>-'Quimi. Fert. Semente'!N5*'Orçam-Realiza'!D29</f>
        <v>-510300.00000000006</v>
      </c>
      <c r="E58" s="305"/>
      <c r="F58" s="341">
        <f t="shared" si="2"/>
        <v>3.8704211338817476E-2</v>
      </c>
      <c r="G58" s="342"/>
      <c r="H58" s="343"/>
      <c r="I58" s="348"/>
      <c r="J58" s="345"/>
      <c r="K58" s="346"/>
      <c r="L58" s="347">
        <f t="shared" ref="L58:L63" si="3">H58-J58</f>
        <v>0</v>
      </c>
      <c r="M58" s="322"/>
      <c r="N58" s="334"/>
      <c r="O58" s="335"/>
      <c r="P58" s="336"/>
    </row>
    <row r="59" spans="2:33" s="225" customFormat="1" x14ac:dyDescent="0.25">
      <c r="B59" s="333"/>
      <c r="C59" s="350" t="s">
        <v>365</v>
      </c>
      <c r="D59" s="340">
        <f>-'Quimi. Fert. Semente'!D5*'Orçam-Realiza'!D29</f>
        <v>-406150.2</v>
      </c>
      <c r="E59" s="305"/>
      <c r="F59" s="341">
        <f t="shared" si="2"/>
        <v>3.0804866110333111E-2</v>
      </c>
      <c r="G59" s="342"/>
      <c r="H59" s="343"/>
      <c r="I59" s="348"/>
      <c r="J59" s="345"/>
      <c r="K59" s="346"/>
      <c r="L59" s="347">
        <f t="shared" si="3"/>
        <v>0</v>
      </c>
      <c r="M59" s="322"/>
      <c r="N59" s="334"/>
      <c r="O59" s="335"/>
      <c r="P59" s="336"/>
    </row>
    <row r="60" spans="2:33" s="225" customFormat="1" x14ac:dyDescent="0.25">
      <c r="B60" s="333"/>
      <c r="C60" s="350" t="s">
        <v>366</v>
      </c>
      <c r="D60" s="340">
        <f>-'Quimi. Fert. Semente'!I5*'Orçam-Realiza'!D29</f>
        <v>-749169</v>
      </c>
      <c r="E60" s="305"/>
      <c r="F60" s="341">
        <f t="shared" si="2"/>
        <v>5.6821468360749652E-2</v>
      </c>
      <c r="G60" s="342"/>
      <c r="H60" s="343"/>
      <c r="I60" s="348"/>
      <c r="J60" s="345"/>
      <c r="K60" s="346"/>
      <c r="L60" s="347">
        <f t="shared" si="3"/>
        <v>0</v>
      </c>
      <c r="M60" s="322"/>
      <c r="N60" s="334"/>
      <c r="O60" s="335"/>
      <c r="P60" s="336"/>
    </row>
    <row r="61" spans="2:33" s="225" customFormat="1" x14ac:dyDescent="0.25">
      <c r="B61" s="333"/>
      <c r="C61" s="351" t="s">
        <v>367</v>
      </c>
      <c r="D61" s="340">
        <f>-('[1]Quimic. Fertil. Sement.'!N7)*4</f>
        <v>0</v>
      </c>
      <c r="E61" s="305"/>
      <c r="F61" s="341">
        <f t="shared" si="2"/>
        <v>0</v>
      </c>
      <c r="G61" s="342"/>
      <c r="H61" s="343"/>
      <c r="I61" s="348"/>
      <c r="J61" s="345"/>
      <c r="K61" s="346"/>
      <c r="L61" s="347">
        <f t="shared" si="3"/>
        <v>0</v>
      </c>
      <c r="M61" s="322"/>
      <c r="N61" s="334"/>
      <c r="O61" s="335"/>
      <c r="P61" s="336"/>
    </row>
    <row r="62" spans="2:33" s="225" customFormat="1" x14ac:dyDescent="0.25">
      <c r="B62" s="333"/>
      <c r="C62" s="351" t="s">
        <v>368</v>
      </c>
      <c r="D62" s="340">
        <f>-(SUM('[1]Quimic. Fertil. Sement.'!D10:D13))*4</f>
        <v>0</v>
      </c>
      <c r="E62" s="305"/>
      <c r="F62" s="341">
        <f t="shared" si="2"/>
        <v>0</v>
      </c>
      <c r="G62" s="342"/>
      <c r="H62" s="343"/>
      <c r="I62" s="348"/>
      <c r="J62" s="345"/>
      <c r="K62" s="346"/>
      <c r="L62" s="347">
        <f t="shared" si="3"/>
        <v>0</v>
      </c>
      <c r="M62" s="322"/>
      <c r="N62" s="334"/>
      <c r="O62" s="335"/>
      <c r="P62" s="336"/>
    </row>
    <row r="63" spans="2:33" s="225" customFormat="1" x14ac:dyDescent="0.25">
      <c r="B63" s="333"/>
      <c r="C63" s="351" t="s">
        <v>369</v>
      </c>
      <c r="D63" s="340">
        <f>-(SUM('[1]Quimic. Fertil. Sement.'!I10:I13))*4</f>
        <v>0</v>
      </c>
      <c r="E63" s="305"/>
      <c r="F63" s="341">
        <f t="shared" si="2"/>
        <v>0</v>
      </c>
      <c r="G63" s="342"/>
      <c r="H63" s="343"/>
      <c r="I63" s="348"/>
      <c r="J63" s="345"/>
      <c r="K63" s="346"/>
      <c r="L63" s="347">
        <f t="shared" si="3"/>
        <v>0</v>
      </c>
      <c r="M63" s="322"/>
      <c r="N63" s="334"/>
      <c r="O63" s="335"/>
      <c r="P63" s="336"/>
    </row>
    <row r="64" spans="2:33" x14ac:dyDescent="0.25">
      <c r="B64" s="333" t="s">
        <v>370</v>
      </c>
      <c r="C64" s="278" t="s">
        <v>402</v>
      </c>
      <c r="D64" s="340"/>
      <c r="E64" s="305"/>
      <c r="F64" s="341">
        <f t="shared" si="2"/>
        <v>0</v>
      </c>
      <c r="G64" s="342"/>
      <c r="H64" s="343"/>
      <c r="I64" s="348"/>
      <c r="J64" s="345"/>
      <c r="K64" s="346"/>
      <c r="L64" s="347">
        <v>0</v>
      </c>
      <c r="M64" s="278"/>
      <c r="N64" s="320"/>
      <c r="O64" s="321"/>
      <c r="Q64" s="196" t="s">
        <v>358</v>
      </c>
      <c r="S64" s="196" t="s">
        <v>359</v>
      </c>
      <c r="U64" s="196" t="s">
        <v>360</v>
      </c>
      <c r="V64" s="196" t="s">
        <v>1</v>
      </c>
    </row>
    <row r="65" spans="2:31" x14ac:dyDescent="0.25">
      <c r="B65" s="314"/>
      <c r="C65" s="278" t="s">
        <v>371</v>
      </c>
      <c r="D65" s="340">
        <f>-'Orçamento Resumo'!K15</f>
        <v>-1124918.3507865821</v>
      </c>
      <c r="E65" s="305"/>
      <c r="F65" s="341">
        <f t="shared" si="2"/>
        <v>8.5320551808265505E-2</v>
      </c>
      <c r="G65" s="342"/>
      <c r="H65" s="352"/>
      <c r="I65" s="348"/>
      <c r="J65" s="345"/>
      <c r="K65" s="346"/>
      <c r="L65" s="353">
        <f>H65-J65</f>
        <v>0</v>
      </c>
      <c r="M65" s="493">
        <f>(D65/5750)</f>
        <v>-195.63797404984035</v>
      </c>
      <c r="N65" s="320"/>
      <c r="O65" s="321"/>
      <c r="P65" s="197">
        <v>116.0925205923788</v>
      </c>
      <c r="Q65" s="196">
        <v>982142.72421152471</v>
      </c>
      <c r="R65" s="196">
        <v>489</v>
      </c>
      <c r="S65" s="196">
        <v>4136940</v>
      </c>
      <c r="T65" s="196">
        <v>355.90747940762128</v>
      </c>
      <c r="U65" s="196">
        <v>3010977.2757884762</v>
      </c>
      <c r="V65" s="196">
        <f>T65+R65+P65</f>
        <v>961.00000000000011</v>
      </c>
      <c r="W65" s="196">
        <f>U65+S65+Q65</f>
        <v>8130060.0000000019</v>
      </c>
    </row>
    <row r="66" spans="2:31" s="856" customFormat="1" x14ac:dyDescent="0.25">
      <c r="B66" s="853"/>
      <c r="C66" s="197" t="s">
        <v>372</v>
      </c>
      <c r="D66" s="340">
        <f>-SUM('Orçamento Resumo'!B15:D15)</f>
        <v>-724570.71000000008</v>
      </c>
      <c r="E66" s="305"/>
      <c r="F66" s="341">
        <f t="shared" si="2"/>
        <v>5.4955786576047487E-2</v>
      </c>
      <c r="G66" s="342"/>
      <c r="H66" s="352"/>
      <c r="I66" s="348"/>
      <c r="J66" s="345"/>
      <c r="K66" s="854"/>
      <c r="L66" s="353">
        <f>H66-J66</f>
        <v>0</v>
      </c>
      <c r="M66" s="855">
        <f>(D66/5750)</f>
        <v>-126.01229739130436</v>
      </c>
      <c r="N66" s="320"/>
      <c r="O66" s="321"/>
      <c r="P66" s="197">
        <v>44</v>
      </c>
      <c r="Q66" s="856">
        <v>17600</v>
      </c>
      <c r="R66" s="856">
        <v>290.4639988143208</v>
      </c>
      <c r="S66" s="856">
        <v>116185.59952572832</v>
      </c>
      <c r="T66" s="856">
        <v>152.93</v>
      </c>
      <c r="U66" s="856">
        <v>61172</v>
      </c>
      <c r="V66" s="856">
        <f>T66+R66+P66</f>
        <v>487.39399881432081</v>
      </c>
      <c r="W66" s="856">
        <f>U66+S66+Q66</f>
        <v>194957.59952572832</v>
      </c>
    </row>
    <row r="67" spans="2:31" x14ac:dyDescent="0.25">
      <c r="B67" s="314"/>
      <c r="C67" s="278" t="s">
        <v>373</v>
      </c>
      <c r="D67" s="340">
        <f>-'Orçamento Resumo'!L15</f>
        <v>-212068.31412162163</v>
      </c>
      <c r="E67" s="305"/>
      <c r="F67" s="341">
        <f t="shared" si="2"/>
        <v>1.6084532330060696E-2</v>
      </c>
      <c r="G67" s="342"/>
      <c r="H67" s="352"/>
      <c r="I67" s="348"/>
      <c r="J67" s="345"/>
      <c r="K67" s="346"/>
      <c r="L67" s="353">
        <f>H67-J67</f>
        <v>0</v>
      </c>
      <c r="M67" s="493">
        <f t="shared" ref="M67:M78" si="4">(D67/5750)</f>
        <v>-36.881445934195064</v>
      </c>
      <c r="N67" s="320"/>
      <c r="O67" s="321"/>
    </row>
    <row r="68" spans="2:31" ht="15.75" x14ac:dyDescent="0.25">
      <c r="B68" s="314"/>
      <c r="C68" s="278" t="s">
        <v>374</v>
      </c>
      <c r="D68" s="977">
        <f>-'Deprecisação '!Q174</f>
        <v>-1216647.2291999999</v>
      </c>
      <c r="E68" s="305"/>
      <c r="F68" s="341">
        <f t="shared" si="2"/>
        <v>9.2277819878000197E-2</v>
      </c>
      <c r="G68" s="342"/>
      <c r="H68" s="343"/>
      <c r="I68" s="348"/>
      <c r="J68" s="345"/>
      <c r="K68" s="346"/>
      <c r="L68" s="353">
        <v>0</v>
      </c>
      <c r="M68" s="493">
        <f t="shared" si="4"/>
        <v>-211.59082246956521</v>
      </c>
      <c r="N68" s="320"/>
      <c r="O68" s="321"/>
      <c r="Q68" s="196">
        <f>SUM(Q65:Q66)</f>
        <v>999742.72421152471</v>
      </c>
      <c r="R68" s="197"/>
      <c r="S68" s="196">
        <f>SUM(S65:S66)</f>
        <v>4253125.5995257283</v>
      </c>
      <c r="U68" s="196">
        <f>SUM(U65:U66)</f>
        <v>3072149.2757884762</v>
      </c>
      <c r="V68" s="196">
        <f>SUM(V65:V66)</f>
        <v>1448.3939988143209</v>
      </c>
      <c r="W68" s="196">
        <f>SUM(W65:W66)</f>
        <v>8325017.5995257301</v>
      </c>
    </row>
    <row r="69" spans="2:31" s="856" customFormat="1" x14ac:dyDescent="0.25">
      <c r="B69" s="853"/>
      <c r="C69" s="197" t="s">
        <v>375</v>
      </c>
      <c r="D69" s="340">
        <f>-'Orçamento Resumo'!E15</f>
        <v>-651324.66666666663</v>
      </c>
      <c r="E69" s="305"/>
      <c r="F69" s="341">
        <f t="shared" si="2"/>
        <v>4.940036752665395E-2</v>
      </c>
      <c r="G69" s="342"/>
      <c r="H69" s="352"/>
      <c r="I69" s="348"/>
      <c r="J69" s="345"/>
      <c r="K69" s="854"/>
      <c r="L69" s="353">
        <f t="shared" ref="L69:L78" si="5">H69-J69</f>
        <v>0</v>
      </c>
      <c r="M69" s="855">
        <f t="shared" si="4"/>
        <v>-113.27385507246376</v>
      </c>
      <c r="N69" s="320"/>
      <c r="O69" s="321"/>
      <c r="P69" s="354"/>
      <c r="Q69" s="857"/>
      <c r="S69" s="858"/>
      <c r="U69" s="858"/>
      <c r="W69" s="858"/>
      <c r="AD69" s="859"/>
      <c r="AE69" s="860"/>
    </row>
    <row r="70" spans="2:31" x14ac:dyDescent="0.25">
      <c r="B70" s="314"/>
      <c r="C70" s="278" t="s">
        <v>376</v>
      </c>
      <c r="D70" s="340">
        <f>-'Orçamento Resumo'!P15</f>
        <v>-172175.64576000001</v>
      </c>
      <c r="E70" s="305"/>
      <c r="F70" s="341">
        <f t="shared" si="2"/>
        <v>1.3058833197907923E-2</v>
      </c>
      <c r="G70" s="342"/>
      <c r="H70" s="352"/>
      <c r="I70" s="348"/>
      <c r="J70" s="345"/>
      <c r="K70" s="346"/>
      <c r="L70" s="353">
        <f t="shared" si="5"/>
        <v>0</v>
      </c>
      <c r="M70" s="493">
        <f t="shared" si="4"/>
        <v>-29.943590566956523</v>
      </c>
      <c r="N70" s="320"/>
      <c r="O70" s="321"/>
      <c r="AD70" s="355"/>
      <c r="AE70" s="356"/>
    </row>
    <row r="71" spans="2:31" x14ac:dyDescent="0.25">
      <c r="B71" s="314"/>
      <c r="C71" s="278" t="s">
        <v>377</v>
      </c>
      <c r="D71" s="340">
        <f>-'Orçamento Resumo'!M15</f>
        <v>-916562</v>
      </c>
      <c r="E71" s="305"/>
      <c r="F71" s="341">
        <f t="shared" si="2"/>
        <v>6.9517557031411367E-2</v>
      </c>
      <c r="G71" s="342"/>
      <c r="H71" s="352"/>
      <c r="I71" s="348"/>
      <c r="J71" s="345"/>
      <c r="K71" s="346"/>
      <c r="L71" s="353">
        <f t="shared" si="5"/>
        <v>0</v>
      </c>
      <c r="M71" s="493">
        <f t="shared" si="4"/>
        <v>-159.40208695652174</v>
      </c>
      <c r="N71" s="320"/>
      <c r="O71" s="321"/>
      <c r="P71" s="354"/>
      <c r="Q71" s="239"/>
      <c r="S71" s="349"/>
      <c r="U71" s="349"/>
      <c r="W71" s="349"/>
      <c r="AD71" s="355"/>
      <c r="AE71" s="356"/>
    </row>
    <row r="72" spans="2:31" x14ac:dyDescent="0.25">
      <c r="B72" s="314"/>
      <c r="C72" s="278" t="s">
        <v>378</v>
      </c>
      <c r="D72" s="340">
        <f>-'Orçamento Resumo'!F15</f>
        <v>-11440.000000000002</v>
      </c>
      <c r="E72" s="305"/>
      <c r="F72" s="341">
        <f t="shared" si="2"/>
        <v>8.6767818482475401E-4</v>
      </c>
      <c r="G72" s="342"/>
      <c r="H72" s="352"/>
      <c r="I72" s="348"/>
      <c r="J72" s="345"/>
      <c r="K72" s="346"/>
      <c r="L72" s="353">
        <f t="shared" si="5"/>
        <v>0</v>
      </c>
      <c r="M72" s="493">
        <f t="shared" si="4"/>
        <v>-1.9895652173913048</v>
      </c>
      <c r="N72" s="320"/>
      <c r="O72" s="321"/>
      <c r="AD72" s="355"/>
      <c r="AE72" s="356"/>
    </row>
    <row r="73" spans="2:31" x14ac:dyDescent="0.25">
      <c r="B73" s="314"/>
      <c r="C73" s="278" t="s">
        <v>379</v>
      </c>
      <c r="D73" s="340">
        <f>-'Orçamento Resumo'!G15</f>
        <v>-5857.97</v>
      </c>
      <c r="E73" s="305"/>
      <c r="F73" s="341">
        <f t="shared" si="2"/>
        <v>4.4430356436694614E-4</v>
      </c>
      <c r="G73" s="342"/>
      <c r="H73" s="352"/>
      <c r="I73" s="348"/>
      <c r="J73" s="345"/>
      <c r="K73" s="346"/>
      <c r="L73" s="353">
        <f t="shared" si="5"/>
        <v>0</v>
      </c>
      <c r="M73" s="493">
        <f t="shared" si="4"/>
        <v>-1.0187773913043479</v>
      </c>
      <c r="N73" s="320"/>
      <c r="O73" s="321"/>
      <c r="AD73" s="355"/>
      <c r="AE73" s="356"/>
    </row>
    <row r="74" spans="2:31" x14ac:dyDescent="0.25">
      <c r="B74" s="314"/>
      <c r="C74" s="278" t="s">
        <v>380</v>
      </c>
      <c r="D74" s="340">
        <f>-'Orçamento Resumo'!N15</f>
        <v>-96000</v>
      </c>
      <c r="E74" s="305"/>
      <c r="F74" s="341">
        <f t="shared" si="2"/>
        <v>7.2812155369909419E-3</v>
      </c>
      <c r="G74" s="342"/>
      <c r="H74" s="352"/>
      <c r="I74" s="348"/>
      <c r="K74" s="346"/>
      <c r="L74" s="353">
        <f t="shared" si="5"/>
        <v>0</v>
      </c>
      <c r="M74" s="493">
        <f t="shared" si="4"/>
        <v>-16.695652173913043</v>
      </c>
      <c r="N74" s="320"/>
      <c r="O74" s="321"/>
      <c r="P74" s="354"/>
      <c r="Q74" s="239"/>
      <c r="S74" s="349"/>
      <c r="U74" s="349"/>
      <c r="W74" s="349"/>
      <c r="AD74" s="355"/>
      <c r="AE74" s="356"/>
    </row>
    <row r="75" spans="2:31" x14ac:dyDescent="0.25">
      <c r="B75" s="314"/>
      <c r="C75" s="278" t="s">
        <v>381</v>
      </c>
      <c r="D75" s="340">
        <f>-'Orçamento Resumo'!I15</f>
        <v>-127758.40999999999</v>
      </c>
      <c r="E75" s="305"/>
      <c r="F75" s="341">
        <f t="shared" si="2"/>
        <v>9.689963748679779E-3</v>
      </c>
      <c r="G75" s="342"/>
      <c r="H75" s="352"/>
      <c r="I75" s="348"/>
      <c r="J75" s="345"/>
      <c r="K75" s="346"/>
      <c r="L75" s="353">
        <f t="shared" si="5"/>
        <v>0</v>
      </c>
      <c r="M75" s="493">
        <f t="shared" si="4"/>
        <v>-22.218853913043475</v>
      </c>
      <c r="N75" s="320"/>
      <c r="O75" s="321"/>
      <c r="AA75" s="349"/>
      <c r="AD75" s="355"/>
      <c r="AE75" s="356"/>
    </row>
    <row r="76" spans="2:31" x14ac:dyDescent="0.25">
      <c r="B76" s="314"/>
      <c r="C76" s="278" t="s">
        <v>382</v>
      </c>
      <c r="D76" s="340">
        <f>-'Orçamento Resumo'!O15</f>
        <v>-53337.240000000005</v>
      </c>
      <c r="E76" s="305"/>
      <c r="F76" s="341">
        <f t="shared" si="2"/>
        <v>4.0454160477939038E-3</v>
      </c>
      <c r="G76" s="342"/>
      <c r="H76" s="709"/>
      <c r="I76" s="348"/>
      <c r="J76" s="345"/>
      <c r="K76" s="346"/>
      <c r="L76" s="353">
        <f t="shared" si="5"/>
        <v>0</v>
      </c>
      <c r="M76" s="493">
        <f t="shared" si="4"/>
        <v>-9.2760417391304362</v>
      </c>
      <c r="N76" s="320"/>
      <c r="O76" s="321"/>
      <c r="AC76" s="494"/>
      <c r="AD76" s="355"/>
      <c r="AE76" s="356"/>
    </row>
    <row r="77" spans="2:31" x14ac:dyDescent="0.25">
      <c r="B77" s="314"/>
      <c r="C77" s="278" t="s">
        <v>383</v>
      </c>
      <c r="D77" s="340">
        <f>-'Orçamento Resumo'!H15</f>
        <v>0</v>
      </c>
      <c r="E77" s="305"/>
      <c r="F77" s="341">
        <f t="shared" si="2"/>
        <v>0</v>
      </c>
      <c r="G77" s="342"/>
      <c r="H77" s="352"/>
      <c r="I77" s="348"/>
      <c r="J77" s="345"/>
      <c r="K77" s="346"/>
      <c r="L77" s="353">
        <f t="shared" si="5"/>
        <v>0</v>
      </c>
      <c r="M77" s="493">
        <f t="shared" si="4"/>
        <v>0</v>
      </c>
      <c r="N77" s="320"/>
      <c r="O77" s="321"/>
      <c r="AC77" s="494"/>
      <c r="AD77" s="355"/>
      <c r="AE77" s="356"/>
    </row>
    <row r="78" spans="2:31" x14ac:dyDescent="0.25">
      <c r="B78" s="314"/>
      <c r="C78" s="278" t="s">
        <v>384</v>
      </c>
      <c r="D78" s="340">
        <f>-'Orçamento Resumo'!J15</f>
        <v>-754374.30399999989</v>
      </c>
      <c r="E78" s="305"/>
      <c r="F78" s="341">
        <f t="shared" si="2"/>
        <v>5.721626982282841E-2</v>
      </c>
      <c r="G78" s="342"/>
      <c r="H78" s="352"/>
      <c r="I78" s="348"/>
      <c r="J78" s="345"/>
      <c r="K78" s="346"/>
      <c r="L78" s="353">
        <f t="shared" si="5"/>
        <v>0</v>
      </c>
      <c r="M78" s="493">
        <f t="shared" si="4"/>
        <v>-131.19553113043477</v>
      </c>
      <c r="N78" s="320"/>
      <c r="O78" s="321"/>
      <c r="AC78" s="494"/>
      <c r="AD78" s="355"/>
      <c r="AE78" s="356"/>
    </row>
    <row r="79" spans="2:31" ht="26.25" x14ac:dyDescent="0.25">
      <c r="B79" s="314"/>
      <c r="C79" s="336"/>
      <c r="D79" s="358">
        <f>SUM(D55:D78)</f>
        <v>-13184611.760534871</v>
      </c>
      <c r="E79" s="213"/>
      <c r="F79" s="359">
        <f>SUM(F55:F78)</f>
        <v>1</v>
      </c>
      <c r="G79" s="325"/>
      <c r="H79" s="360">
        <f>SUM(H55:H78)</f>
        <v>0</v>
      </c>
      <c r="I79" s="360"/>
      <c r="J79" s="360">
        <f>SUM(J55:J78)</f>
        <v>0</v>
      </c>
      <c r="K79" s="328">
        <f>SUM(K55:K78)</f>
        <v>0</v>
      </c>
      <c r="L79" s="361">
        <f>SUM(L55:L78)</f>
        <v>0</v>
      </c>
      <c r="M79" s="493">
        <f>SUM(M66:M78)</f>
        <v>-859.49851995622407</v>
      </c>
      <c r="N79" s="320"/>
      <c r="O79" s="321"/>
      <c r="AD79" s="355"/>
      <c r="AE79" s="356"/>
    </row>
    <row r="80" spans="2:31" ht="21" x14ac:dyDescent="0.35">
      <c r="B80" s="314"/>
      <c r="C80" s="362" t="s">
        <v>385</v>
      </c>
      <c r="D80" s="363">
        <f>D53+D79</f>
        <v>7757095.8394651301</v>
      </c>
      <c r="E80" s="364"/>
      <c r="F80" s="365">
        <f>D80/$D$48</f>
        <v>0.35733811679865163</v>
      </c>
      <c r="G80" s="366"/>
      <c r="H80" s="1108"/>
      <c r="I80" s="1108"/>
      <c r="J80" s="1108"/>
      <c r="K80" s="1108"/>
      <c r="L80" s="367"/>
      <c r="M80" s="278"/>
      <c r="N80" s="320"/>
      <c r="O80" s="321"/>
      <c r="AD80" s="355"/>
      <c r="AE80" s="356"/>
    </row>
    <row r="81" spans="2:31" ht="20.25" x14ac:dyDescent="0.3">
      <c r="B81" s="314"/>
      <c r="C81" s="226"/>
      <c r="D81" s="306"/>
      <c r="E81" s="306"/>
      <c r="F81" s="307"/>
      <c r="G81" s="308"/>
      <c r="H81" s="1099"/>
      <c r="I81" s="1099"/>
      <c r="J81" s="1099"/>
      <c r="K81" s="1099"/>
      <c r="L81" s="367"/>
      <c r="M81" s="278"/>
      <c r="N81" s="320"/>
      <c r="O81" s="321"/>
      <c r="AD81" s="355"/>
      <c r="AE81" s="356"/>
    </row>
    <row r="82" spans="2:31" x14ac:dyDescent="0.25">
      <c r="B82" s="314"/>
      <c r="C82" s="211" t="s">
        <v>386</v>
      </c>
      <c r="D82" s="368">
        <v>-300000</v>
      </c>
      <c r="E82" s="306"/>
      <c r="F82" s="331">
        <f t="shared" ref="F82:F87" si="6">D82/$D$48</f>
        <v>-1.3819789939192924E-2</v>
      </c>
      <c r="G82" s="308"/>
      <c r="H82" s="192"/>
      <c r="I82" s="369"/>
      <c r="J82" s="280"/>
      <c r="K82" s="280"/>
      <c r="L82" s="199"/>
      <c r="M82" s="278"/>
      <c r="N82" s="320"/>
      <c r="O82" s="321"/>
      <c r="U82" s="196">
        <f>V82/2.471</f>
        <v>388.91137191420478</v>
      </c>
      <c r="V82" s="196">
        <v>961</v>
      </c>
      <c r="W82" s="196">
        <v>8130060</v>
      </c>
      <c r="AD82" s="355"/>
      <c r="AE82" s="356"/>
    </row>
    <row r="83" spans="2:31" s="225" customFormat="1" x14ac:dyDescent="0.25">
      <c r="B83" s="333" t="s">
        <v>387</v>
      </c>
      <c r="C83" s="211" t="s">
        <v>388</v>
      </c>
      <c r="D83" s="330">
        <v>0</v>
      </c>
      <c r="E83" s="306"/>
      <c r="F83" s="331">
        <f t="shared" si="6"/>
        <v>0</v>
      </c>
      <c r="G83" s="308"/>
      <c r="H83" s="192"/>
      <c r="I83" s="369"/>
      <c r="J83" s="280"/>
      <c r="K83" s="280"/>
      <c r="L83" s="199"/>
      <c r="M83" s="370"/>
      <c r="N83" s="320"/>
      <c r="O83" s="321"/>
      <c r="P83" s="197"/>
      <c r="Q83" s="196" t="s">
        <v>358</v>
      </c>
      <c r="R83" s="196"/>
      <c r="S83" s="196" t="s">
        <v>359</v>
      </c>
      <c r="T83" s="196"/>
      <c r="U83" s="196" t="s">
        <v>360</v>
      </c>
      <c r="V83" s="196" t="s">
        <v>1</v>
      </c>
      <c r="W83" s="196"/>
      <c r="X83" s="196"/>
    </row>
    <row r="84" spans="2:31" s="376" customFormat="1" ht="21" x14ac:dyDescent="0.35">
      <c r="B84" s="371"/>
      <c r="C84" s="211" t="s">
        <v>389</v>
      </c>
      <c r="D84" s="330">
        <v>0</v>
      </c>
      <c r="E84" s="306"/>
      <c r="F84" s="331">
        <f t="shared" si="6"/>
        <v>0</v>
      </c>
      <c r="G84" s="308"/>
      <c r="H84" s="1074"/>
      <c r="I84" s="369"/>
      <c r="J84" s="280"/>
      <c r="K84" s="280"/>
      <c r="L84" s="199"/>
      <c r="M84" s="372"/>
      <c r="N84" s="373"/>
      <c r="O84" s="374"/>
      <c r="P84" s="375"/>
      <c r="AA84" s="377"/>
    </row>
    <row r="85" spans="2:31" ht="20.25" x14ac:dyDescent="0.3">
      <c r="B85" s="333" t="s">
        <v>390</v>
      </c>
      <c r="C85" s="226" t="s">
        <v>391</v>
      </c>
      <c r="D85" s="378">
        <v>0</v>
      </c>
      <c r="E85" s="306"/>
      <c r="F85" s="379">
        <f t="shared" si="6"/>
        <v>0</v>
      </c>
      <c r="G85" s="308"/>
      <c r="H85" s="192"/>
      <c r="I85" s="369"/>
      <c r="J85" s="280"/>
      <c r="K85" s="280"/>
      <c r="L85" s="199"/>
      <c r="M85" s="278"/>
      <c r="N85" s="334"/>
      <c r="O85" s="335"/>
      <c r="P85" s="336"/>
      <c r="Q85" s="196" t="s">
        <v>358</v>
      </c>
      <c r="S85" s="196" t="s">
        <v>359</v>
      </c>
      <c r="U85" s="196" t="s">
        <v>360</v>
      </c>
      <c r="V85" s="196" t="s">
        <v>1</v>
      </c>
      <c r="AA85" s="377"/>
      <c r="AB85" s="376"/>
    </row>
    <row r="86" spans="2:31" ht="20.25" x14ac:dyDescent="0.3">
      <c r="B86" s="314"/>
      <c r="C86" s="336"/>
      <c r="D86" s="332">
        <f>SUM(D82:D85)</f>
        <v>-300000</v>
      </c>
      <c r="E86" s="213"/>
      <c r="F86" s="359">
        <f t="shared" si="6"/>
        <v>-1.3819789939192924E-2</v>
      </c>
      <c r="G86" s="325"/>
      <c r="H86" s="359"/>
      <c r="I86" s="327"/>
      <c r="J86" s="328"/>
      <c r="K86" s="328"/>
      <c r="L86" s="329"/>
      <c r="M86" s="278"/>
      <c r="N86" s="320"/>
      <c r="O86" s="321"/>
      <c r="U86" s="196">
        <f>V86/2.471</f>
        <v>286.92836908134359</v>
      </c>
      <c r="V86" s="196">
        <v>709</v>
      </c>
      <c r="W86" s="196">
        <v>910356</v>
      </c>
      <c r="AA86" s="377"/>
      <c r="AB86" s="376"/>
    </row>
    <row r="87" spans="2:31" x14ac:dyDescent="0.25">
      <c r="B87" s="314"/>
      <c r="C87" s="322" t="s">
        <v>392</v>
      </c>
      <c r="D87" s="213">
        <f>D80+D86</f>
        <v>7457095.8394651301</v>
      </c>
      <c r="E87" s="213"/>
      <c r="F87" s="324">
        <f t="shared" si="6"/>
        <v>0.34351832685945871</v>
      </c>
      <c r="G87" s="308"/>
      <c r="H87" s="192"/>
      <c r="I87" s="309"/>
      <c r="J87" s="1094"/>
      <c r="K87" s="280"/>
      <c r="L87" s="199"/>
      <c r="M87" s="278"/>
      <c r="N87" s="320"/>
      <c r="O87" s="321"/>
      <c r="W87" s="196">
        <f>SUM(W83:W86)</f>
        <v>910356</v>
      </c>
    </row>
    <row r="88" spans="2:31" x14ac:dyDescent="0.25">
      <c r="B88" s="314"/>
      <c r="C88" s="226"/>
      <c r="D88" s="306"/>
      <c r="E88" s="306"/>
      <c r="F88" s="307"/>
      <c r="G88" s="308"/>
      <c r="H88" s="192"/>
      <c r="I88" s="309"/>
      <c r="J88" s="1094"/>
      <c r="K88" s="280"/>
      <c r="L88" s="199"/>
      <c r="M88" s="278"/>
      <c r="N88" s="320"/>
      <c r="O88" s="321"/>
    </row>
    <row r="89" spans="2:31" x14ac:dyDescent="0.25">
      <c r="B89" s="314"/>
      <c r="C89" s="211" t="s">
        <v>393</v>
      </c>
      <c r="D89" s="368">
        <v>0</v>
      </c>
      <c r="E89" s="306"/>
      <c r="F89" s="331">
        <f t="shared" ref="F89:F94" si="7">D89/$D$48</f>
        <v>0</v>
      </c>
      <c r="G89" s="308"/>
      <c r="H89" s="192"/>
      <c r="I89" s="369"/>
      <c r="J89" s="280"/>
      <c r="K89" s="280"/>
      <c r="L89" s="199"/>
      <c r="M89" s="278"/>
      <c r="N89" s="320"/>
      <c r="O89" s="321"/>
    </row>
    <row r="90" spans="2:31" s="225" customFormat="1" x14ac:dyDescent="0.25">
      <c r="B90" s="333" t="s">
        <v>394</v>
      </c>
      <c r="C90" s="211" t="s">
        <v>395</v>
      </c>
      <c r="D90" s="368">
        <f>-(SUM((D43+D44)*2.28%)+SUM(D45*5.13%))</f>
        <v>-919706.39999999991</v>
      </c>
      <c r="E90" s="306"/>
      <c r="F90" s="331">
        <f t="shared" si="7"/>
        <v>-4.2367164179104473E-2</v>
      </c>
      <c r="G90" s="308"/>
      <c r="H90" s="192"/>
      <c r="I90" s="369"/>
      <c r="J90" s="280"/>
      <c r="K90" s="280"/>
      <c r="L90" s="199"/>
      <c r="M90" s="322"/>
      <c r="N90" s="334"/>
      <c r="O90" s="335"/>
      <c r="P90" s="336"/>
      <c r="Q90" s="225" t="s">
        <v>358</v>
      </c>
      <c r="S90" s="225" t="s">
        <v>359</v>
      </c>
      <c r="U90" s="225" t="s">
        <v>360</v>
      </c>
      <c r="V90" s="225" t="s">
        <v>1</v>
      </c>
    </row>
    <row r="91" spans="2:31" x14ac:dyDescent="0.25">
      <c r="B91" s="333"/>
      <c r="C91" s="211" t="s">
        <v>396</v>
      </c>
      <c r="D91" s="330"/>
      <c r="E91" s="306"/>
      <c r="F91" s="331">
        <f t="shared" si="7"/>
        <v>0</v>
      </c>
      <c r="G91" s="308"/>
      <c r="H91" s="192"/>
      <c r="I91" s="369"/>
      <c r="J91" s="280"/>
      <c r="K91" s="280"/>
      <c r="L91" s="199"/>
      <c r="M91" s="278"/>
      <c r="N91" s="320"/>
      <c r="O91" s="321"/>
    </row>
    <row r="92" spans="2:31" x14ac:dyDescent="0.25">
      <c r="B92" s="333" t="s">
        <v>397</v>
      </c>
      <c r="C92" s="211" t="s">
        <v>398</v>
      </c>
      <c r="D92" s="330"/>
      <c r="E92" s="306"/>
      <c r="F92" s="331">
        <f t="shared" si="7"/>
        <v>0</v>
      </c>
      <c r="G92" s="308"/>
      <c r="H92" s="192"/>
      <c r="I92" s="369"/>
      <c r="J92" s="280"/>
      <c r="K92" s="280"/>
      <c r="L92" s="199"/>
      <c r="M92" s="278"/>
      <c r="N92" s="320"/>
      <c r="O92" s="321"/>
      <c r="Q92" s="196" t="s">
        <v>358</v>
      </c>
      <c r="S92" s="196" t="s">
        <v>359</v>
      </c>
      <c r="U92" s="196" t="s">
        <v>360</v>
      </c>
      <c r="V92" s="196" t="s">
        <v>1</v>
      </c>
    </row>
    <row r="93" spans="2:31" x14ac:dyDescent="0.25">
      <c r="B93" s="314"/>
      <c r="C93" s="211" t="s">
        <v>399</v>
      </c>
      <c r="D93" s="378"/>
      <c r="E93" s="306"/>
      <c r="F93" s="379">
        <f t="shared" si="7"/>
        <v>0</v>
      </c>
      <c r="G93" s="308"/>
      <c r="H93" s="192"/>
      <c r="I93" s="369"/>
      <c r="J93" s="280"/>
      <c r="K93" s="280"/>
      <c r="L93" s="199"/>
      <c r="M93" s="278"/>
      <c r="N93" s="320"/>
      <c r="O93" s="321"/>
      <c r="U93" s="196">
        <f>V93/2.471</f>
        <v>286.92836908134359</v>
      </c>
      <c r="V93" s="196">
        <v>709</v>
      </c>
      <c r="W93" s="196">
        <v>910356</v>
      </c>
    </row>
    <row r="94" spans="2:31" x14ac:dyDescent="0.25">
      <c r="B94" s="314"/>
      <c r="C94" s="336"/>
      <c r="D94" s="213">
        <f>SUM(D89:D93)</f>
        <v>-919706.39999999991</v>
      </c>
      <c r="E94" s="213"/>
      <c r="F94" s="359">
        <f t="shared" si="7"/>
        <v>-4.2367164179104473E-2</v>
      </c>
      <c r="G94" s="325"/>
      <c r="H94" s="359"/>
      <c r="I94" s="327"/>
      <c r="J94" s="328"/>
      <c r="K94" s="328"/>
      <c r="L94" s="329"/>
      <c r="M94" s="278"/>
      <c r="N94" s="320"/>
      <c r="O94" s="321"/>
    </row>
    <row r="95" spans="2:31" x14ac:dyDescent="0.25">
      <c r="B95" s="314"/>
      <c r="C95" s="336"/>
      <c r="D95" s="213"/>
      <c r="E95" s="213"/>
      <c r="F95" s="359"/>
      <c r="G95" s="325"/>
      <c r="H95" s="359"/>
      <c r="I95" s="327"/>
      <c r="J95" s="328"/>
      <c r="K95" s="328"/>
      <c r="L95" s="329"/>
      <c r="M95" s="278"/>
      <c r="N95" s="320"/>
      <c r="O95" s="321"/>
      <c r="W95" s="196">
        <f>SUM(W89:W93)</f>
        <v>910356</v>
      </c>
    </row>
    <row r="96" spans="2:31" ht="15.75" x14ac:dyDescent="0.25">
      <c r="B96" s="314"/>
      <c r="C96" s="380" t="s">
        <v>400</v>
      </c>
      <c r="D96" s="381">
        <f>D87+D94</f>
        <v>6537389.4394651297</v>
      </c>
      <c r="E96" s="381"/>
      <c r="F96" s="382">
        <f>D96/$D$48</f>
        <v>0.30115116268035425</v>
      </c>
      <c r="G96" s="383"/>
      <c r="H96" s="384"/>
      <c r="I96" s="385"/>
      <c r="J96" s="386"/>
      <c r="K96" s="386"/>
      <c r="L96" s="387"/>
      <c r="M96" s="278"/>
      <c r="N96" s="320"/>
      <c r="O96" s="321"/>
    </row>
    <row r="97" spans="2:22" ht="15.75" thickBot="1" x14ac:dyDescent="0.3">
      <c r="B97" s="314"/>
      <c r="C97" s="388"/>
      <c r="D97" s="389"/>
      <c r="E97" s="389"/>
      <c r="F97" s="390"/>
      <c r="G97" s="390"/>
      <c r="H97" s="389"/>
      <c r="I97" s="389"/>
      <c r="J97" s="391"/>
      <c r="K97" s="391"/>
      <c r="L97" s="392"/>
      <c r="M97" s="278"/>
      <c r="N97" s="320"/>
      <c r="O97" s="321"/>
    </row>
    <row r="98" spans="2:22" s="225" customFormat="1" x14ac:dyDescent="0.25">
      <c r="B98" s="333" t="s">
        <v>401</v>
      </c>
      <c r="C98" s="196"/>
      <c r="G98" s="393"/>
      <c r="H98" s="279"/>
      <c r="I98" s="279"/>
      <c r="J98" s="280"/>
      <c r="K98" s="280"/>
      <c r="L98" s="278"/>
      <c r="M98" s="322"/>
      <c r="N98" s="334"/>
      <c r="O98" s="335"/>
      <c r="P98" s="336"/>
      <c r="Q98" s="225" t="s">
        <v>358</v>
      </c>
      <c r="S98" s="225" t="s">
        <v>359</v>
      </c>
      <c r="U98" s="225" t="s">
        <v>360</v>
      </c>
      <c r="V98" s="225" t="s">
        <v>1</v>
      </c>
    </row>
    <row r="99" spans="2:22" s="225" customFormat="1" x14ac:dyDescent="0.25">
      <c r="B99" s="333"/>
      <c r="C99" s="196"/>
      <c r="G99" s="393"/>
      <c r="H99" s="279"/>
      <c r="I99" s="279"/>
      <c r="J99" s="357"/>
      <c r="K99" s="357"/>
      <c r="L99" s="196"/>
      <c r="M99" s="322"/>
      <c r="N99" s="334"/>
      <c r="O99" s="335"/>
      <c r="P99" s="336"/>
    </row>
    <row r="100" spans="2:22" s="399" customFormat="1" ht="15.75" x14ac:dyDescent="0.25">
      <c r="B100" s="394"/>
      <c r="C100" s="196"/>
      <c r="G100" s="239"/>
      <c r="H100" s="279"/>
      <c r="I100" s="279"/>
      <c r="J100" s="357"/>
      <c r="K100" s="357"/>
      <c r="L100" s="196"/>
      <c r="M100" s="395"/>
      <c r="N100" s="396"/>
      <c r="O100" s="397"/>
      <c r="P100" s="398"/>
    </row>
    <row r="101" spans="2:22" ht="15.75" thickBot="1" x14ac:dyDescent="0.3">
      <c r="B101" s="400"/>
      <c r="D101" s="1098" t="s">
        <v>839</v>
      </c>
      <c r="E101" s="1098"/>
      <c r="F101" s="1098"/>
      <c r="M101" s="278"/>
    </row>
    <row r="102" spans="2:22" x14ac:dyDescent="0.25">
      <c r="D102" s="710" t="s">
        <v>837</v>
      </c>
      <c r="E102" s="711"/>
      <c r="F102" s="712" t="s">
        <v>838</v>
      </c>
      <c r="M102" s="278"/>
    </row>
    <row r="103" spans="2:22" x14ac:dyDescent="0.25">
      <c r="D103" s="713">
        <f>(SUM(D64:D78)/2300)*-1</f>
        <v>2637.8412350151611</v>
      </c>
      <c r="E103" s="711"/>
      <c r="F103" s="714">
        <f>(SUM(D65:D78)/2300)*-1</f>
        <v>2637.8412350151611</v>
      </c>
    </row>
    <row r="104" spans="2:22" x14ac:dyDescent="0.25">
      <c r="D104" s="715">
        <f>D103/D29</f>
        <v>488.48911759540016</v>
      </c>
      <c r="E104" s="711"/>
      <c r="F104" s="715">
        <f>D103/D29</f>
        <v>488.48911759540016</v>
      </c>
    </row>
  </sheetData>
  <mergeCells count="7">
    <mergeCell ref="D101:F101"/>
    <mergeCell ref="H81:K81"/>
    <mergeCell ref="B1:J1"/>
    <mergeCell ref="B2:J2"/>
    <mergeCell ref="C14:C15"/>
    <mergeCell ref="F51:L52"/>
    <mergeCell ref="H80:K80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9271-E98F-40E1-8D8B-B4003F90BA0D}">
  <dimension ref="A1:Z36"/>
  <sheetViews>
    <sheetView topLeftCell="A14" zoomScale="94" zoomScaleNormal="110" workbookViewId="0">
      <selection activeCell="F31" sqref="F31"/>
    </sheetView>
  </sheetViews>
  <sheetFormatPr defaultColWidth="9.140625" defaultRowHeight="12.75" x14ac:dyDescent="0.2"/>
  <cols>
    <col min="1" max="1" width="17.140625" style="126" bestFit="1" customWidth="1"/>
    <col min="2" max="2" width="16.7109375" style="126" bestFit="1" customWidth="1"/>
    <col min="3" max="3" width="15.28515625" style="126" bestFit="1" customWidth="1"/>
    <col min="4" max="4" width="13.140625" style="126" bestFit="1" customWidth="1"/>
    <col min="5" max="5" width="15" style="126" customWidth="1"/>
    <col min="6" max="6" width="17.140625" style="126" customWidth="1"/>
    <col min="7" max="7" width="15.140625" style="126" bestFit="1" customWidth="1"/>
    <col min="8" max="8" width="16.42578125" style="126" customWidth="1"/>
    <col min="9" max="9" width="15.140625" style="126" bestFit="1" customWidth="1"/>
    <col min="10" max="10" width="16.7109375" style="126" bestFit="1" customWidth="1"/>
    <col min="11" max="11" width="19.5703125" style="126" bestFit="1" customWidth="1"/>
    <col min="12" max="12" width="16.7109375" style="126" bestFit="1" customWidth="1"/>
    <col min="13" max="13" width="15.42578125" style="126" bestFit="1" customWidth="1"/>
    <col min="14" max="14" width="16" style="126" customWidth="1"/>
    <col min="15" max="15" width="15.140625" style="126" bestFit="1" customWidth="1"/>
    <col min="16" max="16" width="14.42578125" style="126" bestFit="1" customWidth="1"/>
    <col min="17" max="18" width="15.42578125" style="126" bestFit="1" customWidth="1"/>
    <col min="19" max="19" width="16" style="126" bestFit="1" customWidth="1"/>
    <col min="20" max="20" width="28" style="126" bestFit="1" customWidth="1"/>
    <col min="21" max="21" width="14" style="126" bestFit="1" customWidth="1"/>
    <col min="22" max="22" width="10" style="126" bestFit="1" customWidth="1"/>
    <col min="23" max="16384" width="9.140625" style="126"/>
  </cols>
  <sheetData>
    <row r="1" spans="1:26" ht="13.5" thickBot="1" x14ac:dyDescent="0.25">
      <c r="A1" s="1112" t="s">
        <v>814</v>
      </c>
      <c r="B1" s="1112"/>
      <c r="C1" s="1112"/>
      <c r="D1" s="1112"/>
      <c r="E1" s="1112"/>
      <c r="F1" s="182"/>
      <c r="P1" s="186"/>
      <c r="Q1" s="186"/>
      <c r="R1" s="186"/>
      <c r="S1" s="186"/>
      <c r="T1" s="187"/>
      <c r="U1" s="128"/>
      <c r="V1" s="128"/>
      <c r="W1" s="128"/>
      <c r="X1" s="128"/>
      <c r="Y1" s="128"/>
      <c r="Z1" s="128"/>
    </row>
    <row r="2" spans="1:26" ht="26.25" thickBot="1" x14ac:dyDescent="0.25">
      <c r="B2" s="999" t="s">
        <v>294</v>
      </c>
      <c r="C2" s="1000" t="s">
        <v>295</v>
      </c>
      <c r="D2" s="1001" t="s">
        <v>296</v>
      </c>
      <c r="E2" s="1001" t="s">
        <v>297</v>
      </c>
      <c r="F2" s="1002" t="s">
        <v>221</v>
      </c>
      <c r="G2" s="1003" t="s">
        <v>6</v>
      </c>
      <c r="H2" s="1004" t="s">
        <v>828</v>
      </c>
      <c r="I2" s="1003" t="s">
        <v>40</v>
      </c>
      <c r="J2" s="1004" t="s">
        <v>298</v>
      </c>
      <c r="K2" s="1004" t="s">
        <v>299</v>
      </c>
      <c r="L2" s="1005" t="s">
        <v>300</v>
      </c>
      <c r="M2" s="1006" t="s">
        <v>301</v>
      </c>
      <c r="N2" s="1007" t="s">
        <v>302</v>
      </c>
      <c r="O2" s="1008" t="s">
        <v>303</v>
      </c>
      <c r="P2" s="1009" t="s">
        <v>810</v>
      </c>
      <c r="Q2" s="668" t="s">
        <v>811</v>
      </c>
      <c r="R2" s="668" t="s">
        <v>812</v>
      </c>
      <c r="S2" s="668" t="s">
        <v>813</v>
      </c>
    </row>
    <row r="3" spans="1:26" ht="15.75" x14ac:dyDescent="0.25">
      <c r="A3" s="183" t="s">
        <v>22</v>
      </c>
      <c r="B3" s="1010">
        <f>'Combust. Lubrif'!$D$27*0.09</f>
        <v>61444.611900000004</v>
      </c>
      <c r="C3" s="1010">
        <f>'Combust. Lubrif'!$K$3/12</f>
        <v>693.33333333333337</v>
      </c>
      <c r="D3" s="1010">
        <f>'Combust. Lubrif'!L23/12</f>
        <v>2794.4</v>
      </c>
      <c r="E3" s="1011">
        <f>'peças '!C28</f>
        <v>137250</v>
      </c>
      <c r="F3" s="1012"/>
      <c r="G3" s="1010"/>
      <c r="H3" s="1010"/>
      <c r="I3" s="1011">
        <f>'Supriment-Ser Profiss'!$C$96/12</f>
        <v>10646.534166666666</v>
      </c>
      <c r="J3" s="1013">
        <f>'Supriment-Ser Profiss'!$H$82/12</f>
        <v>62864.525333333331</v>
      </c>
      <c r="K3" s="1010">
        <f>'Folha pagamento '!N24/14</f>
        <v>80351.31077047014</v>
      </c>
      <c r="L3" s="1010"/>
      <c r="M3" s="170"/>
      <c r="N3" s="1010">
        <v>96000</v>
      </c>
      <c r="O3" s="1010">
        <f>'Utilidades e Veiculos'!P3</f>
        <v>3330.99</v>
      </c>
      <c r="P3" s="1010">
        <f>'Alimentação '!E85</f>
        <v>16288.841820000005</v>
      </c>
      <c r="Q3" s="1010"/>
      <c r="R3" s="171"/>
      <c r="S3" s="171"/>
      <c r="T3" s="669">
        <f t="shared" ref="T3:T14" si="0">SUM(B3:S3)</f>
        <v>471664.54732380353</v>
      </c>
    </row>
    <row r="4" spans="1:26" ht="15.75" x14ac:dyDescent="0.25">
      <c r="A4" s="183" t="s">
        <v>23</v>
      </c>
      <c r="B4" s="1010">
        <f>'Combust. Lubrif'!$D$27*0.09</f>
        <v>61444.611900000004</v>
      </c>
      <c r="C4" s="1010">
        <f>'Combust. Lubrif'!$K$3/12</f>
        <v>693.33333333333337</v>
      </c>
      <c r="D4" s="1010">
        <f>'Combust. Lubrif'!L23/12</f>
        <v>2794.4</v>
      </c>
      <c r="E4" s="1011">
        <f>'peças '!D28</f>
        <v>48900</v>
      </c>
      <c r="F4" s="1012"/>
      <c r="G4" s="1010"/>
      <c r="H4" s="1010"/>
      <c r="I4" s="1011">
        <f>'Supriment-Ser Profiss'!$C$96/12</f>
        <v>10646.534166666666</v>
      </c>
      <c r="J4" s="1013">
        <f>'Supriment-Ser Profiss'!$H$82/12</f>
        <v>62864.525333333331</v>
      </c>
      <c r="K4" s="1010">
        <f>'Folha pagamento '!N24/14+'Folha pagamento '!N29</f>
        <v>120526.96615570522</v>
      </c>
      <c r="M4" s="170"/>
      <c r="N4" s="1010"/>
      <c r="O4" s="1010">
        <f>'Utilidades e Veiculos'!P4</f>
        <v>3402.42</v>
      </c>
      <c r="P4" s="1010">
        <f>'Alimentação '!G85</f>
        <v>14896.934219999999</v>
      </c>
      <c r="Q4" s="170"/>
      <c r="R4" s="170"/>
      <c r="S4" s="170"/>
      <c r="T4" s="669">
        <f t="shared" si="0"/>
        <v>326169.72510903853</v>
      </c>
    </row>
    <row r="5" spans="1:26" ht="15.75" x14ac:dyDescent="0.25">
      <c r="A5" s="183" t="s">
        <v>24</v>
      </c>
      <c r="B5" s="1010">
        <f>'Combust. Lubrif'!$D$27*0.09</f>
        <v>61444.611900000004</v>
      </c>
      <c r="C5" s="1010">
        <f>'Combust. Lubrif'!$K$3/12</f>
        <v>693.33333333333337</v>
      </c>
      <c r="D5" s="1010">
        <f>'Combust. Lubrif'!L23/12</f>
        <v>2794.4</v>
      </c>
      <c r="E5" s="1011">
        <f>'peças '!E28</f>
        <v>33020</v>
      </c>
      <c r="F5" s="1012"/>
      <c r="G5" s="1010"/>
      <c r="H5" s="1010"/>
      <c r="I5" s="1011">
        <f>'Supriment-Ser Profiss'!$C$96/12</f>
        <v>10646.534166666666</v>
      </c>
      <c r="J5" s="1013">
        <f>'Supriment-Ser Profiss'!$H$82/12</f>
        <v>62864.525333333331</v>
      </c>
      <c r="K5" s="1010">
        <f>'Folha pagamento '!N24/14+'Folha pagamento '!N29</f>
        <v>120526.96615570522</v>
      </c>
      <c r="L5" s="1010">
        <f>Avião!$Q$99/5</f>
        <v>42413.662824324325</v>
      </c>
      <c r="M5" s="170"/>
      <c r="N5" s="170"/>
      <c r="O5" s="1010">
        <f>'Utilidades e Veiculos'!P5</f>
        <v>3543.12</v>
      </c>
      <c r="P5" s="1010">
        <f>'Alimentação '!I85</f>
        <v>10604.905080000002</v>
      </c>
      <c r="Q5" s="170"/>
      <c r="R5" s="170"/>
      <c r="S5" s="170"/>
      <c r="T5" s="669">
        <f t="shared" si="0"/>
        <v>348552.05879336287</v>
      </c>
    </row>
    <row r="6" spans="1:26" ht="15.75" x14ac:dyDescent="0.25">
      <c r="A6" s="183" t="s">
        <v>25</v>
      </c>
      <c r="B6" s="1014">
        <f>'Combust. Lubrif'!D27*0.1</f>
        <v>68271.791000000012</v>
      </c>
      <c r="C6" s="1010">
        <f>'Combust. Lubrif'!$K$3/12</f>
        <v>693.33333333333337</v>
      </c>
      <c r="D6" s="1010">
        <f>'Combust. Lubrif'!L23/12</f>
        <v>2794.4</v>
      </c>
      <c r="E6" s="1011">
        <f>'peças '!F28</f>
        <v>42200</v>
      </c>
      <c r="F6" s="1012"/>
      <c r="G6" s="1010">
        <f>'Utilidades e Veiculos'!H63</f>
        <v>5857.97</v>
      </c>
      <c r="H6" s="1010"/>
      <c r="I6" s="1011">
        <f>'Supriment-Ser Profiss'!$C$96/12</f>
        <v>10646.534166666666</v>
      </c>
      <c r="J6" s="1013">
        <f>'Supriment-Ser Profiss'!$H$82/12</f>
        <v>62864.525333333331</v>
      </c>
      <c r="K6" s="1010">
        <f>'Folha pagamento '!N24/14</f>
        <v>80351.31077047014</v>
      </c>
      <c r="L6" s="1010">
        <f>Avião!$Q$99/5</f>
        <v>42413.662824324325</v>
      </c>
      <c r="M6" s="170"/>
      <c r="N6" s="170"/>
      <c r="O6" s="1010">
        <f>'Utilidades e Veiculos'!P6</f>
        <v>3472.5</v>
      </c>
      <c r="P6" s="1010">
        <f>'Alimentação '!K85</f>
        <v>13071.329040000002</v>
      </c>
      <c r="Q6" s="170"/>
      <c r="R6" s="170"/>
      <c r="S6" s="170"/>
      <c r="T6" s="669">
        <f t="shared" si="0"/>
        <v>332637.35646812781</v>
      </c>
    </row>
    <row r="7" spans="1:26" ht="15.75" x14ac:dyDescent="0.25">
      <c r="A7" s="183" t="s">
        <v>36</v>
      </c>
      <c r="B7" s="1014">
        <f>'Combust. Lubrif'!D27*0.1</f>
        <v>68271.791000000012</v>
      </c>
      <c r="C7" s="1010">
        <f>'Combust. Lubrif'!$K$3/12</f>
        <v>693.33333333333337</v>
      </c>
      <c r="D7" s="1010">
        <f>'Combust. Lubrif'!L23/12</f>
        <v>2794.4</v>
      </c>
      <c r="E7" s="1011">
        <f>'peças '!G28</f>
        <v>66049.666666666657</v>
      </c>
      <c r="F7" s="1010">
        <f>'Contratação serviç.'!I17/3</f>
        <v>3813.3333333333339</v>
      </c>
      <c r="G7" s="1010"/>
      <c r="H7" s="1010"/>
      <c r="I7" s="1011">
        <f>'Supriment-Ser Profiss'!$C$96/12</f>
        <v>10646.534166666666</v>
      </c>
      <c r="J7" s="1013">
        <f>'Supriment-Ser Profiss'!$H$82/12</f>
        <v>62864.525333333331</v>
      </c>
      <c r="K7" s="1010">
        <f>'Folha pagamento '!N24/14</f>
        <v>80351.31077047014</v>
      </c>
      <c r="L7" s="1010">
        <f>Avião!$Q$99/5</f>
        <v>42413.662824324325</v>
      </c>
      <c r="M7" s="170"/>
      <c r="N7" s="170"/>
      <c r="O7" s="1010">
        <f>'Utilidades e Veiculos'!P7</f>
        <v>5072.3999999999996</v>
      </c>
      <c r="P7" s="1010">
        <f>'Alimentação '!M85</f>
        <v>15057.584219999999</v>
      </c>
      <c r="Q7" s="170"/>
      <c r="R7" s="170"/>
      <c r="S7" s="170"/>
      <c r="T7" s="669">
        <f t="shared" si="0"/>
        <v>358028.54164812784</v>
      </c>
    </row>
    <row r="8" spans="1:26" ht="15.75" x14ac:dyDescent="0.25">
      <c r="A8" s="183" t="s">
        <v>37</v>
      </c>
      <c r="B8" s="1014">
        <f>'Combust. Lubrif'!D27*0.11</f>
        <v>75098.970100000006</v>
      </c>
      <c r="C8" s="1010">
        <f>'Combust. Lubrif'!$K$3/12</f>
        <v>693.33333333333337</v>
      </c>
      <c r="D8" s="1010">
        <f>'Combust. Lubrif'!L23/12</f>
        <v>2794.4</v>
      </c>
      <c r="E8" s="1011">
        <f>'peças '!H28</f>
        <v>65250</v>
      </c>
      <c r="F8" s="1010">
        <f>'Contratação serviç.'!I17/3</f>
        <v>3813.3333333333339</v>
      </c>
      <c r="G8" s="1010"/>
      <c r="H8" s="1010"/>
      <c r="I8" s="1011">
        <f>'Supriment-Ser Profiss'!$C$96/12</f>
        <v>10646.534166666666</v>
      </c>
      <c r="J8" s="1013">
        <f>'Supriment-Ser Profiss'!$H$82/12</f>
        <v>62864.525333333331</v>
      </c>
      <c r="K8" s="1010">
        <f>'Folha pagamento '!N24/14+'Folha pagamento '!N29</f>
        <v>120526.96615570522</v>
      </c>
      <c r="L8" s="1010">
        <f>Avião!$Q$99/5</f>
        <v>42413.662824324325</v>
      </c>
      <c r="M8" s="1010">
        <f>'Contratação serviç.'!$B$19/3</f>
        <v>305520.66666666669</v>
      </c>
      <c r="N8" s="170"/>
      <c r="O8" s="1010">
        <f>'Utilidades e Veiculos'!P8</f>
        <v>1944.36</v>
      </c>
      <c r="P8" s="1010">
        <f>'Alimentação '!O85</f>
        <v>17609.501490000002</v>
      </c>
      <c r="Q8" s="170"/>
      <c r="R8" s="170"/>
      <c r="S8" s="170"/>
      <c r="T8" s="669">
        <f t="shared" si="0"/>
        <v>709176.25340336293</v>
      </c>
    </row>
    <row r="9" spans="1:26" ht="15.75" x14ac:dyDescent="0.25">
      <c r="A9" s="183" t="s">
        <v>38</v>
      </c>
      <c r="B9" s="1014">
        <f>'Combust. Lubrif'!D27*0.11</f>
        <v>75098.970100000006</v>
      </c>
      <c r="C9" s="1010">
        <f>'Combust. Lubrif'!$K$3/12</f>
        <v>693.33333333333337</v>
      </c>
      <c r="D9" s="1010">
        <f>'Combust. Lubrif'!L23/12</f>
        <v>2794.4</v>
      </c>
      <c r="E9" s="1011">
        <f>'peças '!I28</f>
        <v>30625</v>
      </c>
      <c r="F9" s="1010">
        <f>'Contratação serviç.'!I17/3</f>
        <v>3813.3333333333339</v>
      </c>
      <c r="G9" s="1010"/>
      <c r="H9" s="1010"/>
      <c r="I9" s="1011">
        <f>'Supriment-Ser Profiss'!$C$96/12</f>
        <v>10646.534166666666</v>
      </c>
      <c r="J9" s="1013">
        <f>'Supriment-Ser Profiss'!$H$82/12</f>
        <v>62864.525333333331</v>
      </c>
      <c r="K9" s="1010">
        <f>'Folha pagamento '!N24/14</f>
        <v>80351.31077047014</v>
      </c>
      <c r="L9" s="1010">
        <f>Avião!$Q$99/5</f>
        <v>42413.662824324325</v>
      </c>
      <c r="M9" s="1010">
        <f>'Contratação serviç.'!$B$19/3</f>
        <v>305520.66666666669</v>
      </c>
      <c r="N9" s="170"/>
      <c r="O9" s="1010">
        <f>'Utilidades e Veiculos'!P9</f>
        <v>13246.2</v>
      </c>
      <c r="P9" s="1010">
        <f>'Alimentação '!Q85</f>
        <v>17750.93649</v>
      </c>
      <c r="Q9" s="170"/>
      <c r="R9" s="170"/>
      <c r="S9" s="170"/>
      <c r="T9" s="669">
        <f t="shared" si="0"/>
        <v>645818.87301812775</v>
      </c>
    </row>
    <row r="10" spans="1:26" ht="15.75" x14ac:dyDescent="0.25">
      <c r="A10" s="183" t="s">
        <v>39</v>
      </c>
      <c r="B10" s="1014">
        <f>'Combust. Lubrif'!D27*0.11</f>
        <v>75098.970100000006</v>
      </c>
      <c r="C10" s="1010">
        <f>'Combust. Lubrif'!$K$3/12</f>
        <v>693.33333333333337</v>
      </c>
      <c r="D10" s="1010">
        <f>'Combust. Lubrif'!L23/12</f>
        <v>2794.4</v>
      </c>
      <c r="E10" s="1011">
        <f>'peças '!J28</f>
        <v>48350</v>
      </c>
      <c r="F10" s="1014"/>
      <c r="G10" s="1010"/>
      <c r="H10" s="1010"/>
      <c r="I10" s="1011">
        <f>'Supriment-Ser Profiss'!$C$96/12</f>
        <v>10646.534166666666</v>
      </c>
      <c r="J10" s="1013">
        <f>'Supriment-Ser Profiss'!$H$82/12</f>
        <v>62864.525333333331</v>
      </c>
      <c r="K10" s="1010">
        <f>'Folha pagamento '!N24/14</f>
        <v>80351.31077047014</v>
      </c>
      <c r="L10" s="1010"/>
      <c r="M10" s="1010">
        <f>'Contratação serviç.'!$B$19/3</f>
        <v>305520.66666666669</v>
      </c>
      <c r="N10" s="170"/>
      <c r="O10" s="1010">
        <f>'Utilidades e Veiculos'!P10</f>
        <v>5747.4</v>
      </c>
      <c r="P10" s="1010">
        <f>'Alimentação '!S85</f>
        <v>15026.84022</v>
      </c>
      <c r="Q10" s="170"/>
      <c r="R10" s="170"/>
      <c r="S10" s="170"/>
      <c r="T10" s="669">
        <f t="shared" si="0"/>
        <v>607093.98059047014</v>
      </c>
    </row>
    <row r="11" spans="1:26" ht="15.75" x14ac:dyDescent="0.25">
      <c r="A11" s="183" t="s">
        <v>30</v>
      </c>
      <c r="B11" s="1014">
        <f>'Combust. Lubrif'!D27*0.07</f>
        <v>47790.253700000008</v>
      </c>
      <c r="C11" s="1010">
        <f>'Combust. Lubrif'!$K$3/12</f>
        <v>693.33333333333337</v>
      </c>
      <c r="D11" s="1010">
        <f>'Combust. Lubrif'!L23/12</f>
        <v>2794.4</v>
      </c>
      <c r="E11" s="1011">
        <f>'peças '!K28</f>
        <v>70080</v>
      </c>
      <c r="F11" s="1010"/>
      <c r="G11" s="1010"/>
      <c r="H11" s="1010"/>
      <c r="I11" s="1011">
        <f>'Supriment-Ser Profiss'!$C$96/12</f>
        <v>10646.534166666666</v>
      </c>
      <c r="J11" s="1013">
        <f>'Supriment-Ser Profiss'!$H$82/12</f>
        <v>62864.525333333331</v>
      </c>
      <c r="K11" s="1010">
        <f>'Folha pagamento '!N24/14</f>
        <v>80351.31077047014</v>
      </c>
      <c r="L11" s="1010"/>
      <c r="M11" s="1010"/>
      <c r="N11" s="170"/>
      <c r="O11" s="1010">
        <f>'Utilidades e Veiculos'!P11</f>
        <v>3483.51</v>
      </c>
      <c r="P11" s="1010">
        <f>'Alimentação '!U85</f>
        <v>15026.84022</v>
      </c>
      <c r="Q11" s="170"/>
      <c r="R11" s="170"/>
      <c r="S11" s="170"/>
      <c r="T11" s="669">
        <f t="shared" si="0"/>
        <v>293730.70752380352</v>
      </c>
    </row>
    <row r="12" spans="1:26" ht="15.75" x14ac:dyDescent="0.25">
      <c r="A12" s="183" t="s">
        <v>31</v>
      </c>
      <c r="B12" s="1014">
        <f>'Combust. Lubrif'!D27*0.07</f>
        <v>47790.253700000008</v>
      </c>
      <c r="C12" s="1010">
        <f>'Combust. Lubrif'!$K$3/12</f>
        <v>693.33333333333337</v>
      </c>
      <c r="D12" s="1010">
        <f>'Combust. Lubrif'!L23/12</f>
        <v>2794.4</v>
      </c>
      <c r="E12" s="1011">
        <f>'peças '!L28</f>
        <v>30500</v>
      </c>
      <c r="F12" s="1010"/>
      <c r="G12" s="1010"/>
      <c r="H12" s="1010"/>
      <c r="I12" s="1011">
        <f>'Supriment-Ser Profiss'!$C$96/12</f>
        <v>10646.534166666666</v>
      </c>
      <c r="J12" s="1013">
        <f>'Supriment-Ser Profiss'!$H$82/12</f>
        <v>62864.525333333331</v>
      </c>
      <c r="K12" s="1010">
        <f>'Folha pagamento '!N24/14</f>
        <v>80351.31077047014</v>
      </c>
      <c r="L12" s="1010"/>
      <c r="M12" s="1010"/>
      <c r="N12" s="170"/>
      <c r="O12" s="1010">
        <f>'Utilidades e Veiculos'!P12</f>
        <v>3426.06</v>
      </c>
      <c r="P12" s="1010">
        <f>'Alimentação '!W85</f>
        <v>12744.542160000003</v>
      </c>
      <c r="Q12" s="170"/>
      <c r="R12" s="170"/>
      <c r="S12" s="170"/>
      <c r="T12" s="669">
        <f t="shared" si="0"/>
        <v>251810.95946380351</v>
      </c>
    </row>
    <row r="13" spans="1:26" ht="15.75" x14ac:dyDescent="0.25">
      <c r="A13" s="183" t="s">
        <v>32</v>
      </c>
      <c r="B13" s="1014">
        <f>'Combust. Lubrif'!D27*0.03</f>
        <v>20481.5373</v>
      </c>
      <c r="C13" s="1010">
        <f>'Combust. Lubrif'!$K$3/12</f>
        <v>693.33333333333337</v>
      </c>
      <c r="D13" s="1010">
        <f>'Combust. Lubrif'!L23/12</f>
        <v>2794.4</v>
      </c>
      <c r="E13" s="1011">
        <f>'peças '!M28</f>
        <v>27800</v>
      </c>
      <c r="F13" s="1012"/>
      <c r="G13" s="1010"/>
      <c r="H13" s="1010"/>
      <c r="I13" s="1011">
        <f>'Supriment-Ser Profiss'!$C$96/12</f>
        <v>10646.534166666666</v>
      </c>
      <c r="J13" s="1013">
        <f>'Supriment-Ser Profiss'!$H$82/12</f>
        <v>62864.525333333331</v>
      </c>
      <c r="K13" s="1010">
        <f>'Folha pagamento '!N24/14</f>
        <v>80351.31077047014</v>
      </c>
      <c r="L13" s="1010"/>
      <c r="M13" s="1010"/>
      <c r="N13" s="170"/>
      <c r="O13" s="1010">
        <f>'Utilidades e Veiculos'!P13</f>
        <v>3233.88</v>
      </c>
      <c r="P13" s="1010">
        <f>'Alimentação '!Y85</f>
        <v>13163.682000000003</v>
      </c>
      <c r="Q13" s="170"/>
      <c r="R13" s="170"/>
      <c r="S13" s="170"/>
      <c r="T13" s="669">
        <f t="shared" si="0"/>
        <v>222029.20290380347</v>
      </c>
      <c r="V13" s="953" t="s">
        <v>1120</v>
      </c>
    </row>
    <row r="14" spans="1:26" ht="15.75" x14ac:dyDescent="0.25">
      <c r="A14" s="183" t="s">
        <v>33</v>
      </c>
      <c r="B14" s="1010">
        <f>'Combust. Lubrif'!D27*0.03</f>
        <v>20481.5373</v>
      </c>
      <c r="C14" s="1010">
        <f>'Combust. Lubrif'!$K$3/12</f>
        <v>693.33333333333337</v>
      </c>
      <c r="D14" s="1010">
        <f>'Combust. Lubrif'!L23/12</f>
        <v>2794.4</v>
      </c>
      <c r="E14" s="1011">
        <f>'peças '!N28</f>
        <v>51300</v>
      </c>
      <c r="F14" s="1010"/>
      <c r="G14" s="1010"/>
      <c r="H14" s="1010"/>
      <c r="I14" s="1011">
        <f>'Supriment-Ser Profiss'!$C$96/12</f>
        <v>10646.534166666666</v>
      </c>
      <c r="J14" s="1013">
        <f>'Supriment-Ser Profiss'!$H$82/12</f>
        <v>62864.525333333331</v>
      </c>
      <c r="K14" s="1010">
        <f>'Folha pagamento '!N24/14+'Folha pagamento '!N29</f>
        <v>120526.96615570522</v>
      </c>
      <c r="L14" s="1010"/>
      <c r="M14" s="170"/>
      <c r="N14" s="1010"/>
      <c r="O14" s="1010">
        <f>'Utilidades e Veiculos'!P14</f>
        <v>3434.3999999999996</v>
      </c>
      <c r="P14" s="1010">
        <f>'Alimentação '!AA85</f>
        <v>10933.708800000004</v>
      </c>
      <c r="Q14" s="170"/>
      <c r="R14" s="170"/>
      <c r="S14" s="170"/>
      <c r="T14" s="669">
        <f t="shared" si="0"/>
        <v>283675.4050890386</v>
      </c>
      <c r="U14" s="127">
        <f>U15/2300</f>
        <v>2666.2554831890739</v>
      </c>
      <c r="V14" s="952">
        <f>U14/5.6</f>
        <v>476.1170505694775</v>
      </c>
    </row>
    <row r="15" spans="1:26" s="128" customFormat="1" ht="15.75" x14ac:dyDescent="0.25">
      <c r="A15" s="184" t="s">
        <v>304</v>
      </c>
      <c r="B15" s="185">
        <f t="shared" ref="B15:M15" si="1">SUM(B3:B14)</f>
        <v>682717.91</v>
      </c>
      <c r="C15" s="185">
        <f t="shared" si="1"/>
        <v>8319.9999999999982</v>
      </c>
      <c r="D15" s="185">
        <f>SUM(D3:D14)</f>
        <v>33532.80000000001</v>
      </c>
      <c r="E15" s="185">
        <f>SUM(E3:E14)</f>
        <v>651324.66666666663</v>
      </c>
      <c r="F15" s="185">
        <f t="shared" si="1"/>
        <v>11440.000000000002</v>
      </c>
      <c r="G15" s="185">
        <f t="shared" si="1"/>
        <v>5857.97</v>
      </c>
      <c r="H15" s="185">
        <f t="shared" si="1"/>
        <v>0</v>
      </c>
      <c r="I15" s="185">
        <f t="shared" si="1"/>
        <v>127758.40999999999</v>
      </c>
      <c r="J15" s="185">
        <f t="shared" si="1"/>
        <v>754374.30399999989</v>
      </c>
      <c r="K15" s="185">
        <f t="shared" si="1"/>
        <v>1124918.3507865821</v>
      </c>
      <c r="L15" s="185">
        <f t="shared" si="1"/>
        <v>212068.31412162163</v>
      </c>
      <c r="M15" s="185">
        <f t="shared" si="1"/>
        <v>916562</v>
      </c>
      <c r="N15" s="657">
        <f>SUM(N3:N14)</f>
        <v>96000</v>
      </c>
      <c r="O15" s="185">
        <f>SUM(O3:O14)</f>
        <v>53337.240000000005</v>
      </c>
      <c r="P15" s="657">
        <f>SUM(P3:P14)</f>
        <v>172175.64576000001</v>
      </c>
      <c r="Q15" s="185">
        <f>'Quimi. Fert. Semente'!N10</f>
        <v>3535812</v>
      </c>
      <c r="R15" s="185">
        <f>'Quimi. Fert. Semente'!I15</f>
        <v>1782090.7200000004</v>
      </c>
      <c r="S15" s="185">
        <f>'Quimi. Fert. Semente'!D15</f>
        <v>1799674.2000000002</v>
      </c>
      <c r="T15" s="670">
        <f>SUM(B15:S15)</f>
        <v>11967964.53133487</v>
      </c>
      <c r="U15" s="127">
        <f>SUM(B15:P15)+1282000</f>
        <v>6132387.6113348696</v>
      </c>
      <c r="V15" s="126"/>
      <c r="W15" s="126"/>
      <c r="X15" s="126"/>
      <c r="Y15" s="126"/>
      <c r="Z15" s="126"/>
    </row>
    <row r="16" spans="1:26" s="128" customFormat="1" ht="15.75" x14ac:dyDescent="0.25">
      <c r="A16" s="184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657"/>
      <c r="O16" s="185"/>
      <c r="P16" s="657"/>
      <c r="Q16" s="185"/>
      <c r="R16" s="185"/>
      <c r="S16" s="185"/>
      <c r="T16" s="670"/>
      <c r="U16" s="127"/>
      <c r="V16" s="126"/>
      <c r="W16" s="126"/>
      <c r="X16" s="126"/>
      <c r="Y16" s="126"/>
      <c r="Z16" s="126"/>
    </row>
    <row r="17" spans="1:26" s="128" customFormat="1" ht="15.75" x14ac:dyDescent="0.25">
      <c r="A17" s="184" t="s">
        <v>1379</v>
      </c>
      <c r="B17" s="1120">
        <v>873061</v>
      </c>
      <c r="C17" s="1120"/>
      <c r="D17" s="1120"/>
      <c r="E17" s="185">
        <v>767995</v>
      </c>
      <c r="F17" s="185">
        <v>16516</v>
      </c>
      <c r="G17" s="185">
        <v>8733</v>
      </c>
      <c r="H17" s="185">
        <v>4646</v>
      </c>
      <c r="I17" s="185">
        <v>142786</v>
      </c>
      <c r="J17" s="185">
        <v>812270</v>
      </c>
      <c r="K17" s="185">
        <v>995123</v>
      </c>
      <c r="L17" s="185">
        <v>410999</v>
      </c>
      <c r="M17" s="185">
        <v>871101</v>
      </c>
      <c r="N17" s="657">
        <v>94566</v>
      </c>
      <c r="O17" s="185">
        <v>83550</v>
      </c>
      <c r="P17" s="657">
        <v>196587</v>
      </c>
      <c r="Q17" s="185">
        <v>2758778.5414152062</v>
      </c>
      <c r="R17" s="185">
        <v>2067511.223328186</v>
      </c>
      <c r="S17" s="185">
        <v>1511168.2879999997</v>
      </c>
      <c r="T17" s="670">
        <v>10986278.719014429</v>
      </c>
      <c r="U17" s="127">
        <v>5930820.6662710356</v>
      </c>
      <c r="V17" s="126"/>
      <c r="W17" s="126"/>
      <c r="X17" s="126"/>
      <c r="Y17" s="126"/>
      <c r="Z17" s="126"/>
    </row>
    <row r="18" spans="1:26" s="941" customFormat="1" ht="15.75" x14ac:dyDescent="0.25">
      <c r="A18" s="939" t="s">
        <v>1118</v>
      </c>
      <c r="B18" s="1116">
        <v>700501.45</v>
      </c>
      <c r="C18" s="1116"/>
      <c r="D18" s="1116"/>
      <c r="E18" s="940">
        <v>687314.62</v>
      </c>
      <c r="F18" s="940">
        <v>17629.37</v>
      </c>
      <c r="G18" s="940">
        <v>7284.81</v>
      </c>
      <c r="H18" s="940">
        <v>0</v>
      </c>
      <c r="I18" s="940">
        <v>97114.28</v>
      </c>
      <c r="J18" s="940">
        <v>644446.81999999995</v>
      </c>
      <c r="K18" s="940">
        <v>896802.99</v>
      </c>
      <c r="L18" s="940">
        <v>-271514.77</v>
      </c>
      <c r="M18" s="940">
        <v>1022660.5</v>
      </c>
      <c r="N18" s="940">
        <v>69423.5</v>
      </c>
      <c r="O18" s="940">
        <v>104331.61</v>
      </c>
      <c r="P18" s="941">
        <v>165702.01</v>
      </c>
      <c r="Q18" s="941">
        <v>2424711</v>
      </c>
      <c r="R18" s="941">
        <v>2483600</v>
      </c>
      <c r="S18" s="941">
        <v>2042476</v>
      </c>
      <c r="T18" s="942">
        <f>SUM(B18:S18)</f>
        <v>11092484.189999999</v>
      </c>
      <c r="U18" s="127">
        <f>SUM(B18:P18)</f>
        <v>4141697.1899999995</v>
      </c>
      <c r="V18" s="943">
        <f>(T15/T21)-1</f>
        <v>-0.41865283123007069</v>
      </c>
      <c r="W18" s="608"/>
      <c r="X18" s="608"/>
      <c r="Y18" s="608"/>
      <c r="Z18" s="608"/>
    </row>
    <row r="19" spans="1:26" s="948" customFormat="1" ht="15.75" x14ac:dyDescent="0.25">
      <c r="A19" s="946" t="s">
        <v>1118</v>
      </c>
      <c r="B19" s="1115">
        <v>1007230</v>
      </c>
      <c r="C19" s="1115"/>
      <c r="D19" s="1115"/>
      <c r="E19" s="947">
        <v>442901.08999999991</v>
      </c>
      <c r="F19" s="947">
        <v>11440.000000000002</v>
      </c>
      <c r="G19" s="947">
        <v>7497.4699999999993</v>
      </c>
      <c r="H19" s="947">
        <v>0</v>
      </c>
      <c r="I19" s="947">
        <v>133422</v>
      </c>
      <c r="J19" s="947">
        <v>907493.22571428574</v>
      </c>
      <c r="K19" s="947">
        <v>714449.56741079723</v>
      </c>
      <c r="L19" s="947">
        <v>332262.36</v>
      </c>
      <c r="M19" s="947">
        <v>1063200</v>
      </c>
      <c r="N19" s="947">
        <v>33859.32</v>
      </c>
      <c r="O19" s="947">
        <v>137089.96</v>
      </c>
      <c r="P19" s="948">
        <v>152681.35739999998</v>
      </c>
      <c r="Q19" s="948">
        <v>2122830</v>
      </c>
      <c r="R19" s="948">
        <v>1812595</v>
      </c>
      <c r="S19" s="948">
        <v>1829700</v>
      </c>
      <c r="T19" s="949">
        <f>SUM(B19:S19)</f>
        <v>10708651.350525083</v>
      </c>
      <c r="U19" s="950"/>
      <c r="V19" s="951"/>
      <c r="W19" s="950"/>
      <c r="X19" s="950"/>
      <c r="Y19" s="950"/>
      <c r="Z19" s="950"/>
    </row>
    <row r="20" spans="1:26" s="928" customFormat="1" x14ac:dyDescent="0.2">
      <c r="A20" s="925" t="s">
        <v>1119</v>
      </c>
      <c r="B20" s="1117">
        <v>1072358</v>
      </c>
      <c r="C20" s="1118"/>
      <c r="D20" s="1119"/>
      <c r="E20" s="944">
        <v>816622</v>
      </c>
      <c r="F20" s="944">
        <v>95121</v>
      </c>
      <c r="G20" s="944">
        <v>5660</v>
      </c>
      <c r="H20" s="944">
        <v>109000</v>
      </c>
      <c r="I20" s="944">
        <v>160587</v>
      </c>
      <c r="J20" s="944">
        <v>395630</v>
      </c>
      <c r="K20" s="944">
        <v>1065858</v>
      </c>
      <c r="L20" s="944">
        <v>335462</v>
      </c>
      <c r="M20" s="944">
        <v>2866224</v>
      </c>
      <c r="N20" s="944"/>
      <c r="O20" s="944">
        <v>184570</v>
      </c>
      <c r="P20" s="945">
        <v>254116</v>
      </c>
      <c r="Q20" s="945"/>
      <c r="R20" s="926"/>
      <c r="S20" s="926"/>
      <c r="T20" s="926"/>
      <c r="U20" s="926"/>
      <c r="V20" s="927"/>
      <c r="W20" s="926"/>
      <c r="X20" s="926"/>
      <c r="Y20" s="926"/>
      <c r="Z20" s="926"/>
    </row>
    <row r="21" spans="1:26" s="933" customFormat="1" ht="15.75" x14ac:dyDescent="0.25">
      <c r="A21" s="929" t="s">
        <v>808</v>
      </c>
      <c r="B21" s="1113">
        <v>1717934</v>
      </c>
      <c r="C21" s="1113"/>
      <c r="D21" s="1113"/>
      <c r="E21" s="930">
        <v>960925</v>
      </c>
      <c r="F21" s="931">
        <v>188221</v>
      </c>
      <c r="G21" s="930">
        <v>9150</v>
      </c>
      <c r="H21" s="932">
        <v>43707</v>
      </c>
      <c r="I21" s="930">
        <v>71842</v>
      </c>
      <c r="J21" s="932">
        <v>298686</v>
      </c>
      <c r="K21" s="930">
        <v>1003922</v>
      </c>
      <c r="L21" s="931">
        <v>216259</v>
      </c>
      <c r="M21" s="930">
        <v>2667281</v>
      </c>
      <c r="N21" s="930"/>
      <c r="O21" s="930">
        <v>153895</v>
      </c>
      <c r="P21" s="933">
        <v>225555</v>
      </c>
      <c r="Q21" s="933">
        <v>4537127</v>
      </c>
      <c r="R21" s="933">
        <v>5666912</v>
      </c>
      <c r="S21" s="933">
        <v>2825189</v>
      </c>
      <c r="T21" s="934">
        <f>SUM(B21:S21)</f>
        <v>20586605</v>
      </c>
      <c r="U21" s="935"/>
      <c r="V21" s="935"/>
      <c r="W21" s="935"/>
      <c r="X21" s="935"/>
      <c r="Y21" s="935"/>
      <c r="Z21" s="935"/>
    </row>
    <row r="22" spans="1:26" s="936" customFormat="1" x14ac:dyDescent="0.2">
      <c r="A22" s="936" t="s">
        <v>677</v>
      </c>
      <c r="B22" s="1114">
        <v>578356.23</v>
      </c>
      <c r="C22" s="1114"/>
      <c r="D22" s="1114"/>
      <c r="E22" s="937">
        <v>162336.63500000001</v>
      </c>
      <c r="F22" s="937">
        <v>53067.12962962962</v>
      </c>
      <c r="G22" s="937">
        <v>5046.2199999999984</v>
      </c>
      <c r="H22" s="937">
        <v>0</v>
      </c>
      <c r="I22" s="937">
        <v>56679.48833333332</v>
      </c>
      <c r="J22" s="937">
        <v>242050.95980000007</v>
      </c>
      <c r="K22" s="937">
        <v>661110.67574569187</v>
      </c>
      <c r="L22" s="937">
        <v>305977.24049147352</v>
      </c>
      <c r="M22" s="937">
        <v>2178115</v>
      </c>
      <c r="N22" s="937">
        <v>0</v>
      </c>
      <c r="O22" s="937">
        <v>86875</v>
      </c>
      <c r="P22" s="937">
        <v>99000</v>
      </c>
      <c r="Q22" s="937">
        <v>0</v>
      </c>
      <c r="R22" s="937">
        <v>4849531.0250000004</v>
      </c>
      <c r="S22" s="937">
        <v>2171360</v>
      </c>
      <c r="T22" s="938">
        <f>SUM(B22:S22)</f>
        <v>11449505.604000129</v>
      </c>
    </row>
    <row r="23" spans="1:26" ht="15" x14ac:dyDescent="0.25">
      <c r="B23" s="861"/>
      <c r="C23" s="188"/>
      <c r="D23" s="188"/>
      <c r="E23" s="128"/>
      <c r="F23" s="492"/>
      <c r="G23" s="492"/>
      <c r="H23" s="492"/>
      <c r="I23" s="492"/>
      <c r="J23" s="492"/>
      <c r="K23" s="128"/>
      <c r="L23" s="128"/>
      <c r="M23" s="128"/>
      <c r="N23" s="128"/>
      <c r="O23" s="128"/>
    </row>
    <row r="24" spans="1:26" x14ac:dyDescent="0.2">
      <c r="B24" s="189"/>
      <c r="C24" s="189"/>
      <c r="D24" s="852"/>
      <c r="E24" s="189"/>
      <c r="F24" s="492"/>
      <c r="G24" s="492"/>
      <c r="H24" s="492"/>
      <c r="I24" s="492"/>
      <c r="J24" s="492"/>
      <c r="K24" s="189"/>
      <c r="L24" s="189"/>
      <c r="M24" s="189"/>
      <c r="N24" s="190"/>
      <c r="O24" s="189"/>
    </row>
    <row r="25" spans="1:26" x14ac:dyDescent="0.2">
      <c r="A25" s="862" t="s">
        <v>1430</v>
      </c>
      <c r="B25" s="1121">
        <f>B15:D15/2300</f>
        <v>296.83387391304348</v>
      </c>
      <c r="C25" s="1121"/>
      <c r="D25" s="1121"/>
      <c r="E25" s="843">
        <f t="shared" ref="E25:O25" si="2">E15/2300</f>
        <v>283.18463768115942</v>
      </c>
      <c r="F25" s="843">
        <f>F15/2300</f>
        <v>4.9739130434782615</v>
      </c>
      <c r="G25" s="843">
        <f t="shared" si="2"/>
        <v>2.5469434782608698</v>
      </c>
      <c r="H25" s="843">
        <f t="shared" si="2"/>
        <v>0</v>
      </c>
      <c r="I25" s="843">
        <f t="shared" si="2"/>
        <v>55.547134782608694</v>
      </c>
      <c r="J25" s="843">
        <f t="shared" si="2"/>
        <v>327.98882782608689</v>
      </c>
      <c r="K25" s="843">
        <f t="shared" si="2"/>
        <v>489.09493512460091</v>
      </c>
      <c r="L25" s="843">
        <f>L15/2300</f>
        <v>92.20361483548767</v>
      </c>
      <c r="M25" s="843">
        <f t="shared" si="2"/>
        <v>398.50521739130437</v>
      </c>
      <c r="N25" s="843">
        <f t="shared" si="2"/>
        <v>41.739130434782609</v>
      </c>
      <c r="O25" s="843">
        <f t="shared" si="2"/>
        <v>23.19010434782609</v>
      </c>
      <c r="P25" s="843">
        <f>P15/2300</f>
        <v>74.858976417391304</v>
      </c>
    </row>
    <row r="26" spans="1:26" x14ac:dyDescent="0.2">
      <c r="A26" s="1095"/>
      <c r="B26" s="1093"/>
      <c r="C26" s="1093"/>
      <c r="D26" s="1093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</row>
    <row r="27" spans="1:26" x14ac:dyDescent="0.2">
      <c r="A27" s="1096" t="s">
        <v>1431</v>
      </c>
      <c r="B27" s="1109">
        <f>B17/2300</f>
        <v>379.5917391304348</v>
      </c>
      <c r="C27" s="1110"/>
      <c r="D27" s="1111"/>
      <c r="E27" s="1097">
        <f t="shared" ref="E27:J27" si="3">E17/2300</f>
        <v>333.91086956521741</v>
      </c>
      <c r="F27" s="1097">
        <f t="shared" si="3"/>
        <v>7.1808695652173915</v>
      </c>
      <c r="G27" s="1097">
        <f t="shared" si="3"/>
        <v>3.7969565217391303</v>
      </c>
      <c r="H27" s="1097">
        <f t="shared" si="3"/>
        <v>2.02</v>
      </c>
      <c r="I27" s="1097">
        <f t="shared" si="3"/>
        <v>62.080869565217391</v>
      </c>
      <c r="J27" s="1097">
        <f t="shared" si="3"/>
        <v>353.16086956521741</v>
      </c>
      <c r="K27" s="1097">
        <f t="shared" ref="K27:P27" si="4">K17/2300</f>
        <v>432.66217391304349</v>
      </c>
      <c r="L27" s="1097">
        <f t="shared" si="4"/>
        <v>178.69521739130434</v>
      </c>
      <c r="M27" s="1097">
        <f t="shared" si="4"/>
        <v>378.73956521739132</v>
      </c>
      <c r="N27" s="1097">
        <f t="shared" si="4"/>
        <v>41.115652173913041</v>
      </c>
      <c r="O27" s="1097">
        <f t="shared" si="4"/>
        <v>36.326086956521742</v>
      </c>
      <c r="P27" s="1097">
        <f t="shared" si="4"/>
        <v>85.47260869565217</v>
      </c>
    </row>
    <row r="28" spans="1:26" x14ac:dyDescent="0.2">
      <c r="B28" s="1093"/>
      <c r="C28" s="125"/>
      <c r="D28" s="125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</row>
    <row r="29" spans="1:26" x14ac:dyDescent="0.2">
      <c r="B29" s="1093"/>
      <c r="C29" s="125"/>
      <c r="D29" s="125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</row>
    <row r="30" spans="1:26" x14ac:dyDescent="0.2">
      <c r="B30" s="1093"/>
      <c r="C30" s="125"/>
      <c r="D30" s="125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</row>
    <row r="31" spans="1:26" x14ac:dyDescent="0.2">
      <c r="G31" s="127">
        <f>SUM(C8,H8,M6)</f>
        <v>693.33333333333337</v>
      </c>
      <c r="H31" s="126">
        <v>888</v>
      </c>
      <c r="J31" s="126">
        <f>I31*5.2</f>
        <v>0</v>
      </c>
      <c r="K31" s="191"/>
      <c r="L31" s="191"/>
    </row>
    <row r="32" spans="1:26" x14ac:dyDescent="0.2">
      <c r="I32" s="191">
        <f>SUM(I27:I31)</f>
        <v>62.080869565217391</v>
      </c>
      <c r="J32" s="126">
        <f>SUM(J27:J31)</f>
        <v>353.16086956521741</v>
      </c>
    </row>
    <row r="33" spans="2:15" x14ac:dyDescent="0.2">
      <c r="H33" s="127"/>
    </row>
    <row r="34" spans="2:15" ht="15" x14ac:dyDescent="0.25">
      <c r="B34" s="127"/>
      <c r="G34" s="405">
        <v>347.57000000000005</v>
      </c>
      <c r="H34">
        <v>4127</v>
      </c>
      <c r="I34" s="191"/>
      <c r="O34" s="127">
        <f>SUM(B15:P15)/2300</f>
        <v>2108.8641788412478</v>
      </c>
    </row>
    <row r="35" spans="2:15" ht="15" x14ac:dyDescent="0.25">
      <c r="G35" s="404">
        <v>667.19</v>
      </c>
      <c r="H35" s="144">
        <v>1642</v>
      </c>
      <c r="O35" s="127">
        <f>O34/5.4</f>
        <v>390.53040348911992</v>
      </c>
    </row>
    <row r="36" spans="2:15" ht="15.75" thickBot="1" x14ac:dyDescent="0.3">
      <c r="G36" s="118"/>
      <c r="H36" s="133"/>
    </row>
  </sheetData>
  <mergeCells count="9">
    <mergeCell ref="B27:D27"/>
    <mergeCell ref="A1:E1"/>
    <mergeCell ref="B21:D21"/>
    <mergeCell ref="B22:D22"/>
    <mergeCell ref="B19:D19"/>
    <mergeCell ref="B18:D18"/>
    <mergeCell ref="B20:D20"/>
    <mergeCell ref="B17:D17"/>
    <mergeCell ref="B25:D25"/>
  </mergeCells>
  <pageMargins left="0.511811024" right="0.511811024" top="0.78740157499999996" bottom="0.78740157499999996" header="0.31496062000000002" footer="0.31496062000000002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6921-7B09-4D07-9C33-B714E19ACFC6}">
  <sheetPr>
    <tabColor rgb="FFFFFF00"/>
  </sheetPr>
  <dimension ref="A1:L27"/>
  <sheetViews>
    <sheetView topLeftCell="A2" zoomScaleNormal="100" workbookViewId="0">
      <selection activeCell="E13" sqref="E13"/>
    </sheetView>
  </sheetViews>
  <sheetFormatPr defaultRowHeight="15" x14ac:dyDescent="0.25"/>
  <cols>
    <col min="1" max="1" width="17.7109375" bestFit="1" customWidth="1"/>
    <col min="4" max="5" width="15.5703125" bestFit="1" customWidth="1"/>
    <col min="7" max="7" width="24.5703125" bestFit="1" customWidth="1"/>
    <col min="9" max="9" width="10" bestFit="1" customWidth="1"/>
    <col min="11" max="12" width="12.42578125" bestFit="1" customWidth="1"/>
  </cols>
  <sheetData>
    <row r="1" spans="1:12" x14ac:dyDescent="0.25">
      <c r="A1" s="617" t="s">
        <v>650</v>
      </c>
      <c r="B1" s="607" t="s">
        <v>651</v>
      </c>
      <c r="C1" s="606" t="s">
        <v>652</v>
      </c>
      <c r="D1" s="606" t="s">
        <v>653</v>
      </c>
      <c r="E1" s="658"/>
      <c r="G1" s="586" t="s">
        <v>463</v>
      </c>
      <c r="H1" s="126"/>
      <c r="I1" s="584"/>
      <c r="J1" s="126"/>
      <c r="K1" s="585"/>
      <c r="L1" s="126"/>
    </row>
    <row r="2" spans="1:12" x14ac:dyDescent="0.25">
      <c r="A2" s="797" t="s">
        <v>654</v>
      </c>
      <c r="B2" s="798">
        <v>13</v>
      </c>
      <c r="C2" s="799">
        <v>900</v>
      </c>
      <c r="D2" s="800">
        <f>C2*B2</f>
        <v>11700</v>
      </c>
      <c r="E2" s="1"/>
      <c r="F2" s="659"/>
      <c r="G2" s="427"/>
      <c r="H2" s="427"/>
      <c r="I2" s="587"/>
      <c r="J2" s="427"/>
      <c r="K2" s="587"/>
      <c r="L2" s="126"/>
    </row>
    <row r="3" spans="1:12" x14ac:dyDescent="0.25">
      <c r="A3" s="797" t="s">
        <v>655</v>
      </c>
      <c r="B3" s="798">
        <v>14</v>
      </c>
      <c r="C3" s="799">
        <v>1380</v>
      </c>
      <c r="D3" s="800">
        <f>C3*B3</f>
        <v>19320</v>
      </c>
      <c r="E3" s="1"/>
      <c r="F3" s="659"/>
      <c r="G3" s="441" t="s">
        <v>295</v>
      </c>
      <c r="H3" s="427" t="s">
        <v>465</v>
      </c>
      <c r="I3" s="428">
        <v>6.4</v>
      </c>
      <c r="J3" s="427">
        <v>1300</v>
      </c>
      <c r="K3" s="587">
        <f t="shared" ref="K3:K23" si="0">SUM(J3*I3)</f>
        <v>8320</v>
      </c>
      <c r="L3" s="126"/>
    </row>
    <row r="4" spans="1:12" x14ac:dyDescent="0.25">
      <c r="A4" s="797" t="s">
        <v>1004</v>
      </c>
      <c r="B4" s="798">
        <v>7</v>
      </c>
      <c r="C4" s="799">
        <v>200</v>
      </c>
      <c r="D4" s="800">
        <f>C4*B4</f>
        <v>1400</v>
      </c>
      <c r="E4" s="1"/>
      <c r="F4" s="659"/>
      <c r="G4" s="441"/>
      <c r="H4" s="427"/>
      <c r="I4" s="428"/>
      <c r="J4" s="427"/>
      <c r="K4" s="587"/>
      <c r="L4" s="126"/>
    </row>
    <row r="5" spans="1:12" x14ac:dyDescent="0.25">
      <c r="A5" s="797" t="s">
        <v>949</v>
      </c>
      <c r="B5" s="798">
        <v>8</v>
      </c>
      <c r="C5" s="799">
        <v>500</v>
      </c>
      <c r="D5" s="800">
        <f>C5*B5</f>
        <v>4000</v>
      </c>
      <c r="E5" s="1"/>
      <c r="F5" s="659"/>
      <c r="G5" s="427" t="s">
        <v>464</v>
      </c>
      <c r="H5" s="427" t="s">
        <v>465</v>
      </c>
      <c r="I5" s="587">
        <v>26</v>
      </c>
      <c r="J5" s="427">
        <v>12</v>
      </c>
      <c r="K5" s="587">
        <f>SUM(J5*I5)</f>
        <v>312</v>
      </c>
      <c r="L5" s="126"/>
    </row>
    <row r="6" spans="1:12" x14ac:dyDescent="0.25">
      <c r="A6" s="618" t="s">
        <v>656</v>
      </c>
      <c r="B6" s="609">
        <v>4.57</v>
      </c>
      <c r="C6" s="608">
        <v>900</v>
      </c>
      <c r="D6" s="796">
        <f>B6*C6</f>
        <v>4113</v>
      </c>
      <c r="E6" s="1"/>
      <c r="F6" s="659"/>
      <c r="G6" s="441"/>
      <c r="H6" s="427"/>
      <c r="I6" s="428"/>
      <c r="J6" s="427"/>
      <c r="K6" s="587"/>
      <c r="L6" s="126"/>
    </row>
    <row r="7" spans="1:12" x14ac:dyDescent="0.25">
      <c r="A7" s="618" t="s">
        <v>657</v>
      </c>
      <c r="B7" s="609">
        <v>5</v>
      </c>
      <c r="C7" s="608">
        <v>1380</v>
      </c>
      <c r="D7" s="796">
        <f>C7*B7</f>
        <v>6900</v>
      </c>
      <c r="E7" s="1"/>
      <c r="F7" s="659"/>
      <c r="G7" s="441" t="s">
        <v>466</v>
      </c>
      <c r="H7" s="427" t="s">
        <v>467</v>
      </c>
      <c r="I7" s="428">
        <v>30</v>
      </c>
      <c r="J7" s="427">
        <v>60</v>
      </c>
      <c r="K7" s="587">
        <f>SUM(J7*I7)</f>
        <v>1800</v>
      </c>
      <c r="L7" s="126"/>
    </row>
    <row r="8" spans="1:12" x14ac:dyDescent="0.25">
      <c r="A8" s="618" t="s">
        <v>658</v>
      </c>
      <c r="B8" s="609">
        <v>1.63</v>
      </c>
      <c r="C8" s="608">
        <v>1380</v>
      </c>
      <c r="D8" s="796">
        <f t="shared" ref="D8:D15" si="1">C8*B8</f>
        <v>2249.3999999999996</v>
      </c>
      <c r="E8" s="1"/>
      <c r="F8" s="659"/>
      <c r="G8" s="441" t="s">
        <v>468</v>
      </c>
      <c r="H8" s="427" t="s">
        <v>465</v>
      </c>
      <c r="I8" s="428">
        <v>37</v>
      </c>
      <c r="J8" s="588">
        <v>60</v>
      </c>
      <c r="K8" s="587">
        <f t="shared" si="0"/>
        <v>2220</v>
      </c>
      <c r="L8" s="126"/>
    </row>
    <row r="9" spans="1:12" x14ac:dyDescent="0.25">
      <c r="A9" s="618" t="s">
        <v>659</v>
      </c>
      <c r="B9" s="609">
        <v>20</v>
      </c>
      <c r="C9" s="608">
        <v>900</v>
      </c>
      <c r="D9" s="796">
        <f t="shared" si="1"/>
        <v>18000</v>
      </c>
      <c r="E9" s="1"/>
      <c r="F9" s="659"/>
      <c r="G9" s="441" t="s">
        <v>469</v>
      </c>
      <c r="H9" s="427" t="s">
        <v>465</v>
      </c>
      <c r="I9" s="428">
        <v>130</v>
      </c>
      <c r="J9" s="588">
        <v>24</v>
      </c>
      <c r="K9" s="587">
        <f t="shared" si="0"/>
        <v>3120</v>
      </c>
      <c r="L9" s="126"/>
    </row>
    <row r="10" spans="1:12" x14ac:dyDescent="0.25">
      <c r="A10" s="618" t="s">
        <v>660</v>
      </c>
      <c r="B10" s="609">
        <v>0.84</v>
      </c>
      <c r="C10" s="608">
        <v>500</v>
      </c>
      <c r="D10" s="796">
        <f t="shared" si="1"/>
        <v>420</v>
      </c>
      <c r="E10" s="1"/>
      <c r="F10" s="659"/>
      <c r="G10" s="441" t="s">
        <v>470</v>
      </c>
      <c r="H10" s="427" t="s">
        <v>465</v>
      </c>
      <c r="I10" s="428">
        <v>70</v>
      </c>
      <c r="J10" s="588">
        <v>10</v>
      </c>
      <c r="K10" s="587">
        <f t="shared" si="0"/>
        <v>700</v>
      </c>
      <c r="L10" s="126"/>
    </row>
    <row r="11" spans="1:12" x14ac:dyDescent="0.25">
      <c r="A11" s="618" t="s">
        <v>661</v>
      </c>
      <c r="B11" s="609">
        <v>0.75</v>
      </c>
      <c r="C11" s="608">
        <v>2350</v>
      </c>
      <c r="D11" s="796">
        <f t="shared" si="1"/>
        <v>1762.5</v>
      </c>
      <c r="E11" s="1"/>
      <c r="F11" s="659"/>
      <c r="G11" s="441" t="s">
        <v>471</v>
      </c>
      <c r="H11" s="427" t="s">
        <v>465</v>
      </c>
      <c r="I11" s="428">
        <v>40</v>
      </c>
      <c r="J11" s="588">
        <v>4</v>
      </c>
      <c r="K11" s="587">
        <f t="shared" si="0"/>
        <v>160</v>
      </c>
      <c r="L11" s="126"/>
    </row>
    <row r="12" spans="1:12" x14ac:dyDescent="0.25">
      <c r="A12" s="618" t="s">
        <v>662</v>
      </c>
      <c r="B12" s="609">
        <v>0.75</v>
      </c>
      <c r="C12" s="608">
        <v>1600</v>
      </c>
      <c r="D12" s="796">
        <f t="shared" si="1"/>
        <v>1200</v>
      </c>
      <c r="E12" s="1"/>
      <c r="F12" s="659"/>
      <c r="G12" s="441" t="s">
        <v>472</v>
      </c>
      <c r="H12" s="427" t="s">
        <v>465</v>
      </c>
      <c r="I12" s="428">
        <v>35</v>
      </c>
      <c r="J12" s="588">
        <v>80</v>
      </c>
      <c r="K12" s="587">
        <f t="shared" si="0"/>
        <v>2800</v>
      </c>
      <c r="L12" s="126"/>
    </row>
    <row r="13" spans="1:12" x14ac:dyDescent="0.25">
      <c r="A13" s="618" t="s">
        <v>663</v>
      </c>
      <c r="B13" s="609">
        <v>4</v>
      </c>
      <c r="C13" s="608">
        <v>915</v>
      </c>
      <c r="D13" s="796">
        <f t="shared" si="1"/>
        <v>3660</v>
      </c>
      <c r="E13" s="1"/>
      <c r="F13" s="659"/>
      <c r="G13" s="441" t="s">
        <v>473</v>
      </c>
      <c r="H13" s="427" t="s">
        <v>465</v>
      </c>
      <c r="I13" s="428">
        <v>25</v>
      </c>
      <c r="J13" s="588">
        <v>400</v>
      </c>
      <c r="K13" s="587">
        <f t="shared" si="0"/>
        <v>10000</v>
      </c>
      <c r="L13" s="126"/>
    </row>
    <row r="14" spans="1:12" x14ac:dyDescent="0.25">
      <c r="A14" s="618" t="s">
        <v>664</v>
      </c>
      <c r="B14" s="609">
        <v>1.3</v>
      </c>
      <c r="C14" s="608">
        <v>2300</v>
      </c>
      <c r="D14" s="796">
        <f t="shared" si="1"/>
        <v>2990</v>
      </c>
      <c r="E14" s="1"/>
      <c r="F14" s="659"/>
      <c r="G14" s="441" t="s">
        <v>474</v>
      </c>
      <c r="H14" s="589" t="s">
        <v>465</v>
      </c>
      <c r="I14" s="590">
        <v>30</v>
      </c>
      <c r="J14" s="427">
        <v>350</v>
      </c>
      <c r="K14" s="587">
        <f>SUM(J14*I14)</f>
        <v>10500</v>
      </c>
      <c r="L14" s="126"/>
    </row>
    <row r="15" spans="1:12" x14ac:dyDescent="0.25">
      <c r="A15" s="618" t="s">
        <v>665</v>
      </c>
      <c r="B15" s="609">
        <v>0.7</v>
      </c>
      <c r="C15" s="608">
        <v>15000</v>
      </c>
      <c r="D15" s="796">
        <f t="shared" si="1"/>
        <v>10500</v>
      </c>
      <c r="E15" s="1"/>
      <c r="F15" s="659"/>
      <c r="G15" s="441" t="s">
        <v>475</v>
      </c>
      <c r="H15" s="427" t="s">
        <v>465</v>
      </c>
      <c r="I15" s="428">
        <v>20</v>
      </c>
      <c r="J15" s="588">
        <v>60</v>
      </c>
      <c r="K15" s="587">
        <f>SUM(J15*I15)</f>
        <v>1200</v>
      </c>
      <c r="L15" s="126"/>
    </row>
    <row r="16" spans="1:12" x14ac:dyDescent="0.25">
      <c r="A16" s="618" t="s">
        <v>1005</v>
      </c>
      <c r="B16" s="609"/>
      <c r="C16" s="986">
        <v>677.96610169491521</v>
      </c>
      <c r="D16" s="796">
        <v>4000</v>
      </c>
      <c r="E16" s="1"/>
      <c r="F16" s="659"/>
      <c r="G16" s="441"/>
      <c r="H16" s="427"/>
      <c r="I16" s="428"/>
      <c r="J16" s="588"/>
      <c r="K16" s="587"/>
      <c r="L16" s="126"/>
    </row>
    <row r="17" spans="1:12" x14ac:dyDescent="0.25">
      <c r="A17" s="618" t="s">
        <v>952</v>
      </c>
      <c r="B17" s="609"/>
      <c r="C17" s="986">
        <v>508.47457627118644</v>
      </c>
      <c r="D17" s="796">
        <v>3000</v>
      </c>
      <c r="E17" s="1"/>
      <c r="F17" s="659"/>
      <c r="G17" s="441"/>
      <c r="H17" s="427"/>
      <c r="I17" s="428"/>
      <c r="J17" s="588"/>
      <c r="K17" s="587"/>
      <c r="L17" s="126"/>
    </row>
    <row r="18" spans="1:12" ht="14.25" customHeight="1" x14ac:dyDescent="0.25">
      <c r="A18" s="618" t="s">
        <v>950</v>
      </c>
      <c r="B18" s="609"/>
      <c r="C18" s="986">
        <v>406.77966101694915</v>
      </c>
      <c r="D18" s="440">
        <v>2400</v>
      </c>
      <c r="E18" s="1"/>
      <c r="F18" s="659"/>
      <c r="G18" s="441"/>
      <c r="H18" s="427"/>
      <c r="I18" s="428"/>
      <c r="J18" s="588"/>
      <c r="K18" s="587"/>
      <c r="L18" s="126"/>
    </row>
    <row r="19" spans="1:12" x14ac:dyDescent="0.25">
      <c r="A19" s="618" t="s">
        <v>951</v>
      </c>
      <c r="B19" s="609"/>
      <c r="C19" s="986">
        <v>508.47457627118644</v>
      </c>
      <c r="D19" s="440">
        <v>3000</v>
      </c>
      <c r="E19" s="1"/>
      <c r="F19" s="659"/>
      <c r="G19" s="441"/>
      <c r="H19" s="427"/>
      <c r="I19" s="428"/>
      <c r="J19" s="588"/>
      <c r="K19" s="587"/>
      <c r="L19" s="126"/>
    </row>
    <row r="20" spans="1:12" x14ac:dyDescent="0.25">
      <c r="A20" s="618" t="s">
        <v>953</v>
      </c>
      <c r="B20" s="609"/>
      <c r="C20" s="986">
        <v>932.2033898305084</v>
      </c>
      <c r="D20" s="440">
        <v>5500</v>
      </c>
      <c r="E20" s="1"/>
      <c r="F20" s="659"/>
      <c r="G20" s="427" t="s">
        <v>476</v>
      </c>
      <c r="H20" s="427" t="s">
        <v>465</v>
      </c>
      <c r="I20" s="587">
        <v>24</v>
      </c>
      <c r="J20" s="588">
        <v>12</v>
      </c>
      <c r="K20" s="587">
        <f t="shared" si="0"/>
        <v>288</v>
      </c>
      <c r="L20" s="126"/>
    </row>
    <row r="21" spans="1:12" x14ac:dyDescent="0.25">
      <c r="A21" s="618" t="s">
        <v>666</v>
      </c>
      <c r="B21" s="609"/>
      <c r="C21" s="986">
        <v>677.96610169491521</v>
      </c>
      <c r="D21" s="440">
        <v>4000</v>
      </c>
      <c r="E21" s="1"/>
      <c r="F21" s="659"/>
      <c r="G21" s="427" t="s">
        <v>477</v>
      </c>
      <c r="H21" s="427" t="s">
        <v>478</v>
      </c>
      <c r="I21" s="587">
        <v>12.2</v>
      </c>
      <c r="J21" s="588">
        <v>4</v>
      </c>
      <c r="K21" s="587">
        <f t="shared" si="0"/>
        <v>48.8</v>
      </c>
      <c r="L21" s="126"/>
    </row>
    <row r="22" spans="1:12" x14ac:dyDescent="0.25">
      <c r="A22" s="618" t="s">
        <v>667</v>
      </c>
      <c r="B22" s="609"/>
      <c r="C22" s="986">
        <v>169.4915254237288</v>
      </c>
      <c r="D22" s="440">
        <v>1000</v>
      </c>
      <c r="E22" s="1"/>
      <c r="F22" s="659"/>
      <c r="G22" s="441" t="s">
        <v>479</v>
      </c>
      <c r="H22" s="427" t="s">
        <v>465</v>
      </c>
      <c r="I22" s="587">
        <v>32</v>
      </c>
      <c r="J22" s="588">
        <v>4</v>
      </c>
      <c r="K22" s="587">
        <f t="shared" si="0"/>
        <v>128</v>
      </c>
      <c r="L22" s="126"/>
    </row>
    <row r="23" spans="1:12" x14ac:dyDescent="0.25">
      <c r="A23" s="618" t="s">
        <v>668</v>
      </c>
      <c r="B23" s="609"/>
      <c r="C23" s="986">
        <v>508.47457627118644</v>
      </c>
      <c r="D23" s="440">
        <v>3000</v>
      </c>
      <c r="E23" s="1"/>
      <c r="F23" s="659"/>
      <c r="G23" s="441" t="s">
        <v>480</v>
      </c>
      <c r="H23" s="427" t="s">
        <v>465</v>
      </c>
      <c r="I23" s="587">
        <v>32</v>
      </c>
      <c r="J23" s="588">
        <v>8</v>
      </c>
      <c r="K23" s="587">
        <f t="shared" si="0"/>
        <v>256</v>
      </c>
      <c r="L23" s="656">
        <f>SUM(K4:K23)</f>
        <v>33532.800000000003</v>
      </c>
    </row>
    <row r="24" spans="1:12" x14ac:dyDescent="0.25">
      <c r="A24" s="618" t="s">
        <v>669</v>
      </c>
      <c r="B24" s="609"/>
      <c r="C24" s="986">
        <v>16.949152542372879</v>
      </c>
      <c r="D24" s="440">
        <v>100</v>
      </c>
      <c r="E24" s="1"/>
      <c r="F24" s="659"/>
    </row>
    <row r="25" spans="1:12" x14ac:dyDescent="0.25">
      <c r="A25" s="618" t="s">
        <v>1006</v>
      </c>
      <c r="B25" s="609"/>
      <c r="C25" s="986">
        <v>254.23728813559322</v>
      </c>
      <c r="D25" s="440">
        <v>1500</v>
      </c>
      <c r="E25" s="1"/>
      <c r="F25" s="659"/>
    </row>
    <row r="26" spans="1:12" x14ac:dyDescent="0.25">
      <c r="A26" s="610"/>
      <c r="B26" s="126"/>
      <c r="C26" s="126"/>
      <c r="D26" s="427">
        <f>SUM(D2:D25)</f>
        <v>115714.9</v>
      </c>
      <c r="E26" s="660"/>
      <c r="F26" s="661"/>
    </row>
    <row r="27" spans="1:12" x14ac:dyDescent="0.25">
      <c r="D27" s="4">
        <f>D26*5.9</f>
        <v>682717.91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033B-118A-4CF5-AA38-B06340C22B5F}">
  <sheetPr>
    <tabColor rgb="FFFFFF00"/>
  </sheetPr>
  <dimension ref="A1:P108"/>
  <sheetViews>
    <sheetView topLeftCell="A12" zoomScale="90" zoomScaleNormal="90" workbookViewId="0">
      <selection activeCell="G30" sqref="G30"/>
    </sheetView>
  </sheetViews>
  <sheetFormatPr defaultRowHeight="15" x14ac:dyDescent="0.25"/>
  <cols>
    <col min="1" max="1" width="19.7109375" customWidth="1"/>
    <col min="3" max="3" width="13.5703125" bestFit="1" customWidth="1"/>
    <col min="4" max="5" width="13" bestFit="1" customWidth="1"/>
    <col min="6" max="6" width="12.7109375" bestFit="1" customWidth="1"/>
    <col min="7" max="10" width="13" bestFit="1" customWidth="1"/>
    <col min="11" max="13" width="12.7109375" bestFit="1" customWidth="1"/>
    <col min="14" max="14" width="13.140625" bestFit="1" customWidth="1"/>
    <col min="15" max="15" width="16.28515625" style="5" bestFit="1" customWidth="1"/>
  </cols>
  <sheetData>
    <row r="1" spans="1:16" x14ac:dyDescent="0.25">
      <c r="A1" s="611" t="s">
        <v>616</v>
      </c>
      <c r="B1" s="591" t="s">
        <v>617</v>
      </c>
      <c r="C1" s="592" t="s">
        <v>22</v>
      </c>
      <c r="D1" s="592" t="s">
        <v>23</v>
      </c>
      <c r="E1" s="592" t="s">
        <v>24</v>
      </c>
      <c r="F1" s="592" t="s">
        <v>25</v>
      </c>
      <c r="G1" s="592" t="s">
        <v>36</v>
      </c>
      <c r="H1" s="592" t="s">
        <v>37</v>
      </c>
      <c r="I1" s="592" t="s">
        <v>38</v>
      </c>
      <c r="J1" s="592" t="s">
        <v>39</v>
      </c>
      <c r="K1" s="592" t="s">
        <v>30</v>
      </c>
      <c r="L1" s="592" t="s">
        <v>31</v>
      </c>
      <c r="M1" s="592" t="s">
        <v>32</v>
      </c>
      <c r="N1" s="593" t="s">
        <v>33</v>
      </c>
      <c r="O1" s="612" t="s">
        <v>618</v>
      </c>
      <c r="P1" s="458"/>
    </row>
    <row r="2" spans="1:16" x14ac:dyDescent="0.25">
      <c r="A2" s="844" t="s">
        <v>619</v>
      </c>
      <c r="B2" s="845">
        <v>95</v>
      </c>
      <c r="C2" s="846">
        <v>2500</v>
      </c>
      <c r="D2" s="602"/>
      <c r="E2" s="847"/>
      <c r="F2" s="602"/>
      <c r="G2" s="602"/>
      <c r="H2" s="602">
        <v>2500</v>
      </c>
      <c r="I2" s="602"/>
      <c r="J2" s="602"/>
      <c r="K2" s="602">
        <v>1300</v>
      </c>
      <c r="L2" s="602">
        <v>500</v>
      </c>
      <c r="M2" s="602"/>
      <c r="N2" s="848"/>
      <c r="O2" s="616">
        <f>SUM(C2:N2)</f>
        <v>6800</v>
      </c>
      <c r="P2" s="849"/>
    </row>
    <row r="3" spans="1:16" x14ac:dyDescent="0.25">
      <c r="A3" s="844" t="s">
        <v>609</v>
      </c>
      <c r="B3" s="845">
        <v>87</v>
      </c>
      <c r="C3" s="846">
        <v>40000</v>
      </c>
      <c r="D3" s="846">
        <v>5000</v>
      </c>
      <c r="E3" s="602">
        <v>5300</v>
      </c>
      <c r="F3" s="602">
        <v>6200</v>
      </c>
      <c r="G3" s="602">
        <v>5200</v>
      </c>
      <c r="H3" s="602">
        <v>4000</v>
      </c>
      <c r="I3" s="602">
        <v>2500</v>
      </c>
      <c r="J3" s="846">
        <v>4200</v>
      </c>
      <c r="K3" s="846">
        <v>10000</v>
      </c>
      <c r="L3" s="602">
        <v>6500</v>
      </c>
      <c r="M3" s="602">
        <v>3500</v>
      </c>
      <c r="N3" s="848">
        <v>15000</v>
      </c>
      <c r="O3" s="616">
        <f t="shared" ref="O3:O27" si="0">SUM(C3:N3)</f>
        <v>107400</v>
      </c>
      <c r="P3" s="849"/>
    </row>
    <row r="4" spans="1:16" x14ac:dyDescent="0.25">
      <c r="A4" s="844" t="s">
        <v>620</v>
      </c>
      <c r="B4" s="845"/>
      <c r="C4" s="846">
        <v>3000</v>
      </c>
      <c r="D4" s="846">
        <v>2500</v>
      </c>
      <c r="E4" s="602">
        <v>600</v>
      </c>
      <c r="F4" s="602">
        <v>300</v>
      </c>
      <c r="G4" s="602">
        <v>2400</v>
      </c>
      <c r="H4" s="602">
        <v>500</v>
      </c>
      <c r="I4" s="602">
        <v>300</v>
      </c>
      <c r="J4" s="602"/>
      <c r="K4" s="602">
        <v>6000</v>
      </c>
      <c r="L4" s="602"/>
      <c r="M4" s="602"/>
      <c r="N4" s="848">
        <v>12000</v>
      </c>
      <c r="O4" s="616">
        <f t="shared" si="0"/>
        <v>27600</v>
      </c>
      <c r="P4" s="849"/>
    </row>
    <row r="5" spans="1:16" x14ac:dyDescent="0.25">
      <c r="A5" s="844" t="s">
        <v>621</v>
      </c>
      <c r="B5" s="845"/>
      <c r="C5" s="846">
        <v>1200</v>
      </c>
      <c r="D5" s="846">
        <v>1200</v>
      </c>
      <c r="E5" s="602"/>
      <c r="F5" s="602"/>
      <c r="G5" s="602"/>
      <c r="H5" s="602"/>
      <c r="I5" s="602"/>
      <c r="J5" s="602"/>
      <c r="K5" s="602"/>
      <c r="L5" s="602"/>
      <c r="M5" s="602">
        <v>2500</v>
      </c>
      <c r="N5" s="848"/>
      <c r="O5" s="616">
        <f t="shared" si="0"/>
        <v>4900</v>
      </c>
      <c r="P5" s="849"/>
    </row>
    <row r="6" spans="1:16" x14ac:dyDescent="0.25">
      <c r="A6" s="844" t="s">
        <v>622</v>
      </c>
      <c r="B6" s="845">
        <v>10</v>
      </c>
      <c r="C6" s="847"/>
      <c r="D6" s="846">
        <v>1700</v>
      </c>
      <c r="E6" s="602"/>
      <c r="F6" s="602"/>
      <c r="G6" s="602"/>
      <c r="H6" s="602"/>
      <c r="I6" s="850"/>
      <c r="J6" s="602">
        <v>12000</v>
      </c>
      <c r="K6" s="602">
        <v>600</v>
      </c>
      <c r="L6" s="602">
        <v>600</v>
      </c>
      <c r="M6" s="602"/>
      <c r="N6" s="848">
        <v>2000</v>
      </c>
      <c r="O6" s="616">
        <f t="shared" si="0"/>
        <v>16900</v>
      </c>
      <c r="P6" s="849"/>
    </row>
    <row r="7" spans="1:16" x14ac:dyDescent="0.25">
      <c r="A7" s="613" t="s">
        <v>7</v>
      </c>
      <c r="B7" s="594">
        <v>55</v>
      </c>
      <c r="C7" s="599">
        <v>5100</v>
      </c>
      <c r="D7" s="600">
        <v>3000</v>
      </c>
      <c r="E7" s="600">
        <v>6300</v>
      </c>
      <c r="F7" s="600">
        <v>2500</v>
      </c>
      <c r="G7" s="600">
        <v>3100</v>
      </c>
      <c r="H7" s="600"/>
      <c r="I7" s="600"/>
      <c r="J7" s="599"/>
      <c r="K7" s="600"/>
      <c r="L7" s="600"/>
      <c r="M7" s="600">
        <v>8000</v>
      </c>
      <c r="N7" s="599"/>
      <c r="O7" s="616">
        <f t="shared" si="0"/>
        <v>28000</v>
      </c>
      <c r="P7" s="458"/>
    </row>
    <row r="8" spans="1:16" ht="15" customHeight="1" x14ac:dyDescent="0.25">
      <c r="A8" s="615" t="s">
        <v>623</v>
      </c>
      <c r="B8" s="601">
        <v>32</v>
      </c>
      <c r="C8" s="597">
        <v>12000</v>
      </c>
      <c r="D8" s="595">
        <v>6000</v>
      </c>
      <c r="E8" s="596">
        <v>2400</v>
      </c>
      <c r="F8" s="596">
        <v>1200</v>
      </c>
      <c r="G8" s="596">
        <v>30000</v>
      </c>
      <c r="H8" s="596">
        <v>15000</v>
      </c>
      <c r="I8" s="596">
        <v>1875</v>
      </c>
      <c r="J8" s="596">
        <v>3000</v>
      </c>
      <c r="K8" s="596">
        <v>12000</v>
      </c>
      <c r="L8" s="596"/>
      <c r="M8" s="596"/>
      <c r="N8" s="598"/>
      <c r="O8" s="616">
        <f t="shared" si="0"/>
        <v>83475</v>
      </c>
      <c r="P8" s="458"/>
    </row>
    <row r="9" spans="1:16" x14ac:dyDescent="0.25">
      <c r="A9" s="615" t="s">
        <v>8</v>
      </c>
      <c r="B9" s="601">
        <v>41</v>
      </c>
      <c r="C9" s="614">
        <v>8000</v>
      </c>
      <c r="D9" s="595">
        <v>6000</v>
      </c>
      <c r="E9" s="596">
        <v>3100</v>
      </c>
      <c r="F9" s="595">
        <v>10000</v>
      </c>
      <c r="G9" s="596"/>
      <c r="H9" s="596">
        <v>19000</v>
      </c>
      <c r="I9" s="596"/>
      <c r="J9" s="596"/>
      <c r="K9" s="596">
        <v>30000</v>
      </c>
      <c r="L9" s="596"/>
      <c r="M9" s="596"/>
      <c r="N9" s="598"/>
      <c r="O9" s="616">
        <f t="shared" si="0"/>
        <v>76100</v>
      </c>
      <c r="P9" s="458"/>
    </row>
    <row r="10" spans="1:16" x14ac:dyDescent="0.25">
      <c r="A10" s="615">
        <v>5403</v>
      </c>
      <c r="B10" s="601">
        <v>35</v>
      </c>
      <c r="C10" s="595">
        <v>2500</v>
      </c>
      <c r="D10" s="595">
        <v>3200</v>
      </c>
      <c r="E10" s="596">
        <v>450</v>
      </c>
      <c r="F10" s="596"/>
      <c r="G10" s="596"/>
      <c r="H10" s="596">
        <v>600</v>
      </c>
      <c r="I10" s="596">
        <v>600</v>
      </c>
      <c r="J10" s="596">
        <v>450</v>
      </c>
      <c r="K10" s="596"/>
      <c r="L10" s="596"/>
      <c r="M10" s="596"/>
      <c r="N10" s="598">
        <v>3500</v>
      </c>
      <c r="O10" s="616">
        <f t="shared" si="0"/>
        <v>11300</v>
      </c>
      <c r="P10" s="458"/>
    </row>
    <row r="11" spans="1:16" x14ac:dyDescent="0.25">
      <c r="A11" s="615" t="s">
        <v>954</v>
      </c>
      <c r="B11" s="601">
        <v>24</v>
      </c>
      <c r="C11" s="595">
        <v>800</v>
      </c>
      <c r="D11" s="595">
        <v>200</v>
      </c>
      <c r="E11" s="597">
        <v>200</v>
      </c>
      <c r="F11" s="596"/>
      <c r="G11" s="596"/>
      <c r="H11" s="596"/>
      <c r="I11" s="596">
        <v>200</v>
      </c>
      <c r="J11" s="596"/>
      <c r="K11" s="596"/>
      <c r="L11" s="596"/>
      <c r="M11" s="596">
        <v>600</v>
      </c>
      <c r="N11" s="598"/>
      <c r="O11" s="616">
        <f t="shared" si="0"/>
        <v>2000</v>
      </c>
      <c r="P11" s="458"/>
    </row>
    <row r="12" spans="1:16" x14ac:dyDescent="0.25">
      <c r="A12" s="615" t="s">
        <v>624</v>
      </c>
      <c r="B12" s="601">
        <v>97</v>
      </c>
      <c r="C12" s="595">
        <v>800</v>
      </c>
      <c r="D12" s="595">
        <v>350</v>
      </c>
      <c r="E12" s="170"/>
      <c r="F12" s="595"/>
      <c r="G12" s="595"/>
      <c r="H12" s="596"/>
      <c r="I12" s="596">
        <v>350</v>
      </c>
      <c r="J12" s="596"/>
      <c r="K12" s="596"/>
      <c r="L12" s="596"/>
      <c r="M12" s="614"/>
      <c r="N12" s="596">
        <v>800</v>
      </c>
      <c r="O12" s="616">
        <f t="shared" si="0"/>
        <v>2300</v>
      </c>
      <c r="P12" s="458"/>
    </row>
    <row r="13" spans="1:16" x14ac:dyDescent="0.25">
      <c r="A13" s="613" t="s">
        <v>1010</v>
      </c>
      <c r="B13" s="594">
        <v>107</v>
      </c>
      <c r="C13" s="596"/>
      <c r="D13" s="596"/>
      <c r="E13" s="596"/>
      <c r="F13" s="596"/>
      <c r="G13" s="596"/>
      <c r="H13" s="596"/>
      <c r="I13" s="596">
        <v>2000</v>
      </c>
      <c r="J13" s="596"/>
      <c r="K13" s="596"/>
      <c r="L13" s="596"/>
      <c r="M13" s="596"/>
      <c r="N13" s="598"/>
      <c r="O13" s="616">
        <f t="shared" si="0"/>
        <v>2000</v>
      </c>
    </row>
    <row r="14" spans="1:16" x14ac:dyDescent="0.25">
      <c r="A14" s="613" t="s">
        <v>625</v>
      </c>
      <c r="B14" s="594">
        <v>109</v>
      </c>
      <c r="C14" s="596">
        <v>8000</v>
      </c>
      <c r="D14" s="596"/>
      <c r="E14" s="596"/>
      <c r="F14" s="596"/>
      <c r="G14" s="596"/>
      <c r="H14" s="596">
        <v>3500</v>
      </c>
      <c r="I14" s="596"/>
      <c r="J14" s="596"/>
      <c r="K14" s="596"/>
      <c r="L14" s="596"/>
      <c r="M14" s="596"/>
      <c r="N14" s="599"/>
      <c r="O14" s="616">
        <f t="shared" si="0"/>
        <v>11500</v>
      </c>
    </row>
    <row r="15" spans="1:16" x14ac:dyDescent="0.25">
      <c r="A15" s="613" t="s">
        <v>1152</v>
      </c>
      <c r="B15" s="594"/>
      <c r="C15" s="596"/>
      <c r="D15" s="596">
        <v>2000</v>
      </c>
      <c r="E15" s="596"/>
      <c r="F15" s="596"/>
      <c r="G15" s="596"/>
      <c r="H15" s="596"/>
      <c r="I15" s="596"/>
      <c r="J15" s="596"/>
      <c r="K15" s="596"/>
      <c r="L15" s="596"/>
      <c r="M15" s="596"/>
      <c r="N15" s="599"/>
      <c r="O15" s="616">
        <f t="shared" si="0"/>
        <v>2000</v>
      </c>
    </row>
    <row r="16" spans="1:16" x14ac:dyDescent="0.25">
      <c r="A16" s="613" t="s">
        <v>9</v>
      </c>
      <c r="B16" s="594">
        <v>105</v>
      </c>
      <c r="C16" s="600"/>
      <c r="D16" s="596"/>
      <c r="E16" s="596"/>
      <c r="F16" s="596"/>
      <c r="G16" s="600"/>
      <c r="H16" s="596"/>
      <c r="I16" s="596"/>
      <c r="J16" s="596"/>
      <c r="K16" s="596"/>
      <c r="L16" s="596"/>
      <c r="M16" s="596"/>
      <c r="N16" s="599"/>
      <c r="O16" s="616">
        <f t="shared" si="0"/>
        <v>0</v>
      </c>
    </row>
    <row r="17" spans="1:15" x14ac:dyDescent="0.25">
      <c r="A17" s="613" t="s">
        <v>2</v>
      </c>
      <c r="B17" s="594">
        <v>74</v>
      </c>
      <c r="C17" s="596">
        <v>5300</v>
      </c>
      <c r="D17" s="596">
        <v>1200</v>
      </c>
      <c r="E17" s="596">
        <v>1200</v>
      </c>
      <c r="F17" s="596">
        <v>600</v>
      </c>
      <c r="G17" s="596">
        <v>910</v>
      </c>
      <c r="H17" s="596">
        <v>4600</v>
      </c>
      <c r="I17" s="596"/>
      <c r="J17" s="596"/>
      <c r="K17" s="596"/>
      <c r="L17" s="596"/>
      <c r="M17" s="596"/>
      <c r="N17" s="598"/>
      <c r="O17" s="616">
        <f t="shared" si="0"/>
        <v>13810</v>
      </c>
    </row>
    <row r="18" spans="1:15" x14ac:dyDescent="0.25">
      <c r="A18" s="613" t="s">
        <v>626</v>
      </c>
      <c r="B18" s="594"/>
      <c r="C18" s="596">
        <v>20000</v>
      </c>
      <c r="D18" s="596">
        <v>2000</v>
      </c>
      <c r="E18" s="596">
        <v>1000</v>
      </c>
      <c r="F18" s="596">
        <v>1000</v>
      </c>
      <c r="G18" s="596">
        <v>2500</v>
      </c>
      <c r="H18" s="596">
        <v>2400</v>
      </c>
      <c r="I18" s="596"/>
      <c r="J18" s="596">
        <v>10000</v>
      </c>
      <c r="K18" s="596"/>
      <c r="L18" s="596"/>
      <c r="M18" s="596"/>
      <c r="N18" s="598">
        <v>2200</v>
      </c>
      <c r="O18" s="616">
        <f t="shared" si="0"/>
        <v>41100</v>
      </c>
    </row>
    <row r="19" spans="1:15" x14ac:dyDescent="0.25">
      <c r="A19" s="613" t="s">
        <v>1071</v>
      </c>
      <c r="B19" s="594">
        <v>53</v>
      </c>
      <c r="C19" s="596">
        <v>3000</v>
      </c>
      <c r="D19" s="596">
        <v>650</v>
      </c>
      <c r="E19" s="596">
        <v>2500</v>
      </c>
      <c r="F19" s="596">
        <v>3000</v>
      </c>
      <c r="G19" s="596"/>
      <c r="H19" s="596">
        <v>750</v>
      </c>
      <c r="I19" s="596"/>
      <c r="J19" s="596">
        <v>2700</v>
      </c>
      <c r="K19" s="596">
        <v>750</v>
      </c>
      <c r="L19" s="988">
        <v>10000</v>
      </c>
      <c r="M19" s="596">
        <v>1300</v>
      </c>
      <c r="N19" s="596">
        <v>2500</v>
      </c>
      <c r="O19" s="616">
        <f t="shared" si="0"/>
        <v>27150</v>
      </c>
    </row>
    <row r="20" spans="1:15" x14ac:dyDescent="0.25">
      <c r="A20" s="613" t="s">
        <v>1110</v>
      </c>
      <c r="B20" s="594"/>
      <c r="C20" s="596"/>
      <c r="D20" s="596"/>
      <c r="E20" s="596"/>
      <c r="F20" s="596"/>
      <c r="G20" s="596">
        <f>'Compras '!E23/3</f>
        <v>3679.6666666666665</v>
      </c>
      <c r="H20" s="596"/>
      <c r="I20" s="596">
        <v>5000</v>
      </c>
      <c r="J20" s="596"/>
      <c r="K20" s="596"/>
      <c r="L20" s="126"/>
      <c r="M20" s="596"/>
      <c r="N20" s="598"/>
      <c r="O20" s="616">
        <f t="shared" si="0"/>
        <v>8679.6666666666661</v>
      </c>
    </row>
    <row r="21" spans="1:15" x14ac:dyDescent="0.25">
      <c r="A21" s="613" t="s">
        <v>627</v>
      </c>
      <c r="B21" s="594"/>
      <c r="C21" s="596">
        <v>3300</v>
      </c>
      <c r="D21" s="596">
        <v>2500</v>
      </c>
      <c r="E21" s="596">
        <v>370</v>
      </c>
      <c r="F21" s="596"/>
      <c r="G21" s="596">
        <v>660</v>
      </c>
      <c r="H21" s="596"/>
      <c r="I21" s="596">
        <v>1800</v>
      </c>
      <c r="J21" s="596"/>
      <c r="K21" s="596"/>
      <c r="L21" s="596"/>
      <c r="M21" s="596"/>
      <c r="N21" s="598"/>
      <c r="O21" s="616">
        <f t="shared" si="0"/>
        <v>8630</v>
      </c>
    </row>
    <row r="22" spans="1:15" x14ac:dyDescent="0.25">
      <c r="A22" s="613" t="s">
        <v>182</v>
      </c>
      <c r="B22" s="594"/>
      <c r="C22" s="602">
        <v>5300</v>
      </c>
      <c r="D22" s="602">
        <v>5300</v>
      </c>
      <c r="E22" s="602">
        <v>5300</v>
      </c>
      <c r="F22" s="602">
        <v>5300</v>
      </c>
      <c r="G22" s="602">
        <v>5300</v>
      </c>
      <c r="H22" s="602">
        <v>5300</v>
      </c>
      <c r="I22" s="602">
        <v>5300</v>
      </c>
      <c r="J22" s="602">
        <v>5300</v>
      </c>
      <c r="K22" s="602">
        <v>5300</v>
      </c>
      <c r="L22" s="602">
        <v>5300</v>
      </c>
      <c r="M22" s="602">
        <v>5300</v>
      </c>
      <c r="N22" s="602">
        <v>5300</v>
      </c>
      <c r="O22" s="616">
        <f t="shared" si="0"/>
        <v>63600</v>
      </c>
    </row>
    <row r="23" spans="1:15" x14ac:dyDescent="0.25">
      <c r="A23" s="613" t="s">
        <v>798</v>
      </c>
      <c r="B23" s="594"/>
      <c r="C23" s="603">
        <v>4000</v>
      </c>
      <c r="D23" s="603">
        <v>4000</v>
      </c>
      <c r="E23" s="603">
        <v>4000</v>
      </c>
      <c r="F23" s="603">
        <v>4000</v>
      </c>
      <c r="G23" s="603">
        <v>4000</v>
      </c>
      <c r="H23" s="603">
        <v>4000</v>
      </c>
      <c r="I23" s="603">
        <v>4000</v>
      </c>
      <c r="J23" s="603">
        <v>4000</v>
      </c>
      <c r="K23" s="603">
        <v>4000</v>
      </c>
      <c r="L23" s="603">
        <v>4000</v>
      </c>
      <c r="M23" s="603">
        <v>4000</v>
      </c>
      <c r="N23" s="603">
        <v>4000</v>
      </c>
      <c r="O23" s="616">
        <f t="shared" si="0"/>
        <v>48000</v>
      </c>
    </row>
    <row r="24" spans="1:15" x14ac:dyDescent="0.25">
      <c r="A24" s="613" t="s">
        <v>799</v>
      </c>
      <c r="B24" s="594"/>
      <c r="C24" s="604">
        <v>2300</v>
      </c>
      <c r="D24" s="604">
        <v>1500</v>
      </c>
      <c r="E24" s="604"/>
      <c r="F24" s="604">
        <v>1000</v>
      </c>
      <c r="G24" s="604"/>
      <c r="H24" s="604">
        <v>2400</v>
      </c>
      <c r="I24" s="604"/>
      <c r="J24" s="604">
        <v>500</v>
      </c>
      <c r="K24" s="604"/>
      <c r="L24" s="604">
        <v>800</v>
      </c>
      <c r="M24" s="604"/>
      <c r="N24" s="604">
        <v>1500</v>
      </c>
      <c r="O24" s="616">
        <f t="shared" si="0"/>
        <v>10000</v>
      </c>
    </row>
    <row r="25" spans="1:15" x14ac:dyDescent="0.25">
      <c r="A25" s="613" t="s">
        <v>693</v>
      </c>
      <c r="B25" s="594"/>
      <c r="C25" s="605">
        <v>10000</v>
      </c>
      <c r="D25" s="602"/>
      <c r="E25" s="597"/>
      <c r="F25" s="597">
        <v>6400</v>
      </c>
      <c r="G25" s="597">
        <v>6400</v>
      </c>
      <c r="H25" s="597"/>
      <c r="I25" s="597">
        <v>6000</v>
      </c>
      <c r="J25" s="597">
        <v>6000</v>
      </c>
      <c r="K25" s="597"/>
      <c r="L25" s="597"/>
      <c r="M25" s="597"/>
      <c r="N25" s="597"/>
      <c r="O25" s="616">
        <f t="shared" si="0"/>
        <v>34800</v>
      </c>
    </row>
    <row r="26" spans="1:15" x14ac:dyDescent="0.25">
      <c r="A26" s="613" t="s">
        <v>800</v>
      </c>
      <c r="B26" s="594"/>
      <c r="C26" s="605"/>
      <c r="D26" s="602"/>
      <c r="E26" s="597"/>
      <c r="F26" s="126"/>
      <c r="G26" s="597">
        <v>1200</v>
      </c>
      <c r="H26" s="597"/>
      <c r="I26" s="597"/>
      <c r="J26" s="597"/>
      <c r="K26" s="597"/>
      <c r="L26" s="597">
        <v>1300</v>
      </c>
      <c r="M26" s="597">
        <v>1200</v>
      </c>
      <c r="N26" s="597"/>
      <c r="O26" s="616">
        <f t="shared" si="0"/>
        <v>3700</v>
      </c>
    </row>
    <row r="27" spans="1:15" x14ac:dyDescent="0.25">
      <c r="A27" s="613" t="s">
        <v>801</v>
      </c>
      <c r="B27" s="594"/>
      <c r="C27" s="602">
        <v>150</v>
      </c>
      <c r="D27" s="602">
        <v>600</v>
      </c>
      <c r="E27" s="597">
        <v>300</v>
      </c>
      <c r="F27" s="597">
        <v>700</v>
      </c>
      <c r="G27" s="597">
        <v>700</v>
      </c>
      <c r="H27" s="597">
        <v>700</v>
      </c>
      <c r="I27" s="597">
        <v>700</v>
      </c>
      <c r="J27" s="597">
        <v>200</v>
      </c>
      <c r="K27" s="597">
        <v>130</v>
      </c>
      <c r="L27" s="597">
        <v>1500</v>
      </c>
      <c r="M27" s="597">
        <v>1400</v>
      </c>
      <c r="N27" s="597">
        <v>2500</v>
      </c>
      <c r="O27" s="616">
        <f t="shared" si="0"/>
        <v>9580</v>
      </c>
    </row>
    <row r="28" spans="1:15" x14ac:dyDescent="0.25">
      <c r="A28" s="610"/>
      <c r="B28" s="125"/>
      <c r="C28" s="851">
        <f t="shared" ref="C28:O28" si="1">SUM(C2:C27)</f>
        <v>137250</v>
      </c>
      <c r="D28" s="851">
        <f t="shared" si="1"/>
        <v>48900</v>
      </c>
      <c r="E28" s="851">
        <f t="shared" si="1"/>
        <v>33020</v>
      </c>
      <c r="F28" s="851">
        <f t="shared" si="1"/>
        <v>42200</v>
      </c>
      <c r="G28" s="851">
        <f t="shared" si="1"/>
        <v>66049.666666666657</v>
      </c>
      <c r="H28" s="851">
        <f t="shared" si="1"/>
        <v>65250</v>
      </c>
      <c r="I28" s="851">
        <f t="shared" si="1"/>
        <v>30625</v>
      </c>
      <c r="J28" s="851">
        <f t="shared" si="1"/>
        <v>48350</v>
      </c>
      <c r="K28" s="851">
        <f t="shared" si="1"/>
        <v>70080</v>
      </c>
      <c r="L28" s="851">
        <f t="shared" si="1"/>
        <v>30500</v>
      </c>
      <c r="M28" s="851">
        <f t="shared" si="1"/>
        <v>27800</v>
      </c>
      <c r="N28" s="851">
        <f t="shared" si="1"/>
        <v>51300</v>
      </c>
      <c r="O28" s="616">
        <f t="shared" si="1"/>
        <v>651324.66666666674</v>
      </c>
    </row>
    <row r="29" spans="1:15" x14ac:dyDescent="0.25">
      <c r="C29" s="665"/>
      <c r="D29" s="665"/>
      <c r="E29" s="665"/>
      <c r="F29" s="662"/>
      <c r="G29" s="662"/>
      <c r="H29" s="662"/>
      <c r="I29" s="662"/>
      <c r="J29" s="662"/>
      <c r="K29" s="665"/>
      <c r="L29" s="665"/>
      <c r="M29" s="665"/>
      <c r="N29" s="665"/>
      <c r="O29" s="663"/>
    </row>
    <row r="30" spans="1:15" x14ac:dyDescent="0.25">
      <c r="C30" s="411"/>
      <c r="D30" s="411"/>
      <c r="E30" s="411"/>
      <c r="F30" s="665"/>
      <c r="G30" s="665"/>
      <c r="H30" s="665"/>
      <c r="I30" s="665"/>
      <c r="J30" s="665"/>
      <c r="K30" s="411"/>
      <c r="L30" s="411"/>
      <c r="M30" s="411"/>
      <c r="N30" s="411"/>
      <c r="O30" s="411"/>
    </row>
    <row r="31" spans="1:15" x14ac:dyDescent="0.25">
      <c r="F31" s="664"/>
      <c r="G31" s="664"/>
      <c r="H31" s="664"/>
      <c r="I31" s="664"/>
      <c r="J31" s="664"/>
      <c r="O31"/>
    </row>
    <row r="32" spans="1:15" x14ac:dyDescent="0.25">
      <c r="F32" s="665"/>
      <c r="G32" s="665"/>
      <c r="H32" s="665"/>
      <c r="I32" s="665"/>
      <c r="J32" s="665"/>
      <c r="O32"/>
    </row>
    <row r="33" spans="6:15" x14ac:dyDescent="0.25">
      <c r="F33" s="411"/>
      <c r="G33" s="411"/>
      <c r="H33" s="411"/>
      <c r="I33" s="411"/>
      <c r="J33" s="411"/>
      <c r="O33"/>
    </row>
    <row r="34" spans="6:15" x14ac:dyDescent="0.25">
      <c r="O34"/>
    </row>
    <row r="35" spans="6:15" x14ac:dyDescent="0.25">
      <c r="O35"/>
    </row>
    <row r="36" spans="6:15" x14ac:dyDescent="0.25">
      <c r="O36"/>
    </row>
    <row r="37" spans="6:15" x14ac:dyDescent="0.25">
      <c r="O37"/>
    </row>
    <row r="38" spans="6:15" x14ac:dyDescent="0.25">
      <c r="O38"/>
    </row>
    <row r="39" spans="6:15" x14ac:dyDescent="0.25">
      <c r="O39"/>
    </row>
    <row r="40" spans="6:15" x14ac:dyDescent="0.25">
      <c r="O40"/>
    </row>
    <row r="41" spans="6:15" x14ac:dyDescent="0.25">
      <c r="O41"/>
    </row>
    <row r="42" spans="6:15" x14ac:dyDescent="0.25">
      <c r="O42"/>
    </row>
    <row r="43" spans="6:15" x14ac:dyDescent="0.25">
      <c r="O43"/>
    </row>
    <row r="44" spans="6:15" x14ac:dyDescent="0.25">
      <c r="O44"/>
    </row>
    <row r="45" spans="6:15" x14ac:dyDescent="0.25">
      <c r="O45"/>
    </row>
    <row r="46" spans="6:15" x14ac:dyDescent="0.25">
      <c r="O46"/>
    </row>
    <row r="47" spans="6:15" x14ac:dyDescent="0.25">
      <c r="O47"/>
    </row>
    <row r="48" spans="6:15" x14ac:dyDescent="0.25">
      <c r="O48"/>
    </row>
    <row r="49" spans="15:15" x14ac:dyDescent="0.25">
      <c r="O49"/>
    </row>
    <row r="50" spans="15:15" x14ac:dyDescent="0.25">
      <c r="O50"/>
    </row>
    <row r="51" spans="15:15" x14ac:dyDescent="0.25">
      <c r="O51"/>
    </row>
    <row r="52" spans="15:15" x14ac:dyDescent="0.25">
      <c r="O52"/>
    </row>
    <row r="53" spans="15:15" x14ac:dyDescent="0.25">
      <c r="O53"/>
    </row>
    <row r="54" spans="15:15" x14ac:dyDescent="0.25">
      <c r="O54"/>
    </row>
    <row r="55" spans="15:15" x14ac:dyDescent="0.25">
      <c r="O55"/>
    </row>
    <row r="56" spans="15:15" x14ac:dyDescent="0.25">
      <c r="O56"/>
    </row>
    <row r="57" spans="15:15" x14ac:dyDescent="0.25">
      <c r="O57"/>
    </row>
    <row r="58" spans="15:15" x14ac:dyDescent="0.25">
      <c r="O58"/>
    </row>
    <row r="59" spans="15:15" x14ac:dyDescent="0.25">
      <c r="O59"/>
    </row>
    <row r="60" spans="15:15" x14ac:dyDescent="0.25">
      <c r="O60"/>
    </row>
    <row r="61" spans="15:15" x14ac:dyDescent="0.25">
      <c r="O61"/>
    </row>
    <row r="62" spans="15:15" x14ac:dyDescent="0.25">
      <c r="O62"/>
    </row>
    <row r="63" spans="15:15" x14ac:dyDescent="0.25">
      <c r="O63"/>
    </row>
    <row r="64" spans="15:15" x14ac:dyDescent="0.25">
      <c r="O64"/>
    </row>
    <row r="65" spans="15:15" x14ac:dyDescent="0.25">
      <c r="O65"/>
    </row>
    <row r="66" spans="15:15" x14ac:dyDescent="0.25">
      <c r="O66"/>
    </row>
    <row r="67" spans="15:15" x14ac:dyDescent="0.25">
      <c r="O67"/>
    </row>
    <row r="68" spans="15:15" x14ac:dyDescent="0.25">
      <c r="O68"/>
    </row>
    <row r="69" spans="15:15" x14ac:dyDescent="0.25">
      <c r="O69"/>
    </row>
    <row r="70" spans="15:15" x14ac:dyDescent="0.25">
      <c r="O70"/>
    </row>
    <row r="71" spans="15:15" x14ac:dyDescent="0.25">
      <c r="O71"/>
    </row>
    <row r="72" spans="15:15" x14ac:dyDescent="0.25">
      <c r="O72"/>
    </row>
    <row r="73" spans="15:15" x14ac:dyDescent="0.25">
      <c r="O73"/>
    </row>
    <row r="74" spans="15:15" x14ac:dyDescent="0.25">
      <c r="O74"/>
    </row>
    <row r="75" spans="15:15" x14ac:dyDescent="0.25">
      <c r="O75"/>
    </row>
    <row r="76" spans="15:15" x14ac:dyDescent="0.25">
      <c r="O76"/>
    </row>
    <row r="77" spans="15:15" x14ac:dyDescent="0.25">
      <c r="O77"/>
    </row>
    <row r="78" spans="15:15" x14ac:dyDescent="0.25">
      <c r="O78"/>
    </row>
    <row r="79" spans="15:15" x14ac:dyDescent="0.25">
      <c r="O79"/>
    </row>
    <row r="80" spans="15:15" x14ac:dyDescent="0.25">
      <c r="O80"/>
    </row>
    <row r="81" spans="15:15" x14ac:dyDescent="0.25">
      <c r="O81"/>
    </row>
    <row r="82" spans="15:15" x14ac:dyDescent="0.25">
      <c r="O82"/>
    </row>
    <row r="83" spans="15:15" x14ac:dyDescent="0.25">
      <c r="O83"/>
    </row>
    <row r="84" spans="15:15" x14ac:dyDescent="0.25">
      <c r="O84"/>
    </row>
    <row r="85" spans="15:15" x14ac:dyDescent="0.25">
      <c r="O85"/>
    </row>
    <row r="86" spans="15:15" x14ac:dyDescent="0.25">
      <c r="O86"/>
    </row>
    <row r="87" spans="15:15" x14ac:dyDescent="0.25">
      <c r="O87"/>
    </row>
    <row r="88" spans="15:15" x14ac:dyDescent="0.25">
      <c r="O88"/>
    </row>
    <row r="89" spans="15:15" x14ac:dyDescent="0.25">
      <c r="O89"/>
    </row>
    <row r="90" spans="15:15" x14ac:dyDescent="0.25">
      <c r="O90"/>
    </row>
    <row r="91" spans="15:15" x14ac:dyDescent="0.25">
      <c r="O91"/>
    </row>
    <row r="92" spans="15:15" x14ac:dyDescent="0.25">
      <c r="O92"/>
    </row>
    <row r="93" spans="15:15" x14ac:dyDescent="0.25">
      <c r="O93"/>
    </row>
    <row r="94" spans="15:15" x14ac:dyDescent="0.25">
      <c r="O94"/>
    </row>
    <row r="95" spans="15:15" x14ac:dyDescent="0.25">
      <c r="O95"/>
    </row>
    <row r="96" spans="15:15" x14ac:dyDescent="0.25">
      <c r="O96"/>
    </row>
    <row r="97" spans="15:15" x14ac:dyDescent="0.25">
      <c r="O97"/>
    </row>
    <row r="98" spans="15:15" x14ac:dyDescent="0.25">
      <c r="O98"/>
    </row>
    <row r="99" spans="15:15" x14ac:dyDescent="0.25">
      <c r="O99"/>
    </row>
    <row r="100" spans="15:15" x14ac:dyDescent="0.25">
      <c r="O100"/>
    </row>
    <row r="101" spans="15:15" x14ac:dyDescent="0.25">
      <c r="O101"/>
    </row>
    <row r="102" spans="15:15" x14ac:dyDescent="0.25">
      <c r="O102"/>
    </row>
    <row r="103" spans="15:15" x14ac:dyDescent="0.25">
      <c r="O103"/>
    </row>
    <row r="104" spans="15:15" x14ac:dyDescent="0.25">
      <c r="O104"/>
    </row>
    <row r="105" spans="15:15" x14ac:dyDescent="0.25">
      <c r="O105"/>
    </row>
    <row r="106" spans="15:15" x14ac:dyDescent="0.25">
      <c r="O106"/>
    </row>
    <row r="107" spans="15:15" x14ac:dyDescent="0.25">
      <c r="O107"/>
    </row>
    <row r="108" spans="15:15" x14ac:dyDescent="0.25">
      <c r="O108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0F41-A32D-445B-8E60-A19E1B3277B6}">
  <sheetPr>
    <tabColor rgb="FFFFFF00"/>
  </sheetPr>
  <dimension ref="A1:AB86"/>
  <sheetViews>
    <sheetView topLeftCell="A51" zoomScale="90" zoomScaleNormal="90" workbookViewId="0">
      <selection activeCell="L66" sqref="L66"/>
    </sheetView>
  </sheetViews>
  <sheetFormatPr defaultColWidth="8.85546875" defaultRowHeight="15" x14ac:dyDescent="0.25"/>
  <cols>
    <col min="1" max="1" width="35.7109375" style="2" bestFit="1" customWidth="1"/>
    <col min="2" max="2" width="11.140625" style="1" bestFit="1" customWidth="1"/>
    <col min="3" max="3" width="10" style="480" bestFit="1" customWidth="1"/>
    <col min="4" max="4" width="8.85546875" style="1"/>
    <col min="5" max="5" width="10.28515625" style="480" bestFit="1" customWidth="1"/>
    <col min="6" max="6" width="8.85546875" style="1"/>
    <col min="7" max="7" width="12" style="480" bestFit="1" customWidth="1"/>
    <col min="8" max="8" width="6.7109375" style="1" bestFit="1" customWidth="1"/>
    <col min="9" max="9" width="12" style="480" bestFit="1" customWidth="1"/>
    <col min="10" max="10" width="8.85546875" style="1"/>
    <col min="11" max="11" width="10" style="480" bestFit="1" customWidth="1"/>
    <col min="12" max="12" width="8.85546875" style="1"/>
    <col min="13" max="13" width="11.42578125" style="480" bestFit="1" customWidth="1"/>
    <col min="14" max="14" width="8.85546875" style="1"/>
    <col min="15" max="15" width="10" style="480" bestFit="1" customWidth="1"/>
    <col min="16" max="16" width="8.85546875" style="1"/>
    <col min="17" max="17" width="10.42578125" style="480" customWidth="1"/>
    <col min="18" max="18" width="8.85546875" style="1"/>
    <col min="19" max="19" width="10" style="480" bestFit="1" customWidth="1"/>
    <col min="20" max="20" width="8.85546875" style="1"/>
    <col min="21" max="21" width="10" style="480" bestFit="1" customWidth="1"/>
    <col min="22" max="22" width="8.85546875" style="1"/>
    <col min="23" max="23" width="10" style="480" bestFit="1" customWidth="1"/>
    <col min="24" max="24" width="8.85546875" style="1"/>
    <col min="25" max="25" width="10" style="480" bestFit="1" customWidth="1"/>
    <col min="26" max="26" width="8.85546875" style="1"/>
    <col min="27" max="27" width="12.140625" style="480" customWidth="1"/>
    <col min="28" max="28" width="11" style="1" bestFit="1" customWidth="1"/>
    <col min="29" max="16384" width="8.85546875" style="1"/>
  </cols>
  <sheetData>
    <row r="1" spans="1:28" x14ac:dyDescent="0.25">
      <c r="A1" s="666" t="s">
        <v>508</v>
      </c>
      <c r="B1" s="666"/>
      <c r="C1" s="666" t="s">
        <v>509</v>
      </c>
      <c r="D1" s="666" t="s">
        <v>510</v>
      </c>
      <c r="E1" s="666" t="s">
        <v>511</v>
      </c>
      <c r="F1" s="666"/>
      <c r="G1" s="666" t="s">
        <v>512</v>
      </c>
      <c r="H1" s="666"/>
      <c r="I1" s="666" t="s">
        <v>513</v>
      </c>
      <c r="J1" s="666"/>
      <c r="K1" s="666" t="s">
        <v>514</v>
      </c>
      <c r="L1" s="666"/>
      <c r="M1" s="666" t="s">
        <v>515</v>
      </c>
      <c r="N1" s="666"/>
      <c r="O1" s="666" t="s">
        <v>516</v>
      </c>
      <c r="P1" s="666"/>
      <c r="Q1" s="666" t="s">
        <v>517</v>
      </c>
      <c r="R1" s="666"/>
      <c r="S1" s="666" t="s">
        <v>518</v>
      </c>
      <c r="T1" s="666"/>
      <c r="U1" s="666" t="s">
        <v>519</v>
      </c>
      <c r="V1" s="666"/>
      <c r="W1" s="666" t="s">
        <v>520</v>
      </c>
      <c r="X1" s="666"/>
      <c r="Y1" s="666" t="s">
        <v>521</v>
      </c>
      <c r="Z1" s="666"/>
      <c r="AA1" s="666" t="s">
        <v>522</v>
      </c>
      <c r="AB1" s="666"/>
    </row>
    <row r="2" spans="1:28" x14ac:dyDescent="0.25">
      <c r="A2" s="666" t="s">
        <v>523</v>
      </c>
      <c r="B2" s="666" t="s">
        <v>524</v>
      </c>
      <c r="C2" s="666">
        <v>160.65</v>
      </c>
      <c r="D2" s="666">
        <v>8</v>
      </c>
      <c r="E2" s="666">
        <f t="shared" ref="E2:E33" si="0">C2*D2</f>
        <v>1285.2</v>
      </c>
      <c r="F2" s="666">
        <v>5</v>
      </c>
      <c r="G2" s="666">
        <f t="shared" ref="G2:G33" si="1">F2*C2</f>
        <v>803.25</v>
      </c>
      <c r="H2" s="666">
        <v>7</v>
      </c>
      <c r="I2" s="666">
        <f t="shared" ref="I2:I33" si="2">H2*C2</f>
        <v>1124.55</v>
      </c>
      <c r="J2" s="666">
        <v>7</v>
      </c>
      <c r="K2" s="666">
        <f t="shared" ref="K2:K33" si="3">J2*C2</f>
        <v>1124.55</v>
      </c>
      <c r="L2" s="666">
        <v>6</v>
      </c>
      <c r="M2" s="666">
        <f t="shared" ref="M2:M33" si="4">L2*C2</f>
        <v>963.90000000000009</v>
      </c>
      <c r="N2" s="666">
        <v>6</v>
      </c>
      <c r="O2" s="666">
        <f t="shared" ref="O2:O33" si="5">N2*C2</f>
        <v>963.90000000000009</v>
      </c>
      <c r="P2" s="666">
        <v>7</v>
      </c>
      <c r="Q2" s="666">
        <f t="shared" ref="Q2:Q24" si="6">P2*C2</f>
        <v>1124.55</v>
      </c>
      <c r="R2" s="666">
        <v>6</v>
      </c>
      <c r="S2" s="666">
        <f t="shared" ref="S2:S24" si="7">R2*C2</f>
        <v>963.90000000000009</v>
      </c>
      <c r="T2" s="666">
        <v>6</v>
      </c>
      <c r="U2" s="666">
        <f t="shared" ref="U2:U24" si="8">T2*C2</f>
        <v>963.90000000000009</v>
      </c>
      <c r="V2" s="666">
        <v>5</v>
      </c>
      <c r="W2" s="666">
        <f t="shared" ref="W2:W24" si="9">V2*C2</f>
        <v>803.25</v>
      </c>
      <c r="X2" s="666">
        <v>8</v>
      </c>
      <c r="Y2" s="666">
        <f t="shared" ref="Y2:Y24" si="10">X2*C2</f>
        <v>1285.2</v>
      </c>
      <c r="Z2" s="666">
        <v>8</v>
      </c>
      <c r="AA2" s="666">
        <f t="shared" ref="AA2:AA24" si="11">Z2*C2</f>
        <v>1285.2</v>
      </c>
      <c r="AB2" s="666"/>
    </row>
    <row r="3" spans="1:28" x14ac:dyDescent="0.25">
      <c r="A3" s="666" t="s">
        <v>525</v>
      </c>
      <c r="B3" s="666" t="s">
        <v>526</v>
      </c>
      <c r="C3" s="666">
        <v>25.2</v>
      </c>
      <c r="D3" s="666">
        <v>6</v>
      </c>
      <c r="E3" s="666">
        <f t="shared" si="0"/>
        <v>151.19999999999999</v>
      </c>
      <c r="F3" s="666">
        <v>5</v>
      </c>
      <c r="G3" s="666">
        <f t="shared" si="1"/>
        <v>126</v>
      </c>
      <c r="H3" s="666">
        <v>12</v>
      </c>
      <c r="I3" s="666">
        <f t="shared" si="2"/>
        <v>302.39999999999998</v>
      </c>
      <c r="J3" s="666">
        <v>4</v>
      </c>
      <c r="K3" s="666">
        <f t="shared" si="3"/>
        <v>100.8</v>
      </c>
      <c r="L3" s="666">
        <v>5</v>
      </c>
      <c r="M3" s="666">
        <f t="shared" si="4"/>
        <v>126</v>
      </c>
      <c r="N3" s="666">
        <v>5</v>
      </c>
      <c r="O3" s="666">
        <f t="shared" si="5"/>
        <v>126</v>
      </c>
      <c r="P3" s="666">
        <v>5</v>
      </c>
      <c r="Q3" s="666">
        <f t="shared" si="6"/>
        <v>126</v>
      </c>
      <c r="R3" s="666">
        <v>5</v>
      </c>
      <c r="S3" s="666">
        <f t="shared" si="7"/>
        <v>126</v>
      </c>
      <c r="T3" s="666">
        <v>5</v>
      </c>
      <c r="U3" s="666">
        <f t="shared" si="8"/>
        <v>126</v>
      </c>
      <c r="V3" s="666">
        <v>4</v>
      </c>
      <c r="W3" s="666">
        <f t="shared" si="9"/>
        <v>100.8</v>
      </c>
      <c r="X3" s="666">
        <v>4</v>
      </c>
      <c r="Y3" s="666">
        <f t="shared" si="10"/>
        <v>100.8</v>
      </c>
      <c r="Z3" s="666">
        <v>4</v>
      </c>
      <c r="AA3" s="666">
        <f t="shared" si="11"/>
        <v>100.8</v>
      </c>
      <c r="AB3" s="666"/>
    </row>
    <row r="4" spans="1:28" x14ac:dyDescent="0.25">
      <c r="A4" s="666" t="s">
        <v>527</v>
      </c>
      <c r="B4" s="666" t="s">
        <v>528</v>
      </c>
      <c r="C4" s="666">
        <v>2.4779999999999998</v>
      </c>
      <c r="D4" s="666">
        <v>15</v>
      </c>
      <c r="E4" s="666">
        <f t="shared" si="0"/>
        <v>37.169999999999995</v>
      </c>
      <c r="F4" s="666">
        <v>8</v>
      </c>
      <c r="G4" s="666">
        <f t="shared" si="1"/>
        <v>19.823999999999998</v>
      </c>
      <c r="H4" s="666">
        <v>10</v>
      </c>
      <c r="I4" s="666">
        <f t="shared" si="2"/>
        <v>24.779999999999998</v>
      </c>
      <c r="J4" s="666">
        <v>18</v>
      </c>
      <c r="K4" s="666">
        <f t="shared" si="3"/>
        <v>44.603999999999999</v>
      </c>
      <c r="L4" s="666">
        <v>8</v>
      </c>
      <c r="M4" s="666">
        <f t="shared" si="4"/>
        <v>19.823999999999998</v>
      </c>
      <c r="N4" s="666">
        <v>9</v>
      </c>
      <c r="O4" s="666">
        <f t="shared" si="5"/>
        <v>22.302</v>
      </c>
      <c r="P4" s="666">
        <v>9</v>
      </c>
      <c r="Q4" s="666">
        <f t="shared" si="6"/>
        <v>22.302</v>
      </c>
      <c r="R4" s="666">
        <v>8</v>
      </c>
      <c r="S4" s="666">
        <f t="shared" si="7"/>
        <v>19.823999999999998</v>
      </c>
      <c r="T4" s="666">
        <v>8</v>
      </c>
      <c r="U4" s="666">
        <f t="shared" si="8"/>
        <v>19.823999999999998</v>
      </c>
      <c r="V4" s="666">
        <v>18</v>
      </c>
      <c r="W4" s="666">
        <f t="shared" si="9"/>
        <v>44.603999999999999</v>
      </c>
      <c r="X4" s="666">
        <v>18</v>
      </c>
      <c r="Y4" s="666">
        <f t="shared" si="10"/>
        <v>44.603999999999999</v>
      </c>
      <c r="Z4" s="666">
        <v>12</v>
      </c>
      <c r="AA4" s="666">
        <f t="shared" si="11"/>
        <v>29.735999999999997</v>
      </c>
      <c r="AB4" s="666"/>
    </row>
    <row r="5" spans="1:28" x14ac:dyDescent="0.25">
      <c r="A5" s="666" t="s">
        <v>529</v>
      </c>
      <c r="B5" s="666" t="s">
        <v>526</v>
      </c>
      <c r="C5" s="666">
        <v>26.5335</v>
      </c>
      <c r="D5" s="666">
        <v>12</v>
      </c>
      <c r="E5" s="666">
        <f t="shared" si="0"/>
        <v>318.40199999999999</v>
      </c>
      <c r="F5" s="666">
        <v>15</v>
      </c>
      <c r="G5" s="666">
        <f t="shared" si="1"/>
        <v>398.0025</v>
      </c>
      <c r="H5" s="666">
        <v>10</v>
      </c>
      <c r="I5" s="666">
        <f t="shared" si="2"/>
        <v>265.33499999999998</v>
      </c>
      <c r="J5" s="666">
        <v>9</v>
      </c>
      <c r="K5" s="666">
        <f t="shared" si="3"/>
        <v>238.8015</v>
      </c>
      <c r="L5" s="666">
        <v>15</v>
      </c>
      <c r="M5" s="666">
        <f t="shared" si="4"/>
        <v>398.0025</v>
      </c>
      <c r="N5" s="666">
        <v>12</v>
      </c>
      <c r="O5" s="666">
        <f t="shared" si="5"/>
        <v>318.40199999999999</v>
      </c>
      <c r="P5" s="666">
        <v>12</v>
      </c>
      <c r="Q5" s="666">
        <f t="shared" si="6"/>
        <v>318.40199999999999</v>
      </c>
      <c r="R5" s="666">
        <v>15</v>
      </c>
      <c r="S5" s="666">
        <f t="shared" si="7"/>
        <v>398.0025</v>
      </c>
      <c r="T5" s="666">
        <v>15</v>
      </c>
      <c r="U5" s="666">
        <f t="shared" si="8"/>
        <v>398.0025</v>
      </c>
      <c r="V5" s="666">
        <v>9</v>
      </c>
      <c r="W5" s="666">
        <f t="shared" si="9"/>
        <v>238.8015</v>
      </c>
      <c r="X5" s="666">
        <v>9</v>
      </c>
      <c r="Y5" s="666">
        <f t="shared" si="10"/>
        <v>238.8015</v>
      </c>
      <c r="Z5" s="666">
        <v>10</v>
      </c>
      <c r="AA5" s="666">
        <f t="shared" si="11"/>
        <v>265.33499999999998</v>
      </c>
      <c r="AB5" s="666"/>
    </row>
    <row r="6" spans="1:28" x14ac:dyDescent="0.25">
      <c r="A6" s="666" t="s">
        <v>530</v>
      </c>
      <c r="B6" s="666" t="s">
        <v>528</v>
      </c>
      <c r="C6" s="666">
        <v>56.687820000000002</v>
      </c>
      <c r="D6" s="666">
        <v>3</v>
      </c>
      <c r="E6" s="666">
        <f t="shared" si="0"/>
        <v>170.06346000000002</v>
      </c>
      <c r="F6" s="666">
        <v>5</v>
      </c>
      <c r="G6" s="666">
        <f t="shared" si="1"/>
        <v>283.4391</v>
      </c>
      <c r="H6" s="666">
        <v>2</v>
      </c>
      <c r="I6" s="666">
        <f t="shared" si="2"/>
        <v>113.37564</v>
      </c>
      <c r="J6" s="666">
        <v>6</v>
      </c>
      <c r="K6" s="666">
        <f t="shared" si="3"/>
        <v>340.12692000000004</v>
      </c>
      <c r="L6" s="666">
        <v>5</v>
      </c>
      <c r="M6" s="666">
        <f t="shared" si="4"/>
        <v>283.4391</v>
      </c>
      <c r="N6" s="666">
        <v>7</v>
      </c>
      <c r="O6" s="666">
        <f t="shared" si="5"/>
        <v>396.81474000000003</v>
      </c>
      <c r="P6" s="666">
        <v>7</v>
      </c>
      <c r="Q6" s="666">
        <f t="shared" si="6"/>
        <v>396.81474000000003</v>
      </c>
      <c r="R6" s="666">
        <v>5</v>
      </c>
      <c r="S6" s="666">
        <f t="shared" si="7"/>
        <v>283.4391</v>
      </c>
      <c r="T6" s="666">
        <v>5</v>
      </c>
      <c r="U6" s="666">
        <f t="shared" si="8"/>
        <v>283.4391</v>
      </c>
      <c r="V6" s="666">
        <v>6</v>
      </c>
      <c r="W6" s="666">
        <f t="shared" si="9"/>
        <v>340.12692000000004</v>
      </c>
      <c r="X6" s="666">
        <v>6</v>
      </c>
      <c r="Y6" s="666">
        <f t="shared" si="10"/>
        <v>340.12692000000004</v>
      </c>
      <c r="Z6" s="666">
        <v>3</v>
      </c>
      <c r="AA6" s="666">
        <f t="shared" si="11"/>
        <v>170.06346000000002</v>
      </c>
      <c r="AB6" s="666"/>
    </row>
    <row r="7" spans="1:28" x14ac:dyDescent="0.25">
      <c r="A7" s="666" t="s">
        <v>531</v>
      </c>
      <c r="B7" s="666" t="s">
        <v>532</v>
      </c>
      <c r="C7" s="666">
        <v>30.3765</v>
      </c>
      <c r="D7" s="666">
        <v>3</v>
      </c>
      <c r="E7" s="666">
        <f t="shared" si="0"/>
        <v>91.129500000000007</v>
      </c>
      <c r="F7" s="666">
        <v>6</v>
      </c>
      <c r="G7" s="666">
        <f t="shared" si="1"/>
        <v>182.25900000000001</v>
      </c>
      <c r="H7" s="666">
        <v>3</v>
      </c>
      <c r="I7" s="666">
        <f t="shared" si="2"/>
        <v>91.129500000000007</v>
      </c>
      <c r="J7" s="666">
        <v>5</v>
      </c>
      <c r="K7" s="666">
        <f t="shared" si="3"/>
        <v>151.88249999999999</v>
      </c>
      <c r="L7" s="666">
        <v>6</v>
      </c>
      <c r="M7" s="666">
        <f t="shared" si="4"/>
        <v>182.25900000000001</v>
      </c>
      <c r="N7" s="666">
        <v>8</v>
      </c>
      <c r="O7" s="666">
        <f t="shared" si="5"/>
        <v>243.012</v>
      </c>
      <c r="P7" s="666">
        <v>8</v>
      </c>
      <c r="Q7" s="666">
        <f t="shared" si="6"/>
        <v>243.012</v>
      </c>
      <c r="R7" s="666">
        <v>6</v>
      </c>
      <c r="S7" s="666">
        <f t="shared" si="7"/>
        <v>182.25900000000001</v>
      </c>
      <c r="T7" s="666">
        <v>6</v>
      </c>
      <c r="U7" s="666">
        <f t="shared" si="8"/>
        <v>182.25900000000001</v>
      </c>
      <c r="V7" s="666">
        <v>5</v>
      </c>
      <c r="W7" s="666">
        <f t="shared" si="9"/>
        <v>151.88249999999999</v>
      </c>
      <c r="X7" s="666">
        <v>5</v>
      </c>
      <c r="Y7" s="666">
        <f t="shared" si="10"/>
        <v>151.88249999999999</v>
      </c>
      <c r="Z7" s="666">
        <v>3</v>
      </c>
      <c r="AA7" s="666">
        <f t="shared" si="11"/>
        <v>91.129500000000007</v>
      </c>
      <c r="AB7" s="666"/>
    </row>
    <row r="8" spans="1:28" x14ac:dyDescent="0.25">
      <c r="A8" s="666" t="s">
        <v>533</v>
      </c>
      <c r="B8" s="666" t="s">
        <v>528</v>
      </c>
      <c r="C8" s="666">
        <v>36.3825</v>
      </c>
      <c r="D8" s="666">
        <v>2</v>
      </c>
      <c r="E8" s="666">
        <f t="shared" si="0"/>
        <v>72.765000000000001</v>
      </c>
      <c r="F8" s="666">
        <v>6</v>
      </c>
      <c r="G8" s="666">
        <f t="shared" si="1"/>
        <v>218.29500000000002</v>
      </c>
      <c r="H8" s="666">
        <v>2</v>
      </c>
      <c r="I8" s="666">
        <f t="shared" si="2"/>
        <v>72.765000000000001</v>
      </c>
      <c r="J8" s="666">
        <v>5</v>
      </c>
      <c r="K8" s="666">
        <f t="shared" si="3"/>
        <v>181.91249999999999</v>
      </c>
      <c r="L8" s="666">
        <v>6</v>
      </c>
      <c r="M8" s="666">
        <f t="shared" si="4"/>
        <v>218.29500000000002</v>
      </c>
      <c r="N8" s="666">
        <v>8</v>
      </c>
      <c r="O8" s="666">
        <f t="shared" si="5"/>
        <v>291.06</v>
      </c>
      <c r="P8" s="666">
        <v>8</v>
      </c>
      <c r="Q8" s="666">
        <f t="shared" si="6"/>
        <v>291.06</v>
      </c>
      <c r="R8" s="666">
        <v>6</v>
      </c>
      <c r="S8" s="666">
        <f t="shared" si="7"/>
        <v>218.29500000000002</v>
      </c>
      <c r="T8" s="666">
        <v>6</v>
      </c>
      <c r="U8" s="666">
        <f t="shared" si="8"/>
        <v>218.29500000000002</v>
      </c>
      <c r="V8" s="666">
        <v>5</v>
      </c>
      <c r="W8" s="666">
        <f t="shared" si="9"/>
        <v>181.91249999999999</v>
      </c>
      <c r="X8" s="666">
        <v>5</v>
      </c>
      <c r="Y8" s="666">
        <f t="shared" si="10"/>
        <v>181.91249999999999</v>
      </c>
      <c r="Z8" s="666">
        <v>3</v>
      </c>
      <c r="AA8" s="666">
        <f t="shared" si="11"/>
        <v>109.14750000000001</v>
      </c>
      <c r="AB8" s="666"/>
    </row>
    <row r="9" spans="1:28" x14ac:dyDescent="0.25">
      <c r="A9" s="666" t="s">
        <v>534</v>
      </c>
      <c r="B9" s="666" t="s">
        <v>532</v>
      </c>
      <c r="C9" s="666">
        <v>26.9115</v>
      </c>
      <c r="D9" s="666">
        <v>20</v>
      </c>
      <c r="E9" s="666">
        <f t="shared" si="0"/>
        <v>538.23</v>
      </c>
      <c r="F9" s="666">
        <v>10</v>
      </c>
      <c r="G9" s="666">
        <f t="shared" si="1"/>
        <v>269.11500000000001</v>
      </c>
      <c r="H9" s="666">
        <v>10</v>
      </c>
      <c r="I9" s="666">
        <f t="shared" si="2"/>
        <v>269.11500000000001</v>
      </c>
      <c r="J9" s="666">
        <v>11</v>
      </c>
      <c r="K9" s="666">
        <f t="shared" si="3"/>
        <v>296.0265</v>
      </c>
      <c r="L9" s="666">
        <v>10</v>
      </c>
      <c r="M9" s="666">
        <f t="shared" si="4"/>
        <v>269.11500000000001</v>
      </c>
      <c r="N9" s="666">
        <v>17</v>
      </c>
      <c r="O9" s="666">
        <f t="shared" si="5"/>
        <v>457.49549999999999</v>
      </c>
      <c r="P9" s="666">
        <v>17</v>
      </c>
      <c r="Q9" s="666">
        <f t="shared" si="6"/>
        <v>457.49549999999999</v>
      </c>
      <c r="R9" s="666">
        <v>10</v>
      </c>
      <c r="S9" s="666">
        <f t="shared" si="7"/>
        <v>269.11500000000001</v>
      </c>
      <c r="T9" s="666">
        <v>10</v>
      </c>
      <c r="U9" s="666">
        <f t="shared" si="8"/>
        <v>269.11500000000001</v>
      </c>
      <c r="V9" s="666">
        <v>11</v>
      </c>
      <c r="W9" s="666">
        <f t="shared" si="9"/>
        <v>296.0265</v>
      </c>
      <c r="X9" s="666">
        <v>11</v>
      </c>
      <c r="Y9" s="666">
        <f t="shared" si="10"/>
        <v>296.0265</v>
      </c>
      <c r="Z9" s="666">
        <v>6</v>
      </c>
      <c r="AA9" s="666">
        <f t="shared" si="11"/>
        <v>161.46899999999999</v>
      </c>
      <c r="AB9" s="666"/>
    </row>
    <row r="10" spans="1:28" x14ac:dyDescent="0.25">
      <c r="A10" s="666" t="s">
        <v>535</v>
      </c>
      <c r="B10" s="666" t="s">
        <v>532</v>
      </c>
      <c r="C10" s="666">
        <v>29.064</v>
      </c>
      <c r="D10" s="666">
        <v>10</v>
      </c>
      <c r="E10" s="666">
        <f t="shared" si="0"/>
        <v>290.64</v>
      </c>
      <c r="F10" s="666">
        <v>13</v>
      </c>
      <c r="G10" s="666">
        <f t="shared" si="1"/>
        <v>377.83199999999999</v>
      </c>
      <c r="H10" s="666">
        <v>11</v>
      </c>
      <c r="I10" s="666">
        <f t="shared" si="2"/>
        <v>319.70400000000001</v>
      </c>
      <c r="J10" s="666">
        <v>21</v>
      </c>
      <c r="K10" s="666">
        <f t="shared" si="3"/>
        <v>610.34400000000005</v>
      </c>
      <c r="L10" s="666">
        <v>13</v>
      </c>
      <c r="M10" s="666">
        <f t="shared" si="4"/>
        <v>377.83199999999999</v>
      </c>
      <c r="N10" s="666">
        <v>26</v>
      </c>
      <c r="O10" s="666">
        <f t="shared" si="5"/>
        <v>755.66399999999999</v>
      </c>
      <c r="P10" s="666">
        <v>26</v>
      </c>
      <c r="Q10" s="666">
        <f t="shared" si="6"/>
        <v>755.66399999999999</v>
      </c>
      <c r="R10" s="666">
        <v>13</v>
      </c>
      <c r="S10" s="666">
        <f t="shared" si="7"/>
        <v>377.83199999999999</v>
      </c>
      <c r="T10" s="666">
        <v>13</v>
      </c>
      <c r="U10" s="666">
        <f t="shared" si="8"/>
        <v>377.83199999999999</v>
      </c>
      <c r="V10" s="666">
        <v>21</v>
      </c>
      <c r="W10" s="666">
        <f t="shared" si="9"/>
        <v>610.34400000000005</v>
      </c>
      <c r="X10" s="666">
        <v>21</v>
      </c>
      <c r="Y10" s="666">
        <f t="shared" si="10"/>
        <v>610.34400000000005</v>
      </c>
      <c r="Z10" s="666">
        <v>11</v>
      </c>
      <c r="AA10" s="666">
        <f t="shared" si="11"/>
        <v>319.70400000000001</v>
      </c>
      <c r="AB10" s="666"/>
    </row>
    <row r="11" spans="1:28" x14ac:dyDescent="0.25">
      <c r="A11" s="666" t="s">
        <v>536</v>
      </c>
      <c r="B11" s="666" t="s">
        <v>532</v>
      </c>
      <c r="C11" s="666">
        <v>35.826000000000001</v>
      </c>
      <c r="D11" s="666">
        <v>11</v>
      </c>
      <c r="E11" s="666">
        <f t="shared" si="0"/>
        <v>394.08600000000001</v>
      </c>
      <c r="F11" s="666">
        <v>18</v>
      </c>
      <c r="G11" s="666">
        <f t="shared" si="1"/>
        <v>644.86800000000005</v>
      </c>
      <c r="H11" s="666">
        <v>11</v>
      </c>
      <c r="I11" s="666">
        <f t="shared" si="2"/>
        <v>394.08600000000001</v>
      </c>
      <c r="J11" s="666">
        <v>20</v>
      </c>
      <c r="K11" s="666">
        <f t="shared" si="3"/>
        <v>716.52</v>
      </c>
      <c r="L11" s="666">
        <v>18</v>
      </c>
      <c r="M11" s="666">
        <f t="shared" si="4"/>
        <v>644.86800000000005</v>
      </c>
      <c r="N11" s="666">
        <v>32</v>
      </c>
      <c r="O11" s="666">
        <f t="shared" si="5"/>
        <v>1146.432</v>
      </c>
      <c r="P11" s="666">
        <v>32</v>
      </c>
      <c r="Q11" s="666">
        <f t="shared" si="6"/>
        <v>1146.432</v>
      </c>
      <c r="R11" s="666">
        <v>18</v>
      </c>
      <c r="S11" s="666">
        <f t="shared" si="7"/>
        <v>644.86800000000005</v>
      </c>
      <c r="T11" s="666">
        <v>18</v>
      </c>
      <c r="U11" s="666">
        <f t="shared" si="8"/>
        <v>644.86800000000005</v>
      </c>
      <c r="V11" s="666">
        <v>20</v>
      </c>
      <c r="W11" s="666">
        <f t="shared" si="9"/>
        <v>716.52</v>
      </c>
      <c r="X11" s="666">
        <v>20</v>
      </c>
      <c r="Y11" s="666">
        <f t="shared" si="10"/>
        <v>716.52</v>
      </c>
      <c r="Z11" s="666">
        <v>11</v>
      </c>
      <c r="AA11" s="666">
        <f t="shared" si="11"/>
        <v>394.08600000000001</v>
      </c>
      <c r="AB11" s="666"/>
    </row>
    <row r="12" spans="1:28" x14ac:dyDescent="0.25">
      <c r="A12" s="666" t="s">
        <v>537</v>
      </c>
      <c r="B12" s="666" t="s">
        <v>532</v>
      </c>
      <c r="C12" s="666">
        <v>27.993000000000002</v>
      </c>
      <c r="D12" s="666">
        <v>11</v>
      </c>
      <c r="E12" s="666">
        <f t="shared" si="0"/>
        <v>307.923</v>
      </c>
      <c r="F12" s="666">
        <v>17</v>
      </c>
      <c r="G12" s="666">
        <f t="shared" si="1"/>
        <v>475.88100000000003</v>
      </c>
      <c r="H12" s="666">
        <v>11</v>
      </c>
      <c r="I12" s="666">
        <f t="shared" si="2"/>
        <v>307.923</v>
      </c>
      <c r="J12" s="666">
        <v>20</v>
      </c>
      <c r="K12" s="666">
        <f t="shared" si="3"/>
        <v>559.86</v>
      </c>
      <c r="L12" s="666">
        <v>17</v>
      </c>
      <c r="M12" s="666">
        <f t="shared" si="4"/>
        <v>475.88100000000003</v>
      </c>
      <c r="N12" s="666">
        <v>32</v>
      </c>
      <c r="O12" s="666">
        <f t="shared" si="5"/>
        <v>895.77600000000007</v>
      </c>
      <c r="P12" s="666">
        <v>32</v>
      </c>
      <c r="Q12" s="666">
        <f t="shared" si="6"/>
        <v>895.77600000000007</v>
      </c>
      <c r="R12" s="666">
        <v>17</v>
      </c>
      <c r="S12" s="666">
        <f t="shared" si="7"/>
        <v>475.88100000000003</v>
      </c>
      <c r="T12" s="666">
        <v>17</v>
      </c>
      <c r="U12" s="666">
        <f t="shared" si="8"/>
        <v>475.88100000000003</v>
      </c>
      <c r="V12" s="666">
        <v>20</v>
      </c>
      <c r="W12" s="666">
        <f t="shared" si="9"/>
        <v>559.86</v>
      </c>
      <c r="X12" s="666">
        <v>20</v>
      </c>
      <c r="Y12" s="666">
        <f t="shared" si="10"/>
        <v>559.86</v>
      </c>
      <c r="Z12" s="666">
        <v>11</v>
      </c>
      <c r="AA12" s="666">
        <f t="shared" si="11"/>
        <v>307.923</v>
      </c>
      <c r="AB12" s="666"/>
    </row>
    <row r="13" spans="1:28" x14ac:dyDescent="0.25">
      <c r="A13" s="666" t="s">
        <v>538</v>
      </c>
      <c r="B13" s="666" t="s">
        <v>532</v>
      </c>
      <c r="C13" s="666">
        <v>35.521499999999996</v>
      </c>
      <c r="D13" s="666">
        <v>5</v>
      </c>
      <c r="E13" s="666">
        <f t="shared" si="0"/>
        <v>177.60749999999999</v>
      </c>
      <c r="F13" s="666">
        <v>16</v>
      </c>
      <c r="G13" s="666">
        <f t="shared" si="1"/>
        <v>568.34399999999994</v>
      </c>
      <c r="H13" s="666">
        <v>11</v>
      </c>
      <c r="I13" s="666">
        <f t="shared" si="2"/>
        <v>390.73649999999998</v>
      </c>
      <c r="J13" s="666">
        <v>20</v>
      </c>
      <c r="K13" s="666">
        <f t="shared" si="3"/>
        <v>710.43</v>
      </c>
      <c r="L13" s="666">
        <v>16</v>
      </c>
      <c r="M13" s="666">
        <f t="shared" si="4"/>
        <v>568.34399999999994</v>
      </c>
      <c r="N13" s="666">
        <v>32</v>
      </c>
      <c r="O13" s="666">
        <f t="shared" si="5"/>
        <v>1136.6879999999999</v>
      </c>
      <c r="P13" s="666">
        <v>32</v>
      </c>
      <c r="Q13" s="666">
        <f t="shared" si="6"/>
        <v>1136.6879999999999</v>
      </c>
      <c r="R13" s="666">
        <v>16</v>
      </c>
      <c r="S13" s="666">
        <f t="shared" si="7"/>
        <v>568.34399999999994</v>
      </c>
      <c r="T13" s="666">
        <v>16</v>
      </c>
      <c r="U13" s="666">
        <f t="shared" si="8"/>
        <v>568.34399999999994</v>
      </c>
      <c r="V13" s="666">
        <v>20</v>
      </c>
      <c r="W13" s="666">
        <f t="shared" si="9"/>
        <v>710.43</v>
      </c>
      <c r="X13" s="666">
        <v>20</v>
      </c>
      <c r="Y13" s="666">
        <f t="shared" si="10"/>
        <v>710.43</v>
      </c>
      <c r="Z13" s="666">
        <v>11</v>
      </c>
      <c r="AA13" s="666">
        <f t="shared" si="11"/>
        <v>390.73649999999998</v>
      </c>
      <c r="AB13" s="666"/>
    </row>
    <row r="14" spans="1:28" x14ac:dyDescent="0.25">
      <c r="A14" s="666" t="s">
        <v>539</v>
      </c>
      <c r="B14" s="666" t="s">
        <v>528</v>
      </c>
      <c r="C14" s="666">
        <v>11.802</v>
      </c>
      <c r="D14" s="666">
        <v>25</v>
      </c>
      <c r="E14" s="666">
        <f t="shared" si="0"/>
        <v>295.05</v>
      </c>
      <c r="F14" s="666">
        <v>29</v>
      </c>
      <c r="G14" s="666">
        <f t="shared" si="1"/>
        <v>342.25799999999998</v>
      </c>
      <c r="H14" s="666">
        <v>20</v>
      </c>
      <c r="I14" s="666">
        <f t="shared" si="2"/>
        <v>236.04</v>
      </c>
      <c r="J14" s="666">
        <v>25</v>
      </c>
      <c r="K14" s="666">
        <f t="shared" si="3"/>
        <v>295.05</v>
      </c>
      <c r="L14" s="666">
        <v>29</v>
      </c>
      <c r="M14" s="666">
        <f t="shared" si="4"/>
        <v>342.25799999999998</v>
      </c>
      <c r="N14" s="666">
        <v>50</v>
      </c>
      <c r="O14" s="666">
        <f t="shared" si="5"/>
        <v>590.1</v>
      </c>
      <c r="P14" s="666">
        <v>50</v>
      </c>
      <c r="Q14" s="666">
        <f t="shared" si="6"/>
        <v>590.1</v>
      </c>
      <c r="R14" s="666">
        <v>29</v>
      </c>
      <c r="S14" s="666">
        <f t="shared" si="7"/>
        <v>342.25799999999998</v>
      </c>
      <c r="T14" s="666">
        <v>29</v>
      </c>
      <c r="U14" s="666">
        <f t="shared" si="8"/>
        <v>342.25799999999998</v>
      </c>
      <c r="V14" s="666">
        <v>25</v>
      </c>
      <c r="W14" s="666">
        <f t="shared" si="9"/>
        <v>295.05</v>
      </c>
      <c r="X14" s="666">
        <v>25</v>
      </c>
      <c r="Y14" s="666">
        <f t="shared" si="10"/>
        <v>295.05</v>
      </c>
      <c r="Z14" s="666">
        <v>20</v>
      </c>
      <c r="AA14" s="666">
        <f t="shared" si="11"/>
        <v>236.04</v>
      </c>
      <c r="AB14" s="666"/>
    </row>
    <row r="15" spans="1:28" x14ac:dyDescent="0.25">
      <c r="A15" s="666" t="s">
        <v>540</v>
      </c>
      <c r="B15" s="666" t="s">
        <v>532</v>
      </c>
      <c r="C15" s="666">
        <v>19.372499999999999</v>
      </c>
      <c r="D15" s="666">
        <v>31</v>
      </c>
      <c r="E15" s="666">
        <f t="shared" si="0"/>
        <v>600.54750000000001</v>
      </c>
      <c r="F15" s="666">
        <v>45</v>
      </c>
      <c r="G15" s="666">
        <f t="shared" si="1"/>
        <v>871.76249999999993</v>
      </c>
      <c r="H15" s="666">
        <v>20</v>
      </c>
      <c r="I15" s="666">
        <f t="shared" si="2"/>
        <v>387.45</v>
      </c>
      <c r="J15" s="666">
        <v>45</v>
      </c>
      <c r="K15" s="666">
        <f t="shared" si="3"/>
        <v>871.76249999999993</v>
      </c>
      <c r="L15" s="666">
        <v>45</v>
      </c>
      <c r="M15" s="666">
        <f t="shared" si="4"/>
        <v>871.76249999999993</v>
      </c>
      <c r="N15" s="666">
        <v>60</v>
      </c>
      <c r="O15" s="666">
        <f t="shared" si="5"/>
        <v>1162.3499999999999</v>
      </c>
      <c r="P15" s="666">
        <v>60</v>
      </c>
      <c r="Q15" s="666">
        <f t="shared" si="6"/>
        <v>1162.3499999999999</v>
      </c>
      <c r="R15" s="666">
        <v>45</v>
      </c>
      <c r="S15" s="666">
        <f t="shared" si="7"/>
        <v>871.76249999999993</v>
      </c>
      <c r="T15" s="666">
        <v>45</v>
      </c>
      <c r="U15" s="666">
        <f t="shared" si="8"/>
        <v>871.76249999999993</v>
      </c>
      <c r="V15" s="666">
        <v>45</v>
      </c>
      <c r="W15" s="666">
        <f t="shared" si="9"/>
        <v>871.76249999999993</v>
      </c>
      <c r="X15" s="666">
        <v>45</v>
      </c>
      <c r="Y15" s="666">
        <f t="shared" si="10"/>
        <v>871.76249999999993</v>
      </c>
      <c r="Z15" s="666">
        <v>30</v>
      </c>
      <c r="AA15" s="666">
        <f t="shared" si="11"/>
        <v>581.17499999999995</v>
      </c>
      <c r="AB15" s="666"/>
    </row>
    <row r="16" spans="1:28" x14ac:dyDescent="0.25">
      <c r="A16" s="666" t="s">
        <v>541</v>
      </c>
      <c r="B16" s="666" t="s">
        <v>528</v>
      </c>
      <c r="C16" s="666">
        <v>29.956500000000002</v>
      </c>
      <c r="D16" s="666">
        <v>3</v>
      </c>
      <c r="E16" s="666">
        <f t="shared" si="0"/>
        <v>89.869500000000002</v>
      </c>
      <c r="F16" s="666">
        <v>2</v>
      </c>
      <c r="G16" s="666">
        <f t="shared" si="1"/>
        <v>59.913000000000004</v>
      </c>
      <c r="H16" s="666">
        <v>2</v>
      </c>
      <c r="I16" s="666">
        <f t="shared" si="2"/>
        <v>59.913000000000004</v>
      </c>
      <c r="J16" s="666">
        <v>2</v>
      </c>
      <c r="K16" s="666">
        <f t="shared" si="3"/>
        <v>59.913000000000004</v>
      </c>
      <c r="L16" s="666">
        <v>2</v>
      </c>
      <c r="M16" s="666">
        <f t="shared" si="4"/>
        <v>59.913000000000004</v>
      </c>
      <c r="N16" s="666">
        <v>1</v>
      </c>
      <c r="O16" s="666">
        <f t="shared" si="5"/>
        <v>29.956500000000002</v>
      </c>
      <c r="P16" s="666">
        <v>1</v>
      </c>
      <c r="Q16" s="666">
        <f t="shared" si="6"/>
        <v>29.956500000000002</v>
      </c>
      <c r="R16" s="666">
        <v>2</v>
      </c>
      <c r="S16" s="666">
        <f t="shared" si="7"/>
        <v>59.913000000000004</v>
      </c>
      <c r="T16" s="666">
        <v>2</v>
      </c>
      <c r="U16" s="666">
        <f t="shared" si="8"/>
        <v>59.913000000000004</v>
      </c>
      <c r="V16" s="666">
        <v>2</v>
      </c>
      <c r="W16" s="666">
        <f t="shared" si="9"/>
        <v>59.913000000000004</v>
      </c>
      <c r="X16" s="666">
        <v>2</v>
      </c>
      <c r="Y16" s="666">
        <f t="shared" si="10"/>
        <v>59.913000000000004</v>
      </c>
      <c r="Z16" s="666">
        <v>3</v>
      </c>
      <c r="AA16" s="666">
        <f t="shared" si="11"/>
        <v>89.869500000000002</v>
      </c>
      <c r="AB16" s="666"/>
    </row>
    <row r="17" spans="1:28" x14ac:dyDescent="0.25">
      <c r="A17" s="666" t="s">
        <v>542</v>
      </c>
      <c r="B17" s="666" t="s">
        <v>528</v>
      </c>
      <c r="C17" s="666">
        <v>44.792999999999999</v>
      </c>
      <c r="D17" s="666">
        <v>2</v>
      </c>
      <c r="E17" s="666">
        <f t="shared" si="0"/>
        <v>89.585999999999999</v>
      </c>
      <c r="F17" s="666">
        <v>3</v>
      </c>
      <c r="G17" s="666">
        <f t="shared" si="1"/>
        <v>134.37899999999999</v>
      </c>
      <c r="H17" s="666">
        <v>2</v>
      </c>
      <c r="I17" s="666">
        <f t="shared" si="2"/>
        <v>89.585999999999999</v>
      </c>
      <c r="J17" s="666">
        <v>1</v>
      </c>
      <c r="K17" s="666">
        <f t="shared" si="3"/>
        <v>44.792999999999999</v>
      </c>
      <c r="L17" s="666">
        <v>3</v>
      </c>
      <c r="M17" s="666">
        <f t="shared" si="4"/>
        <v>134.37899999999999</v>
      </c>
      <c r="N17" s="666">
        <v>2</v>
      </c>
      <c r="O17" s="666">
        <f t="shared" si="5"/>
        <v>89.585999999999999</v>
      </c>
      <c r="P17" s="666">
        <v>2</v>
      </c>
      <c r="Q17" s="666">
        <f t="shared" si="6"/>
        <v>89.585999999999999</v>
      </c>
      <c r="R17" s="666">
        <v>3</v>
      </c>
      <c r="S17" s="666">
        <f t="shared" si="7"/>
        <v>134.37899999999999</v>
      </c>
      <c r="T17" s="666">
        <v>3</v>
      </c>
      <c r="U17" s="666">
        <f t="shared" si="8"/>
        <v>134.37899999999999</v>
      </c>
      <c r="V17" s="666">
        <v>1</v>
      </c>
      <c r="W17" s="666">
        <f t="shared" si="9"/>
        <v>44.792999999999999</v>
      </c>
      <c r="X17" s="666">
        <v>1</v>
      </c>
      <c r="Y17" s="666">
        <f t="shared" si="10"/>
        <v>44.792999999999999</v>
      </c>
      <c r="Z17" s="666">
        <v>2</v>
      </c>
      <c r="AA17" s="666">
        <f t="shared" si="11"/>
        <v>89.585999999999999</v>
      </c>
      <c r="AB17" s="666"/>
    </row>
    <row r="18" spans="1:28" x14ac:dyDescent="0.25">
      <c r="A18" s="666" t="s">
        <v>543</v>
      </c>
      <c r="B18" s="666" t="s">
        <v>532</v>
      </c>
      <c r="C18" s="666">
        <v>10.1745</v>
      </c>
      <c r="D18" s="666">
        <v>21</v>
      </c>
      <c r="E18" s="666">
        <f t="shared" si="0"/>
        <v>213.6645</v>
      </c>
      <c r="F18" s="666">
        <v>35</v>
      </c>
      <c r="G18" s="666">
        <f t="shared" si="1"/>
        <v>356.10750000000002</v>
      </c>
      <c r="H18" s="666">
        <v>21</v>
      </c>
      <c r="I18" s="666">
        <f t="shared" si="2"/>
        <v>213.6645</v>
      </c>
      <c r="J18" s="666">
        <v>30</v>
      </c>
      <c r="K18" s="666">
        <f t="shared" si="3"/>
        <v>305.23500000000001</v>
      </c>
      <c r="L18" s="666">
        <v>35</v>
      </c>
      <c r="M18" s="666">
        <f t="shared" si="4"/>
        <v>356.10750000000002</v>
      </c>
      <c r="N18" s="666">
        <v>45</v>
      </c>
      <c r="O18" s="666">
        <f t="shared" si="5"/>
        <v>457.85250000000002</v>
      </c>
      <c r="P18" s="666">
        <v>45</v>
      </c>
      <c r="Q18" s="666">
        <f t="shared" si="6"/>
        <v>457.85250000000002</v>
      </c>
      <c r="R18" s="666">
        <v>35</v>
      </c>
      <c r="S18" s="666">
        <f t="shared" si="7"/>
        <v>356.10750000000002</v>
      </c>
      <c r="T18" s="666">
        <v>35</v>
      </c>
      <c r="U18" s="666">
        <f t="shared" si="8"/>
        <v>356.10750000000002</v>
      </c>
      <c r="V18" s="666">
        <v>30</v>
      </c>
      <c r="W18" s="666">
        <f t="shared" si="9"/>
        <v>305.23500000000001</v>
      </c>
      <c r="X18" s="666">
        <v>30</v>
      </c>
      <c r="Y18" s="666">
        <f t="shared" si="10"/>
        <v>305.23500000000001</v>
      </c>
      <c r="Z18" s="666">
        <v>20</v>
      </c>
      <c r="AA18" s="666">
        <f t="shared" si="11"/>
        <v>203.49</v>
      </c>
      <c r="AB18" s="666"/>
    </row>
    <row r="19" spans="1:28" x14ac:dyDescent="0.25">
      <c r="A19" s="666" t="s">
        <v>544</v>
      </c>
      <c r="B19" s="666" t="s">
        <v>528</v>
      </c>
      <c r="C19" s="666">
        <v>3.9899999999999998</v>
      </c>
      <c r="D19" s="666">
        <v>14</v>
      </c>
      <c r="E19" s="666">
        <f t="shared" si="0"/>
        <v>55.86</v>
      </c>
      <c r="F19" s="666">
        <v>19</v>
      </c>
      <c r="G19" s="666">
        <f t="shared" si="1"/>
        <v>75.81</v>
      </c>
      <c r="H19" s="666">
        <v>13</v>
      </c>
      <c r="I19" s="666">
        <f t="shared" si="2"/>
        <v>51.87</v>
      </c>
      <c r="J19" s="666">
        <v>15</v>
      </c>
      <c r="K19" s="666">
        <f t="shared" si="3"/>
        <v>59.849999999999994</v>
      </c>
      <c r="L19" s="666">
        <v>19</v>
      </c>
      <c r="M19" s="666">
        <f t="shared" si="4"/>
        <v>75.81</v>
      </c>
      <c r="N19" s="666">
        <v>25</v>
      </c>
      <c r="O19" s="666">
        <f t="shared" si="5"/>
        <v>99.75</v>
      </c>
      <c r="P19" s="666">
        <v>25</v>
      </c>
      <c r="Q19" s="666">
        <f t="shared" si="6"/>
        <v>99.75</v>
      </c>
      <c r="R19" s="666">
        <v>19</v>
      </c>
      <c r="S19" s="666">
        <f t="shared" si="7"/>
        <v>75.81</v>
      </c>
      <c r="T19" s="666">
        <v>19</v>
      </c>
      <c r="U19" s="666">
        <f t="shared" si="8"/>
        <v>75.81</v>
      </c>
      <c r="V19" s="666">
        <v>15</v>
      </c>
      <c r="W19" s="666">
        <f t="shared" si="9"/>
        <v>59.849999999999994</v>
      </c>
      <c r="X19" s="666">
        <v>15</v>
      </c>
      <c r="Y19" s="666">
        <f t="shared" si="10"/>
        <v>59.849999999999994</v>
      </c>
      <c r="Z19" s="666">
        <v>13</v>
      </c>
      <c r="AA19" s="666">
        <f t="shared" si="11"/>
        <v>51.87</v>
      </c>
      <c r="AB19" s="666"/>
    </row>
    <row r="20" spans="1:28" x14ac:dyDescent="0.25">
      <c r="A20" s="666" t="s">
        <v>545</v>
      </c>
      <c r="B20" s="666" t="s">
        <v>528</v>
      </c>
      <c r="C20" s="666">
        <v>7.7805</v>
      </c>
      <c r="D20" s="666">
        <v>13</v>
      </c>
      <c r="E20" s="666">
        <f t="shared" si="0"/>
        <v>101.1465</v>
      </c>
      <c r="F20" s="666">
        <v>15</v>
      </c>
      <c r="G20" s="666">
        <f t="shared" si="1"/>
        <v>116.7075</v>
      </c>
      <c r="H20" s="666">
        <v>13</v>
      </c>
      <c r="I20" s="666">
        <f t="shared" si="2"/>
        <v>101.1465</v>
      </c>
      <c r="J20" s="666">
        <v>13</v>
      </c>
      <c r="K20" s="666">
        <f t="shared" si="3"/>
        <v>101.1465</v>
      </c>
      <c r="L20" s="666">
        <v>15</v>
      </c>
      <c r="M20" s="666">
        <f t="shared" si="4"/>
        <v>116.7075</v>
      </c>
      <c r="N20" s="666">
        <v>15</v>
      </c>
      <c r="O20" s="666">
        <f t="shared" si="5"/>
        <v>116.7075</v>
      </c>
      <c r="P20" s="666">
        <v>15</v>
      </c>
      <c r="Q20" s="666">
        <f t="shared" si="6"/>
        <v>116.7075</v>
      </c>
      <c r="R20" s="666">
        <v>15</v>
      </c>
      <c r="S20" s="666">
        <f t="shared" si="7"/>
        <v>116.7075</v>
      </c>
      <c r="T20" s="666">
        <v>15</v>
      </c>
      <c r="U20" s="666">
        <f t="shared" si="8"/>
        <v>116.7075</v>
      </c>
      <c r="V20" s="666">
        <v>13</v>
      </c>
      <c r="W20" s="666">
        <f t="shared" si="9"/>
        <v>101.1465</v>
      </c>
      <c r="X20" s="666">
        <v>13</v>
      </c>
      <c r="Y20" s="666">
        <f t="shared" si="10"/>
        <v>101.1465</v>
      </c>
      <c r="Z20" s="666">
        <v>12</v>
      </c>
      <c r="AA20" s="666">
        <f t="shared" si="11"/>
        <v>93.366</v>
      </c>
      <c r="AB20" s="666"/>
    </row>
    <row r="21" spans="1:28" x14ac:dyDescent="0.25">
      <c r="A21" s="666" t="s">
        <v>546</v>
      </c>
      <c r="B21" s="666" t="s">
        <v>528</v>
      </c>
      <c r="C21" s="666">
        <v>21.315000000000001</v>
      </c>
      <c r="D21" s="666">
        <v>13</v>
      </c>
      <c r="E21" s="666">
        <f t="shared" si="0"/>
        <v>277.09500000000003</v>
      </c>
      <c r="F21" s="666">
        <v>18</v>
      </c>
      <c r="G21" s="666">
        <f t="shared" si="1"/>
        <v>383.67</v>
      </c>
      <c r="H21" s="666">
        <v>13</v>
      </c>
      <c r="I21" s="666">
        <f t="shared" si="2"/>
        <v>277.09500000000003</v>
      </c>
      <c r="J21" s="666">
        <v>13</v>
      </c>
      <c r="K21" s="666">
        <f t="shared" si="3"/>
        <v>277.09500000000003</v>
      </c>
      <c r="L21" s="666">
        <v>18</v>
      </c>
      <c r="M21" s="666">
        <f t="shared" si="4"/>
        <v>383.67</v>
      </c>
      <c r="N21" s="666">
        <v>23</v>
      </c>
      <c r="O21" s="666">
        <f t="shared" si="5"/>
        <v>490.245</v>
      </c>
      <c r="P21" s="666">
        <v>23</v>
      </c>
      <c r="Q21" s="666">
        <f t="shared" si="6"/>
        <v>490.245</v>
      </c>
      <c r="R21" s="666">
        <v>18</v>
      </c>
      <c r="S21" s="666">
        <f t="shared" si="7"/>
        <v>383.67</v>
      </c>
      <c r="T21" s="666">
        <v>18</v>
      </c>
      <c r="U21" s="666">
        <f t="shared" si="8"/>
        <v>383.67</v>
      </c>
      <c r="V21" s="666">
        <v>13</v>
      </c>
      <c r="W21" s="666">
        <f t="shared" si="9"/>
        <v>277.09500000000003</v>
      </c>
      <c r="X21" s="666">
        <v>13</v>
      </c>
      <c r="Y21" s="666">
        <f t="shared" si="10"/>
        <v>277.09500000000003</v>
      </c>
      <c r="Z21" s="666">
        <v>12</v>
      </c>
      <c r="AA21" s="666">
        <f t="shared" si="11"/>
        <v>255.78000000000003</v>
      </c>
      <c r="AB21" s="666"/>
    </row>
    <row r="22" spans="1:28" x14ac:dyDescent="0.25">
      <c r="A22" s="666" t="s">
        <v>547</v>
      </c>
      <c r="B22" s="666" t="s">
        <v>528</v>
      </c>
      <c r="C22" s="666">
        <v>51.355499999999999</v>
      </c>
      <c r="D22" s="666">
        <v>11</v>
      </c>
      <c r="E22" s="666">
        <f t="shared" si="0"/>
        <v>564.91049999999996</v>
      </c>
      <c r="F22" s="666">
        <v>15</v>
      </c>
      <c r="G22" s="666">
        <f t="shared" si="1"/>
        <v>770.33249999999998</v>
      </c>
      <c r="H22" s="666">
        <v>11</v>
      </c>
      <c r="I22" s="666">
        <f t="shared" si="2"/>
        <v>564.91049999999996</v>
      </c>
      <c r="J22" s="666">
        <v>11</v>
      </c>
      <c r="K22" s="666">
        <f t="shared" si="3"/>
        <v>564.91049999999996</v>
      </c>
      <c r="L22" s="666">
        <v>15</v>
      </c>
      <c r="M22" s="666">
        <f t="shared" si="4"/>
        <v>770.33249999999998</v>
      </c>
      <c r="N22" s="666">
        <v>15</v>
      </c>
      <c r="O22" s="666">
        <f t="shared" si="5"/>
        <v>770.33249999999998</v>
      </c>
      <c r="P22" s="666">
        <v>15</v>
      </c>
      <c r="Q22" s="666">
        <f t="shared" si="6"/>
        <v>770.33249999999998</v>
      </c>
      <c r="R22" s="666">
        <v>15</v>
      </c>
      <c r="S22" s="666">
        <f t="shared" si="7"/>
        <v>770.33249999999998</v>
      </c>
      <c r="T22" s="666">
        <v>15</v>
      </c>
      <c r="U22" s="666">
        <f t="shared" si="8"/>
        <v>770.33249999999998</v>
      </c>
      <c r="V22" s="666">
        <v>11</v>
      </c>
      <c r="W22" s="666">
        <f t="shared" si="9"/>
        <v>564.91049999999996</v>
      </c>
      <c r="X22" s="666">
        <v>11</v>
      </c>
      <c r="Y22" s="666">
        <f t="shared" si="10"/>
        <v>564.91049999999996</v>
      </c>
      <c r="Z22" s="666">
        <v>11</v>
      </c>
      <c r="AA22" s="666">
        <f t="shared" si="11"/>
        <v>564.91049999999996</v>
      </c>
      <c r="AB22" s="666"/>
    </row>
    <row r="23" spans="1:28" x14ac:dyDescent="0.25">
      <c r="A23" s="666" t="s">
        <v>548</v>
      </c>
      <c r="B23" s="666" t="s">
        <v>528</v>
      </c>
      <c r="C23" s="666">
        <v>1.869</v>
      </c>
      <c r="D23" s="666">
        <v>25</v>
      </c>
      <c r="E23" s="666">
        <f t="shared" si="0"/>
        <v>46.725000000000001</v>
      </c>
      <c r="F23" s="666">
        <v>20</v>
      </c>
      <c r="G23" s="666">
        <f t="shared" si="1"/>
        <v>37.380000000000003</v>
      </c>
      <c r="H23" s="666">
        <v>25</v>
      </c>
      <c r="I23" s="666">
        <f t="shared" si="2"/>
        <v>46.725000000000001</v>
      </c>
      <c r="J23" s="666">
        <v>25</v>
      </c>
      <c r="K23" s="666">
        <f t="shared" si="3"/>
        <v>46.725000000000001</v>
      </c>
      <c r="L23" s="666">
        <v>20</v>
      </c>
      <c r="M23" s="666">
        <f t="shared" si="4"/>
        <v>37.380000000000003</v>
      </c>
      <c r="N23" s="666">
        <v>25</v>
      </c>
      <c r="O23" s="666">
        <f t="shared" si="5"/>
        <v>46.725000000000001</v>
      </c>
      <c r="P23" s="666">
        <v>25</v>
      </c>
      <c r="Q23" s="666">
        <f t="shared" si="6"/>
        <v>46.725000000000001</v>
      </c>
      <c r="R23" s="666">
        <v>20</v>
      </c>
      <c r="S23" s="666">
        <f t="shared" si="7"/>
        <v>37.380000000000003</v>
      </c>
      <c r="T23" s="666">
        <v>20</v>
      </c>
      <c r="U23" s="666">
        <f t="shared" si="8"/>
        <v>37.380000000000003</v>
      </c>
      <c r="V23" s="666">
        <v>25</v>
      </c>
      <c r="W23" s="666">
        <f t="shared" si="9"/>
        <v>46.725000000000001</v>
      </c>
      <c r="X23" s="666">
        <v>25</v>
      </c>
      <c r="Y23" s="666">
        <f t="shared" si="10"/>
        <v>46.725000000000001</v>
      </c>
      <c r="Z23" s="666">
        <v>24</v>
      </c>
      <c r="AA23" s="666">
        <f t="shared" si="11"/>
        <v>44.856000000000002</v>
      </c>
      <c r="AB23" s="666"/>
    </row>
    <row r="24" spans="1:28" x14ac:dyDescent="0.25">
      <c r="A24" s="666" t="s">
        <v>549</v>
      </c>
      <c r="B24" s="666" t="s">
        <v>528</v>
      </c>
      <c r="C24" s="666">
        <v>6.1110000000000007</v>
      </c>
      <c r="D24" s="666">
        <v>6</v>
      </c>
      <c r="E24" s="666">
        <f t="shared" si="0"/>
        <v>36.666000000000004</v>
      </c>
      <c r="F24" s="666">
        <v>12</v>
      </c>
      <c r="G24" s="666">
        <f t="shared" si="1"/>
        <v>73.332000000000008</v>
      </c>
      <c r="H24" s="666">
        <v>6</v>
      </c>
      <c r="I24" s="666">
        <f t="shared" si="2"/>
        <v>36.666000000000004</v>
      </c>
      <c r="J24" s="666">
        <v>6</v>
      </c>
      <c r="K24" s="666">
        <f t="shared" si="3"/>
        <v>36.666000000000004</v>
      </c>
      <c r="L24" s="666">
        <v>12</v>
      </c>
      <c r="M24" s="666">
        <f t="shared" si="4"/>
        <v>73.332000000000008</v>
      </c>
      <c r="N24" s="666">
        <v>17</v>
      </c>
      <c r="O24" s="666">
        <f t="shared" si="5"/>
        <v>103.88700000000001</v>
      </c>
      <c r="P24" s="666">
        <v>17</v>
      </c>
      <c r="Q24" s="666">
        <f t="shared" si="6"/>
        <v>103.88700000000001</v>
      </c>
      <c r="R24" s="666">
        <v>12</v>
      </c>
      <c r="S24" s="666">
        <f t="shared" si="7"/>
        <v>73.332000000000008</v>
      </c>
      <c r="T24" s="666">
        <v>12</v>
      </c>
      <c r="U24" s="666">
        <f t="shared" si="8"/>
        <v>73.332000000000008</v>
      </c>
      <c r="V24" s="666">
        <v>6</v>
      </c>
      <c r="W24" s="666">
        <f t="shared" si="9"/>
        <v>36.666000000000004</v>
      </c>
      <c r="X24" s="666">
        <v>6</v>
      </c>
      <c r="Y24" s="666">
        <f t="shared" si="10"/>
        <v>36.666000000000004</v>
      </c>
      <c r="Z24" s="666">
        <v>6</v>
      </c>
      <c r="AA24" s="666">
        <f t="shared" si="11"/>
        <v>36.666000000000004</v>
      </c>
      <c r="AB24" s="666"/>
    </row>
    <row r="25" spans="1:28" x14ac:dyDescent="0.25">
      <c r="A25" s="666" t="s">
        <v>955</v>
      </c>
      <c r="B25" s="666" t="s">
        <v>528</v>
      </c>
      <c r="C25" s="666">
        <v>1.9215</v>
      </c>
      <c r="D25" s="666">
        <v>25</v>
      </c>
      <c r="E25" s="666">
        <f t="shared" si="0"/>
        <v>48.037500000000001</v>
      </c>
      <c r="F25" s="666">
        <v>16</v>
      </c>
      <c r="G25" s="666">
        <f t="shared" si="1"/>
        <v>30.744</v>
      </c>
      <c r="H25" s="666">
        <v>12</v>
      </c>
      <c r="I25" s="666">
        <f t="shared" si="2"/>
        <v>23.058</v>
      </c>
      <c r="J25" s="666"/>
      <c r="K25" s="666">
        <f t="shared" si="3"/>
        <v>0</v>
      </c>
      <c r="L25" s="666">
        <v>16</v>
      </c>
      <c r="M25" s="666">
        <f t="shared" si="4"/>
        <v>30.744</v>
      </c>
      <c r="N25" s="666">
        <v>10</v>
      </c>
      <c r="O25" s="666">
        <f t="shared" si="5"/>
        <v>19.215</v>
      </c>
      <c r="P25" s="666">
        <v>10</v>
      </c>
      <c r="Q25" s="666"/>
      <c r="R25" s="666">
        <v>16</v>
      </c>
      <c r="S25" s="666"/>
      <c r="T25" s="666">
        <v>16</v>
      </c>
      <c r="U25" s="666"/>
      <c r="V25" s="666"/>
      <c r="W25" s="666"/>
      <c r="X25" s="666"/>
      <c r="Y25" s="666"/>
      <c r="Z25" s="666"/>
      <c r="AA25" s="666"/>
      <c r="AB25" s="666"/>
    </row>
    <row r="26" spans="1:28" x14ac:dyDescent="0.25">
      <c r="A26" s="666" t="s">
        <v>550</v>
      </c>
      <c r="B26" s="666" t="s">
        <v>528</v>
      </c>
      <c r="C26" s="666">
        <v>7.35</v>
      </c>
      <c r="D26" s="666">
        <v>31</v>
      </c>
      <c r="E26" s="666">
        <f t="shared" si="0"/>
        <v>227.85</v>
      </c>
      <c r="F26" s="666">
        <v>42</v>
      </c>
      <c r="G26" s="666">
        <f t="shared" si="1"/>
        <v>308.7</v>
      </c>
      <c r="H26" s="666">
        <v>31</v>
      </c>
      <c r="I26" s="666">
        <f t="shared" si="2"/>
        <v>227.85</v>
      </c>
      <c r="J26" s="666">
        <v>42</v>
      </c>
      <c r="K26" s="666">
        <f t="shared" si="3"/>
        <v>308.7</v>
      </c>
      <c r="L26" s="666">
        <v>42</v>
      </c>
      <c r="M26" s="666">
        <f t="shared" si="4"/>
        <v>308.7</v>
      </c>
      <c r="N26" s="666">
        <v>60</v>
      </c>
      <c r="O26" s="666">
        <f t="shared" si="5"/>
        <v>441</v>
      </c>
      <c r="P26" s="666">
        <v>60</v>
      </c>
      <c r="Q26" s="666">
        <f t="shared" ref="Q26:Q62" si="12">P26*C26</f>
        <v>441</v>
      </c>
      <c r="R26" s="666">
        <v>42</v>
      </c>
      <c r="S26" s="666">
        <f t="shared" ref="S26:S62" si="13">R26*C26</f>
        <v>308.7</v>
      </c>
      <c r="T26" s="666">
        <v>42</v>
      </c>
      <c r="U26" s="666">
        <f t="shared" ref="U26:U62" si="14">T26*C26</f>
        <v>308.7</v>
      </c>
      <c r="V26" s="666">
        <v>42</v>
      </c>
      <c r="W26" s="666">
        <f t="shared" ref="W26:W62" si="15">V26*C26</f>
        <v>308.7</v>
      </c>
      <c r="X26" s="666">
        <v>42</v>
      </c>
      <c r="Y26" s="666">
        <f t="shared" ref="Y26:Y62" si="16">X26*C26</f>
        <v>308.7</v>
      </c>
      <c r="Z26" s="666">
        <v>30</v>
      </c>
      <c r="AA26" s="666">
        <f t="shared" ref="AA26:AA62" si="17">Z26*C26</f>
        <v>220.5</v>
      </c>
      <c r="AB26" s="666"/>
    </row>
    <row r="27" spans="1:28" x14ac:dyDescent="0.25">
      <c r="A27" s="666" t="s">
        <v>551</v>
      </c>
      <c r="B27" s="666" t="s">
        <v>528</v>
      </c>
      <c r="C27" s="666">
        <v>21.630000000000003</v>
      </c>
      <c r="D27" s="666">
        <v>3</v>
      </c>
      <c r="E27" s="666">
        <f t="shared" si="0"/>
        <v>64.890000000000015</v>
      </c>
      <c r="F27" s="666">
        <v>4</v>
      </c>
      <c r="G27" s="666">
        <f t="shared" si="1"/>
        <v>86.52000000000001</v>
      </c>
      <c r="H27" s="666">
        <v>2</v>
      </c>
      <c r="I27" s="666">
        <f t="shared" si="2"/>
        <v>43.260000000000005</v>
      </c>
      <c r="J27" s="666">
        <v>4</v>
      </c>
      <c r="K27" s="666">
        <f t="shared" si="3"/>
        <v>86.52000000000001</v>
      </c>
      <c r="L27" s="666">
        <v>4</v>
      </c>
      <c r="M27" s="666">
        <f t="shared" si="4"/>
        <v>86.52000000000001</v>
      </c>
      <c r="N27" s="666">
        <v>3</v>
      </c>
      <c r="O27" s="666">
        <f t="shared" si="5"/>
        <v>64.890000000000015</v>
      </c>
      <c r="P27" s="666">
        <v>3</v>
      </c>
      <c r="Q27" s="666">
        <f t="shared" si="12"/>
        <v>64.890000000000015</v>
      </c>
      <c r="R27" s="666">
        <v>4</v>
      </c>
      <c r="S27" s="666">
        <f t="shared" si="13"/>
        <v>86.52000000000001</v>
      </c>
      <c r="T27" s="666">
        <v>4</v>
      </c>
      <c r="U27" s="666">
        <f t="shared" si="14"/>
        <v>86.52000000000001</v>
      </c>
      <c r="V27" s="666">
        <v>4</v>
      </c>
      <c r="W27" s="666">
        <f t="shared" si="15"/>
        <v>86.52000000000001</v>
      </c>
      <c r="X27" s="666">
        <v>4</v>
      </c>
      <c r="Y27" s="666">
        <f t="shared" si="16"/>
        <v>86.52000000000001</v>
      </c>
      <c r="Z27" s="666">
        <v>2</v>
      </c>
      <c r="AA27" s="666">
        <f t="shared" si="17"/>
        <v>43.260000000000005</v>
      </c>
      <c r="AB27" s="666"/>
    </row>
    <row r="28" spans="1:28" x14ac:dyDescent="0.25">
      <c r="A28" s="666" t="s">
        <v>552</v>
      </c>
      <c r="B28" s="666" t="s">
        <v>532</v>
      </c>
      <c r="C28" s="666">
        <v>10.636500000000002</v>
      </c>
      <c r="D28" s="666">
        <v>41</v>
      </c>
      <c r="E28" s="666">
        <f t="shared" si="0"/>
        <v>436.09650000000005</v>
      </c>
      <c r="F28" s="666">
        <v>50</v>
      </c>
      <c r="G28" s="666">
        <f t="shared" si="1"/>
        <v>531.82500000000005</v>
      </c>
      <c r="H28" s="666">
        <v>41</v>
      </c>
      <c r="I28" s="666">
        <f t="shared" si="2"/>
        <v>436.09650000000005</v>
      </c>
      <c r="J28" s="666">
        <v>45</v>
      </c>
      <c r="K28" s="666">
        <f t="shared" si="3"/>
        <v>478.6425000000001</v>
      </c>
      <c r="L28" s="666">
        <v>50</v>
      </c>
      <c r="M28" s="666">
        <f t="shared" si="4"/>
        <v>531.82500000000005</v>
      </c>
      <c r="N28" s="666">
        <v>60</v>
      </c>
      <c r="O28" s="666">
        <f t="shared" si="5"/>
        <v>638.19000000000005</v>
      </c>
      <c r="P28" s="666">
        <v>60</v>
      </c>
      <c r="Q28" s="666">
        <f t="shared" si="12"/>
        <v>638.19000000000005</v>
      </c>
      <c r="R28" s="666">
        <v>50</v>
      </c>
      <c r="S28" s="666">
        <f t="shared" si="13"/>
        <v>531.82500000000005</v>
      </c>
      <c r="T28" s="666">
        <v>50</v>
      </c>
      <c r="U28" s="666">
        <f t="shared" si="14"/>
        <v>531.82500000000005</v>
      </c>
      <c r="V28" s="666">
        <v>45</v>
      </c>
      <c r="W28" s="666">
        <f t="shared" si="15"/>
        <v>478.6425000000001</v>
      </c>
      <c r="X28" s="666">
        <v>45</v>
      </c>
      <c r="Y28" s="666">
        <f t="shared" si="16"/>
        <v>478.6425000000001</v>
      </c>
      <c r="Z28" s="666">
        <v>39</v>
      </c>
      <c r="AA28" s="666">
        <f t="shared" si="17"/>
        <v>414.82350000000008</v>
      </c>
      <c r="AB28" s="666"/>
    </row>
    <row r="29" spans="1:28" x14ac:dyDescent="0.25">
      <c r="A29" s="666" t="s">
        <v>553</v>
      </c>
      <c r="B29" s="666" t="s">
        <v>528</v>
      </c>
      <c r="C29" s="666">
        <v>9.7859999999999996</v>
      </c>
      <c r="D29" s="666">
        <v>4</v>
      </c>
      <c r="E29" s="666">
        <f t="shared" si="0"/>
        <v>39.143999999999998</v>
      </c>
      <c r="F29" s="666">
        <v>7</v>
      </c>
      <c r="G29" s="666">
        <f t="shared" si="1"/>
        <v>68.501999999999995</v>
      </c>
      <c r="H29" s="666">
        <v>3</v>
      </c>
      <c r="I29" s="666">
        <f t="shared" si="2"/>
        <v>29.357999999999997</v>
      </c>
      <c r="J29" s="666">
        <v>2</v>
      </c>
      <c r="K29" s="666">
        <f t="shared" si="3"/>
        <v>19.571999999999999</v>
      </c>
      <c r="L29" s="666">
        <v>7</v>
      </c>
      <c r="M29" s="666">
        <f t="shared" si="4"/>
        <v>68.501999999999995</v>
      </c>
      <c r="N29" s="666">
        <v>6</v>
      </c>
      <c r="O29" s="666">
        <f t="shared" si="5"/>
        <v>58.715999999999994</v>
      </c>
      <c r="P29" s="666">
        <v>6</v>
      </c>
      <c r="Q29" s="666">
        <f t="shared" si="12"/>
        <v>58.715999999999994</v>
      </c>
      <c r="R29" s="666">
        <v>7</v>
      </c>
      <c r="S29" s="666">
        <f t="shared" si="13"/>
        <v>68.501999999999995</v>
      </c>
      <c r="T29" s="666">
        <v>7</v>
      </c>
      <c r="U29" s="666">
        <f t="shared" si="14"/>
        <v>68.501999999999995</v>
      </c>
      <c r="V29" s="666">
        <v>2</v>
      </c>
      <c r="W29" s="666">
        <f t="shared" si="15"/>
        <v>19.571999999999999</v>
      </c>
      <c r="X29" s="666">
        <v>2</v>
      </c>
      <c r="Y29" s="666">
        <f t="shared" si="16"/>
        <v>19.571999999999999</v>
      </c>
      <c r="Z29" s="666">
        <v>3</v>
      </c>
      <c r="AA29" s="666">
        <f t="shared" si="17"/>
        <v>29.357999999999997</v>
      </c>
      <c r="AB29" s="666"/>
    </row>
    <row r="30" spans="1:28" x14ac:dyDescent="0.25">
      <c r="A30" s="666" t="s">
        <v>956</v>
      </c>
      <c r="B30" s="666" t="s">
        <v>532</v>
      </c>
      <c r="C30" s="666">
        <v>3.3075000000000001</v>
      </c>
      <c r="D30" s="666">
        <v>20</v>
      </c>
      <c r="E30" s="666">
        <f t="shared" si="0"/>
        <v>66.150000000000006</v>
      </c>
      <c r="F30" s="666">
        <v>35</v>
      </c>
      <c r="G30" s="666">
        <f t="shared" si="1"/>
        <v>115.7625</v>
      </c>
      <c r="H30" s="666">
        <v>21</v>
      </c>
      <c r="I30" s="666">
        <f t="shared" si="2"/>
        <v>69.457499999999996</v>
      </c>
      <c r="J30" s="666">
        <v>20</v>
      </c>
      <c r="K30" s="666">
        <f t="shared" si="3"/>
        <v>66.150000000000006</v>
      </c>
      <c r="L30" s="666">
        <v>35</v>
      </c>
      <c r="M30" s="666">
        <f t="shared" si="4"/>
        <v>115.7625</v>
      </c>
      <c r="N30" s="666">
        <v>35</v>
      </c>
      <c r="O30" s="666">
        <f t="shared" si="5"/>
        <v>115.7625</v>
      </c>
      <c r="P30" s="666">
        <v>35</v>
      </c>
      <c r="Q30" s="666">
        <f t="shared" si="12"/>
        <v>115.7625</v>
      </c>
      <c r="R30" s="666">
        <v>35</v>
      </c>
      <c r="S30" s="666">
        <f t="shared" si="13"/>
        <v>115.7625</v>
      </c>
      <c r="T30" s="666">
        <v>35</v>
      </c>
      <c r="U30" s="666">
        <f t="shared" si="14"/>
        <v>115.7625</v>
      </c>
      <c r="V30" s="666">
        <v>20</v>
      </c>
      <c r="W30" s="666">
        <f t="shared" si="15"/>
        <v>66.150000000000006</v>
      </c>
      <c r="X30" s="666">
        <v>20</v>
      </c>
      <c r="Y30" s="666">
        <f t="shared" si="16"/>
        <v>66.150000000000006</v>
      </c>
      <c r="Z30" s="666">
        <v>20</v>
      </c>
      <c r="AA30" s="666">
        <f t="shared" si="17"/>
        <v>66.150000000000006</v>
      </c>
      <c r="AB30" s="666"/>
    </row>
    <row r="31" spans="1:28" x14ac:dyDescent="0.25">
      <c r="A31" s="666" t="s">
        <v>554</v>
      </c>
      <c r="B31" s="666" t="s">
        <v>532</v>
      </c>
      <c r="C31" s="666">
        <v>3.7275</v>
      </c>
      <c r="D31" s="666">
        <v>21</v>
      </c>
      <c r="E31" s="666">
        <f t="shared" si="0"/>
        <v>78.277500000000003</v>
      </c>
      <c r="F31" s="666">
        <v>35</v>
      </c>
      <c r="G31" s="666">
        <f t="shared" si="1"/>
        <v>130.46250000000001</v>
      </c>
      <c r="H31" s="666">
        <v>21</v>
      </c>
      <c r="I31" s="666">
        <f t="shared" si="2"/>
        <v>78.277500000000003</v>
      </c>
      <c r="J31" s="666">
        <v>21</v>
      </c>
      <c r="K31" s="666">
        <f t="shared" si="3"/>
        <v>78.277500000000003</v>
      </c>
      <c r="L31" s="666">
        <v>35</v>
      </c>
      <c r="M31" s="666">
        <f t="shared" si="4"/>
        <v>130.46250000000001</v>
      </c>
      <c r="N31" s="666">
        <v>25</v>
      </c>
      <c r="O31" s="666">
        <f t="shared" si="5"/>
        <v>93.1875</v>
      </c>
      <c r="P31" s="666">
        <v>25</v>
      </c>
      <c r="Q31" s="666">
        <f t="shared" si="12"/>
        <v>93.1875</v>
      </c>
      <c r="R31" s="666">
        <v>35</v>
      </c>
      <c r="S31" s="666">
        <f t="shared" si="13"/>
        <v>130.46250000000001</v>
      </c>
      <c r="T31" s="666">
        <v>35</v>
      </c>
      <c r="U31" s="666">
        <f t="shared" si="14"/>
        <v>130.46250000000001</v>
      </c>
      <c r="V31" s="666">
        <v>21</v>
      </c>
      <c r="W31" s="666">
        <f t="shared" si="15"/>
        <v>78.277500000000003</v>
      </c>
      <c r="X31" s="666">
        <v>21</v>
      </c>
      <c r="Y31" s="666">
        <f t="shared" si="16"/>
        <v>78.277500000000003</v>
      </c>
      <c r="Z31" s="666">
        <v>20</v>
      </c>
      <c r="AA31" s="666">
        <f t="shared" si="17"/>
        <v>74.55</v>
      </c>
      <c r="AB31" s="666"/>
    </row>
    <row r="32" spans="1:28" x14ac:dyDescent="0.25">
      <c r="A32" s="666" t="s">
        <v>555</v>
      </c>
      <c r="B32" s="666" t="s">
        <v>532</v>
      </c>
      <c r="C32" s="666">
        <v>11.7075</v>
      </c>
      <c r="D32" s="666">
        <v>17</v>
      </c>
      <c r="E32" s="666">
        <f t="shared" si="0"/>
        <v>199.0275</v>
      </c>
      <c r="F32" s="666">
        <v>25</v>
      </c>
      <c r="G32" s="666">
        <f t="shared" si="1"/>
        <v>292.6875</v>
      </c>
      <c r="H32" s="666">
        <v>17</v>
      </c>
      <c r="I32" s="666">
        <f t="shared" si="2"/>
        <v>199.0275</v>
      </c>
      <c r="J32" s="666">
        <v>25</v>
      </c>
      <c r="K32" s="666">
        <f t="shared" si="3"/>
        <v>292.6875</v>
      </c>
      <c r="L32" s="666">
        <v>25</v>
      </c>
      <c r="M32" s="666">
        <f t="shared" si="4"/>
        <v>292.6875</v>
      </c>
      <c r="N32" s="666">
        <v>25</v>
      </c>
      <c r="O32" s="666">
        <f t="shared" si="5"/>
        <v>292.6875</v>
      </c>
      <c r="P32" s="666">
        <v>25</v>
      </c>
      <c r="Q32" s="666">
        <f t="shared" si="12"/>
        <v>292.6875</v>
      </c>
      <c r="R32" s="666">
        <v>25</v>
      </c>
      <c r="S32" s="666">
        <f t="shared" si="13"/>
        <v>292.6875</v>
      </c>
      <c r="T32" s="666">
        <v>25</v>
      </c>
      <c r="U32" s="666">
        <f t="shared" si="14"/>
        <v>292.6875</v>
      </c>
      <c r="V32" s="666">
        <v>25</v>
      </c>
      <c r="W32" s="666">
        <f t="shared" si="15"/>
        <v>292.6875</v>
      </c>
      <c r="X32" s="666">
        <v>25</v>
      </c>
      <c r="Y32" s="666">
        <f t="shared" si="16"/>
        <v>292.6875</v>
      </c>
      <c r="Z32" s="666">
        <v>16</v>
      </c>
      <c r="AA32" s="666">
        <f t="shared" si="17"/>
        <v>187.32</v>
      </c>
      <c r="AB32" s="666"/>
    </row>
    <row r="33" spans="1:28" x14ac:dyDescent="0.25">
      <c r="A33" s="666" t="s">
        <v>556</v>
      </c>
      <c r="B33" s="666" t="s">
        <v>532</v>
      </c>
      <c r="C33" s="666">
        <v>2.7090000000000001</v>
      </c>
      <c r="D33" s="666">
        <v>3</v>
      </c>
      <c r="E33" s="666">
        <f t="shared" si="0"/>
        <v>8.1270000000000007</v>
      </c>
      <c r="F33" s="666">
        <v>5</v>
      </c>
      <c r="G33" s="666">
        <f t="shared" si="1"/>
        <v>13.545</v>
      </c>
      <c r="H33" s="666">
        <v>3</v>
      </c>
      <c r="I33" s="666">
        <f t="shared" si="2"/>
        <v>8.1270000000000007</v>
      </c>
      <c r="J33" s="666">
        <v>5</v>
      </c>
      <c r="K33" s="666">
        <f t="shared" si="3"/>
        <v>13.545</v>
      </c>
      <c r="L33" s="666">
        <v>5</v>
      </c>
      <c r="M33" s="666">
        <f t="shared" si="4"/>
        <v>13.545</v>
      </c>
      <c r="N33" s="666">
        <v>2</v>
      </c>
      <c r="O33" s="666">
        <f t="shared" si="5"/>
        <v>5.4180000000000001</v>
      </c>
      <c r="P33" s="666">
        <v>2</v>
      </c>
      <c r="Q33" s="666">
        <f t="shared" si="12"/>
        <v>5.4180000000000001</v>
      </c>
      <c r="R33" s="666">
        <v>5</v>
      </c>
      <c r="S33" s="666">
        <f t="shared" si="13"/>
        <v>13.545</v>
      </c>
      <c r="T33" s="666">
        <v>5</v>
      </c>
      <c r="U33" s="666">
        <f t="shared" si="14"/>
        <v>13.545</v>
      </c>
      <c r="V33" s="666">
        <v>5</v>
      </c>
      <c r="W33" s="666">
        <f t="shared" si="15"/>
        <v>13.545</v>
      </c>
      <c r="X33" s="666">
        <v>5</v>
      </c>
      <c r="Y33" s="666">
        <f t="shared" si="16"/>
        <v>13.545</v>
      </c>
      <c r="Z33" s="666">
        <v>3</v>
      </c>
      <c r="AA33" s="666">
        <f t="shared" si="17"/>
        <v>8.1270000000000007</v>
      </c>
      <c r="AB33" s="666"/>
    </row>
    <row r="34" spans="1:28" x14ac:dyDescent="0.25">
      <c r="A34" s="666" t="s">
        <v>557</v>
      </c>
      <c r="B34" s="666" t="s">
        <v>532</v>
      </c>
      <c r="C34" s="666">
        <v>2.7090000000000001</v>
      </c>
      <c r="D34" s="666">
        <v>24</v>
      </c>
      <c r="E34" s="666">
        <f t="shared" ref="E34:E62" si="18">C34*D34</f>
        <v>65.016000000000005</v>
      </c>
      <c r="F34" s="666">
        <v>35</v>
      </c>
      <c r="G34" s="666">
        <f t="shared" ref="G34:G62" si="19">F34*C34</f>
        <v>94.814999999999998</v>
      </c>
      <c r="H34" s="666">
        <v>20</v>
      </c>
      <c r="I34" s="666">
        <f t="shared" ref="I34:I62" si="20">H34*C34</f>
        <v>54.18</v>
      </c>
      <c r="J34" s="666">
        <v>35</v>
      </c>
      <c r="K34" s="666">
        <f t="shared" ref="K34:K62" si="21">J34*C34</f>
        <v>94.814999999999998</v>
      </c>
      <c r="L34" s="666">
        <v>35</v>
      </c>
      <c r="M34" s="666">
        <f t="shared" ref="M34:M62" si="22">L34*C34</f>
        <v>94.814999999999998</v>
      </c>
      <c r="N34" s="666">
        <v>35</v>
      </c>
      <c r="O34" s="666">
        <f t="shared" ref="O34:O62" si="23">N34*C34</f>
        <v>94.814999999999998</v>
      </c>
      <c r="P34" s="666">
        <v>35</v>
      </c>
      <c r="Q34" s="666">
        <f t="shared" si="12"/>
        <v>94.814999999999998</v>
      </c>
      <c r="R34" s="666">
        <v>35</v>
      </c>
      <c r="S34" s="666">
        <f t="shared" si="13"/>
        <v>94.814999999999998</v>
      </c>
      <c r="T34" s="666">
        <v>35</v>
      </c>
      <c r="U34" s="666">
        <f t="shared" si="14"/>
        <v>94.814999999999998</v>
      </c>
      <c r="V34" s="666">
        <v>35</v>
      </c>
      <c r="W34" s="666">
        <f t="shared" si="15"/>
        <v>94.814999999999998</v>
      </c>
      <c r="X34" s="666">
        <v>35</v>
      </c>
      <c r="Y34" s="666">
        <f t="shared" si="16"/>
        <v>94.814999999999998</v>
      </c>
      <c r="Z34" s="666">
        <v>22</v>
      </c>
      <c r="AA34" s="666">
        <f t="shared" si="17"/>
        <v>59.597999999999999</v>
      </c>
      <c r="AB34" s="666"/>
    </row>
    <row r="35" spans="1:28" x14ac:dyDescent="0.25">
      <c r="A35" s="666" t="s">
        <v>558</v>
      </c>
      <c r="B35" s="666" t="s">
        <v>528</v>
      </c>
      <c r="C35" s="666">
        <v>5.5125000000000002</v>
      </c>
      <c r="D35" s="666">
        <v>7</v>
      </c>
      <c r="E35" s="666">
        <f t="shared" si="18"/>
        <v>38.587499999999999</v>
      </c>
      <c r="F35" s="666">
        <v>0</v>
      </c>
      <c r="G35" s="666">
        <f t="shared" si="19"/>
        <v>0</v>
      </c>
      <c r="H35" s="666">
        <v>0</v>
      </c>
      <c r="I35" s="666">
        <f t="shared" si="20"/>
        <v>0</v>
      </c>
      <c r="J35" s="666">
        <v>0</v>
      </c>
      <c r="K35" s="666">
        <f t="shared" si="21"/>
        <v>0</v>
      </c>
      <c r="L35" s="666">
        <v>0</v>
      </c>
      <c r="M35" s="666">
        <f t="shared" si="22"/>
        <v>0</v>
      </c>
      <c r="N35" s="666">
        <v>0</v>
      </c>
      <c r="O35" s="666">
        <f t="shared" si="23"/>
        <v>0</v>
      </c>
      <c r="P35" s="666">
        <v>0</v>
      </c>
      <c r="Q35" s="666">
        <f t="shared" si="12"/>
        <v>0</v>
      </c>
      <c r="R35" s="666">
        <v>0</v>
      </c>
      <c r="S35" s="666">
        <f t="shared" si="13"/>
        <v>0</v>
      </c>
      <c r="T35" s="666">
        <v>0</v>
      </c>
      <c r="U35" s="666">
        <f t="shared" si="14"/>
        <v>0</v>
      </c>
      <c r="V35" s="666">
        <v>0</v>
      </c>
      <c r="W35" s="666">
        <f t="shared" si="15"/>
        <v>0</v>
      </c>
      <c r="X35" s="666">
        <v>0</v>
      </c>
      <c r="Y35" s="666">
        <f t="shared" si="16"/>
        <v>0</v>
      </c>
      <c r="Z35" s="666"/>
      <c r="AA35" s="666">
        <f t="shared" si="17"/>
        <v>0</v>
      </c>
      <c r="AB35" s="666"/>
    </row>
    <row r="36" spans="1:28" x14ac:dyDescent="0.25">
      <c r="A36" s="666" t="s">
        <v>559</v>
      </c>
      <c r="B36" s="666" t="s">
        <v>528</v>
      </c>
      <c r="C36" s="666">
        <v>2.2155</v>
      </c>
      <c r="D36" s="666">
        <v>24</v>
      </c>
      <c r="E36" s="666">
        <f t="shared" si="18"/>
        <v>53.171999999999997</v>
      </c>
      <c r="F36" s="666">
        <v>35</v>
      </c>
      <c r="G36" s="666">
        <f t="shared" si="19"/>
        <v>77.542500000000004</v>
      </c>
      <c r="H36" s="666">
        <v>19</v>
      </c>
      <c r="I36" s="666">
        <f t="shared" si="20"/>
        <v>42.094500000000004</v>
      </c>
      <c r="J36" s="666">
        <v>21</v>
      </c>
      <c r="K36" s="666">
        <f t="shared" si="21"/>
        <v>46.525500000000001</v>
      </c>
      <c r="L36" s="666">
        <v>35</v>
      </c>
      <c r="M36" s="666">
        <f t="shared" si="22"/>
        <v>77.542500000000004</v>
      </c>
      <c r="N36" s="666">
        <v>35</v>
      </c>
      <c r="O36" s="666">
        <f t="shared" si="23"/>
        <v>77.542500000000004</v>
      </c>
      <c r="P36" s="666">
        <v>35</v>
      </c>
      <c r="Q36" s="666">
        <f t="shared" si="12"/>
        <v>77.542500000000004</v>
      </c>
      <c r="R36" s="666">
        <v>35</v>
      </c>
      <c r="S36" s="666">
        <f t="shared" si="13"/>
        <v>77.542500000000004</v>
      </c>
      <c r="T36" s="666">
        <v>35</v>
      </c>
      <c r="U36" s="666">
        <f t="shared" si="14"/>
        <v>77.542500000000004</v>
      </c>
      <c r="V36" s="666">
        <v>21</v>
      </c>
      <c r="W36" s="666">
        <f t="shared" si="15"/>
        <v>46.525500000000001</v>
      </c>
      <c r="X36" s="666">
        <v>21</v>
      </c>
      <c r="Y36" s="666">
        <f t="shared" si="16"/>
        <v>46.525500000000001</v>
      </c>
      <c r="Z36" s="666">
        <v>24</v>
      </c>
      <c r="AA36" s="666">
        <f t="shared" si="17"/>
        <v>53.171999999999997</v>
      </c>
      <c r="AB36" s="666"/>
    </row>
    <row r="37" spans="1:28" x14ac:dyDescent="0.25">
      <c r="A37" s="666" t="s">
        <v>957</v>
      </c>
      <c r="B37" s="666" t="s">
        <v>528</v>
      </c>
      <c r="C37" s="666">
        <v>8.9250000000000007</v>
      </c>
      <c r="D37" s="666">
        <v>12</v>
      </c>
      <c r="E37" s="666">
        <f t="shared" si="18"/>
        <v>107.10000000000001</v>
      </c>
      <c r="F37" s="666">
        <v>25</v>
      </c>
      <c r="G37" s="666">
        <f t="shared" si="19"/>
        <v>223.12500000000003</v>
      </c>
      <c r="H37" s="666">
        <v>10</v>
      </c>
      <c r="I37" s="666">
        <f t="shared" si="20"/>
        <v>89.25</v>
      </c>
      <c r="J37" s="666">
        <v>10</v>
      </c>
      <c r="K37" s="666">
        <f t="shared" si="21"/>
        <v>89.25</v>
      </c>
      <c r="L37" s="666">
        <v>25</v>
      </c>
      <c r="M37" s="666">
        <f t="shared" si="22"/>
        <v>223.12500000000003</v>
      </c>
      <c r="N37" s="666">
        <v>10</v>
      </c>
      <c r="O37" s="666">
        <f t="shared" si="23"/>
        <v>89.25</v>
      </c>
      <c r="P37" s="666">
        <v>10</v>
      </c>
      <c r="Q37" s="666">
        <f t="shared" si="12"/>
        <v>89.25</v>
      </c>
      <c r="R37" s="666">
        <v>25</v>
      </c>
      <c r="S37" s="666">
        <f t="shared" si="13"/>
        <v>223.12500000000003</v>
      </c>
      <c r="T37" s="666">
        <v>25</v>
      </c>
      <c r="U37" s="666">
        <f t="shared" si="14"/>
        <v>223.12500000000003</v>
      </c>
      <c r="V37" s="666">
        <v>10</v>
      </c>
      <c r="W37" s="666">
        <f t="shared" si="15"/>
        <v>89.25</v>
      </c>
      <c r="X37" s="666">
        <v>10</v>
      </c>
      <c r="Y37" s="666">
        <f t="shared" si="16"/>
        <v>89.25</v>
      </c>
      <c r="Z37" s="666">
        <v>24</v>
      </c>
      <c r="AA37" s="666">
        <f t="shared" si="17"/>
        <v>214.20000000000002</v>
      </c>
      <c r="AB37" s="666"/>
    </row>
    <row r="38" spans="1:28" x14ac:dyDescent="0.25">
      <c r="A38" s="666" t="s">
        <v>958</v>
      </c>
      <c r="B38" s="666" t="s">
        <v>528</v>
      </c>
      <c r="C38" s="666">
        <v>3.1395000000000004</v>
      </c>
      <c r="D38" s="666">
        <v>12</v>
      </c>
      <c r="E38" s="666">
        <f t="shared" si="18"/>
        <v>37.674000000000007</v>
      </c>
      <c r="F38" s="666">
        <v>16</v>
      </c>
      <c r="G38" s="666">
        <f t="shared" si="19"/>
        <v>50.232000000000006</v>
      </c>
      <c r="H38" s="666">
        <v>10</v>
      </c>
      <c r="I38" s="666">
        <f t="shared" si="20"/>
        <v>31.395000000000003</v>
      </c>
      <c r="J38" s="666">
        <v>22</v>
      </c>
      <c r="K38" s="666">
        <f t="shared" si="21"/>
        <v>69.069000000000003</v>
      </c>
      <c r="L38" s="666">
        <v>16</v>
      </c>
      <c r="M38" s="666">
        <f t="shared" si="22"/>
        <v>50.232000000000006</v>
      </c>
      <c r="N38" s="666">
        <v>22</v>
      </c>
      <c r="O38" s="666">
        <f t="shared" si="23"/>
        <v>69.069000000000003</v>
      </c>
      <c r="P38" s="666">
        <v>22</v>
      </c>
      <c r="Q38" s="666">
        <f t="shared" si="12"/>
        <v>69.069000000000003</v>
      </c>
      <c r="R38" s="666">
        <v>16</v>
      </c>
      <c r="S38" s="666">
        <f t="shared" si="13"/>
        <v>50.232000000000006</v>
      </c>
      <c r="T38" s="666">
        <v>16</v>
      </c>
      <c r="U38" s="666">
        <f t="shared" si="14"/>
        <v>50.232000000000006</v>
      </c>
      <c r="V38" s="666">
        <v>22</v>
      </c>
      <c r="W38" s="666">
        <f t="shared" si="15"/>
        <v>69.069000000000003</v>
      </c>
      <c r="X38" s="666">
        <v>22</v>
      </c>
      <c r="Y38" s="666">
        <f t="shared" si="16"/>
        <v>69.069000000000003</v>
      </c>
      <c r="Z38" s="666">
        <v>24</v>
      </c>
      <c r="AA38" s="666">
        <f t="shared" si="17"/>
        <v>75.348000000000013</v>
      </c>
      <c r="AB38" s="666"/>
    </row>
    <row r="39" spans="1:28" x14ac:dyDescent="0.25">
      <c r="A39" s="666" t="s">
        <v>959</v>
      </c>
      <c r="B39" s="666" t="s">
        <v>528</v>
      </c>
      <c r="C39" s="666">
        <v>7.7910000000000004</v>
      </c>
      <c r="D39" s="666">
        <v>12</v>
      </c>
      <c r="E39" s="666">
        <f t="shared" si="18"/>
        <v>93.492000000000004</v>
      </c>
      <c r="F39" s="666">
        <v>30</v>
      </c>
      <c r="G39" s="666">
        <f t="shared" si="19"/>
        <v>233.73000000000002</v>
      </c>
      <c r="H39" s="666">
        <v>10</v>
      </c>
      <c r="I39" s="666">
        <f t="shared" si="20"/>
        <v>77.91</v>
      </c>
      <c r="J39" s="666">
        <v>6</v>
      </c>
      <c r="K39" s="666">
        <f t="shared" si="21"/>
        <v>46.746000000000002</v>
      </c>
      <c r="L39" s="666">
        <v>30</v>
      </c>
      <c r="M39" s="666">
        <f t="shared" si="22"/>
        <v>233.73000000000002</v>
      </c>
      <c r="N39" s="666">
        <v>16</v>
      </c>
      <c r="O39" s="666">
        <f t="shared" si="23"/>
        <v>124.65600000000001</v>
      </c>
      <c r="P39" s="666">
        <v>16</v>
      </c>
      <c r="Q39" s="666">
        <f t="shared" si="12"/>
        <v>124.65600000000001</v>
      </c>
      <c r="R39" s="666">
        <v>30</v>
      </c>
      <c r="S39" s="666">
        <f t="shared" si="13"/>
        <v>233.73000000000002</v>
      </c>
      <c r="T39" s="666">
        <v>30</v>
      </c>
      <c r="U39" s="666">
        <f t="shared" si="14"/>
        <v>233.73000000000002</v>
      </c>
      <c r="V39" s="666">
        <v>6</v>
      </c>
      <c r="W39" s="666">
        <f t="shared" si="15"/>
        <v>46.746000000000002</v>
      </c>
      <c r="X39" s="666">
        <v>6</v>
      </c>
      <c r="Y39" s="666">
        <f t="shared" si="16"/>
        <v>46.746000000000002</v>
      </c>
      <c r="Z39" s="666">
        <v>24</v>
      </c>
      <c r="AA39" s="666">
        <f t="shared" si="17"/>
        <v>186.98400000000001</v>
      </c>
      <c r="AB39" s="666"/>
    </row>
    <row r="40" spans="1:28" x14ac:dyDescent="0.25">
      <c r="A40" s="666" t="s">
        <v>960</v>
      </c>
      <c r="B40" s="666" t="s">
        <v>528</v>
      </c>
      <c r="C40" s="666">
        <v>5.9850000000000003</v>
      </c>
      <c r="D40" s="666">
        <v>24</v>
      </c>
      <c r="E40" s="666">
        <f t="shared" si="18"/>
        <v>143.64000000000001</v>
      </c>
      <c r="F40" s="666">
        <v>25</v>
      </c>
      <c r="G40" s="666">
        <f t="shared" si="19"/>
        <v>149.625</v>
      </c>
      <c r="H40" s="666">
        <v>20</v>
      </c>
      <c r="I40" s="666">
        <f t="shared" si="20"/>
        <v>119.7</v>
      </c>
      <c r="J40" s="666">
        <v>8</v>
      </c>
      <c r="K40" s="666">
        <f t="shared" si="21"/>
        <v>47.88</v>
      </c>
      <c r="L40" s="666">
        <v>25</v>
      </c>
      <c r="M40" s="666">
        <f t="shared" si="22"/>
        <v>149.625</v>
      </c>
      <c r="N40" s="666">
        <v>16</v>
      </c>
      <c r="O40" s="666">
        <f t="shared" si="23"/>
        <v>95.76</v>
      </c>
      <c r="P40" s="666">
        <v>16</v>
      </c>
      <c r="Q40" s="666">
        <f t="shared" si="12"/>
        <v>95.76</v>
      </c>
      <c r="R40" s="666">
        <v>25</v>
      </c>
      <c r="S40" s="666">
        <f t="shared" si="13"/>
        <v>149.625</v>
      </c>
      <c r="T40" s="666">
        <v>25</v>
      </c>
      <c r="U40" s="666">
        <f t="shared" si="14"/>
        <v>149.625</v>
      </c>
      <c r="V40" s="666">
        <v>8</v>
      </c>
      <c r="W40" s="666">
        <f t="shared" si="15"/>
        <v>47.88</v>
      </c>
      <c r="X40" s="666">
        <v>8</v>
      </c>
      <c r="Y40" s="666">
        <f t="shared" si="16"/>
        <v>47.88</v>
      </c>
      <c r="Z40" s="666">
        <v>24</v>
      </c>
      <c r="AA40" s="666">
        <f t="shared" si="17"/>
        <v>143.64000000000001</v>
      </c>
      <c r="AB40" s="666"/>
    </row>
    <row r="41" spans="1:28" x14ac:dyDescent="0.25">
      <c r="A41" s="666" t="s">
        <v>560</v>
      </c>
      <c r="B41" s="666" t="s">
        <v>532</v>
      </c>
      <c r="C41" s="666">
        <v>21.21</v>
      </c>
      <c r="D41" s="666">
        <v>6</v>
      </c>
      <c r="E41" s="666">
        <f t="shared" si="18"/>
        <v>127.26</v>
      </c>
      <c r="F41" s="666">
        <v>12</v>
      </c>
      <c r="G41" s="666">
        <f t="shared" si="19"/>
        <v>254.52</v>
      </c>
      <c r="H41" s="666">
        <v>10</v>
      </c>
      <c r="I41" s="666">
        <f t="shared" si="20"/>
        <v>212.10000000000002</v>
      </c>
      <c r="J41" s="666">
        <v>10</v>
      </c>
      <c r="K41" s="666">
        <f t="shared" si="21"/>
        <v>212.10000000000002</v>
      </c>
      <c r="L41" s="666">
        <v>12</v>
      </c>
      <c r="M41" s="666">
        <f t="shared" si="22"/>
        <v>254.52</v>
      </c>
      <c r="N41" s="666">
        <v>12</v>
      </c>
      <c r="O41" s="666">
        <f t="shared" si="23"/>
        <v>254.52</v>
      </c>
      <c r="P41" s="666">
        <v>12</v>
      </c>
      <c r="Q41" s="666">
        <f t="shared" si="12"/>
        <v>254.52</v>
      </c>
      <c r="R41" s="666">
        <v>12</v>
      </c>
      <c r="S41" s="666">
        <f t="shared" si="13"/>
        <v>254.52</v>
      </c>
      <c r="T41" s="666">
        <v>12</v>
      </c>
      <c r="U41" s="666">
        <f t="shared" si="14"/>
        <v>254.52</v>
      </c>
      <c r="V41" s="666">
        <v>10</v>
      </c>
      <c r="W41" s="666">
        <f t="shared" si="15"/>
        <v>212.10000000000002</v>
      </c>
      <c r="X41" s="666">
        <v>10</v>
      </c>
      <c r="Y41" s="666">
        <f t="shared" si="16"/>
        <v>212.10000000000002</v>
      </c>
      <c r="Z41" s="666">
        <v>6</v>
      </c>
      <c r="AA41" s="666">
        <f t="shared" si="17"/>
        <v>127.26</v>
      </c>
      <c r="AB41" s="666"/>
    </row>
    <row r="42" spans="1:28" x14ac:dyDescent="0.25">
      <c r="A42" s="666" t="s">
        <v>561</v>
      </c>
      <c r="B42" s="666" t="s">
        <v>532</v>
      </c>
      <c r="C42" s="666">
        <v>26.927459999999996</v>
      </c>
      <c r="D42" s="666">
        <v>4</v>
      </c>
      <c r="E42" s="666">
        <f t="shared" si="18"/>
        <v>107.70983999999999</v>
      </c>
      <c r="F42" s="666">
        <v>7</v>
      </c>
      <c r="G42" s="666">
        <f t="shared" si="19"/>
        <v>188.49221999999997</v>
      </c>
      <c r="H42" s="666">
        <v>3</v>
      </c>
      <c r="I42" s="666">
        <f t="shared" si="20"/>
        <v>80.782379999999989</v>
      </c>
      <c r="J42" s="666">
        <v>5</v>
      </c>
      <c r="K42" s="666">
        <f t="shared" si="21"/>
        <v>134.63729999999998</v>
      </c>
      <c r="L42" s="666">
        <v>7</v>
      </c>
      <c r="M42" s="666">
        <f t="shared" si="22"/>
        <v>188.49221999999997</v>
      </c>
      <c r="N42" s="666">
        <v>6</v>
      </c>
      <c r="O42" s="666">
        <f t="shared" si="23"/>
        <v>161.56475999999998</v>
      </c>
      <c r="P42" s="666">
        <v>6</v>
      </c>
      <c r="Q42" s="666">
        <f t="shared" si="12"/>
        <v>161.56475999999998</v>
      </c>
      <c r="R42" s="666">
        <v>7</v>
      </c>
      <c r="S42" s="666">
        <f t="shared" si="13"/>
        <v>188.49221999999997</v>
      </c>
      <c r="T42" s="666">
        <v>7</v>
      </c>
      <c r="U42" s="666">
        <f t="shared" si="14"/>
        <v>188.49221999999997</v>
      </c>
      <c r="V42" s="666">
        <v>5</v>
      </c>
      <c r="W42" s="666">
        <f t="shared" si="15"/>
        <v>134.63729999999998</v>
      </c>
      <c r="X42" s="666">
        <v>5</v>
      </c>
      <c r="Y42" s="666">
        <f t="shared" si="16"/>
        <v>134.63729999999998</v>
      </c>
      <c r="Z42" s="666">
        <v>3</v>
      </c>
      <c r="AA42" s="666">
        <f t="shared" si="17"/>
        <v>80.782379999999989</v>
      </c>
      <c r="AB42" s="666"/>
    </row>
    <row r="43" spans="1:28" x14ac:dyDescent="0.25">
      <c r="A43" s="666" t="s">
        <v>562</v>
      </c>
      <c r="B43" s="666" t="s">
        <v>532</v>
      </c>
      <c r="C43" s="666">
        <v>22.407</v>
      </c>
      <c r="D43" s="666">
        <v>10</v>
      </c>
      <c r="E43" s="666">
        <f t="shared" si="18"/>
        <v>224.07</v>
      </c>
      <c r="F43" s="666">
        <v>7</v>
      </c>
      <c r="G43" s="666">
        <f t="shared" si="19"/>
        <v>156.84899999999999</v>
      </c>
      <c r="H43" s="666">
        <v>8</v>
      </c>
      <c r="I43" s="666">
        <f t="shared" si="20"/>
        <v>179.256</v>
      </c>
      <c r="J43" s="666">
        <v>4</v>
      </c>
      <c r="K43" s="666">
        <f t="shared" si="21"/>
        <v>89.628</v>
      </c>
      <c r="L43" s="666">
        <v>7</v>
      </c>
      <c r="M43" s="666">
        <f t="shared" si="22"/>
        <v>156.84899999999999</v>
      </c>
      <c r="N43" s="666">
        <v>5</v>
      </c>
      <c r="O43" s="666">
        <f t="shared" si="23"/>
        <v>112.035</v>
      </c>
      <c r="P43" s="666">
        <v>5</v>
      </c>
      <c r="Q43" s="666">
        <f t="shared" si="12"/>
        <v>112.035</v>
      </c>
      <c r="R43" s="666">
        <v>7</v>
      </c>
      <c r="S43" s="666">
        <f t="shared" si="13"/>
        <v>156.84899999999999</v>
      </c>
      <c r="T43" s="666">
        <v>7</v>
      </c>
      <c r="U43" s="666">
        <f t="shared" si="14"/>
        <v>156.84899999999999</v>
      </c>
      <c r="V43" s="666">
        <v>4</v>
      </c>
      <c r="W43" s="666">
        <f t="shared" si="15"/>
        <v>89.628</v>
      </c>
      <c r="X43" s="666">
        <v>4</v>
      </c>
      <c r="Y43" s="666">
        <f t="shared" si="16"/>
        <v>89.628</v>
      </c>
      <c r="Z43" s="666">
        <v>3</v>
      </c>
      <c r="AA43" s="666">
        <f t="shared" si="17"/>
        <v>67.221000000000004</v>
      </c>
      <c r="AB43" s="666"/>
    </row>
    <row r="44" spans="1:28" x14ac:dyDescent="0.25">
      <c r="A44" s="666" t="s">
        <v>563</v>
      </c>
      <c r="B44" s="666" t="s">
        <v>532</v>
      </c>
      <c r="C44" s="666">
        <v>22.47</v>
      </c>
      <c r="D44" s="666">
        <v>9</v>
      </c>
      <c r="E44" s="666">
        <f t="shared" si="18"/>
        <v>202.23</v>
      </c>
      <c r="F44" s="666">
        <v>18</v>
      </c>
      <c r="G44" s="666">
        <f t="shared" si="19"/>
        <v>404.46</v>
      </c>
      <c r="H44" s="666">
        <v>8</v>
      </c>
      <c r="I44" s="666">
        <f t="shared" si="20"/>
        <v>179.76</v>
      </c>
      <c r="J44" s="666">
        <v>2</v>
      </c>
      <c r="K44" s="666">
        <f t="shared" si="21"/>
        <v>44.94</v>
      </c>
      <c r="L44" s="666">
        <v>18</v>
      </c>
      <c r="M44" s="666">
        <f t="shared" si="22"/>
        <v>404.46</v>
      </c>
      <c r="N44" s="666">
        <v>16</v>
      </c>
      <c r="O44" s="666">
        <f t="shared" si="23"/>
        <v>359.52</v>
      </c>
      <c r="P44" s="666">
        <v>16</v>
      </c>
      <c r="Q44" s="666">
        <f t="shared" si="12"/>
        <v>359.52</v>
      </c>
      <c r="R44" s="666">
        <v>18</v>
      </c>
      <c r="S44" s="666">
        <f t="shared" si="13"/>
        <v>404.46</v>
      </c>
      <c r="T44" s="666">
        <v>18</v>
      </c>
      <c r="U44" s="666">
        <f t="shared" si="14"/>
        <v>404.46</v>
      </c>
      <c r="V44" s="666">
        <v>2</v>
      </c>
      <c r="W44" s="666">
        <f t="shared" si="15"/>
        <v>44.94</v>
      </c>
      <c r="X44" s="666">
        <v>2</v>
      </c>
      <c r="Y44" s="666">
        <f t="shared" si="16"/>
        <v>44.94</v>
      </c>
      <c r="Z44" s="666">
        <v>8</v>
      </c>
      <c r="AA44" s="666">
        <f t="shared" si="17"/>
        <v>179.76</v>
      </c>
      <c r="AB44" s="666"/>
    </row>
    <row r="45" spans="1:28" x14ac:dyDescent="0.25">
      <c r="A45" s="666" t="s">
        <v>564</v>
      </c>
      <c r="B45" s="666" t="s">
        <v>528</v>
      </c>
      <c r="C45" s="666">
        <v>19.005000000000003</v>
      </c>
      <c r="D45" s="666">
        <v>2</v>
      </c>
      <c r="E45" s="666">
        <f t="shared" si="18"/>
        <v>38.010000000000005</v>
      </c>
      <c r="F45" s="666">
        <v>2</v>
      </c>
      <c r="G45" s="666">
        <f t="shared" si="19"/>
        <v>38.010000000000005</v>
      </c>
      <c r="H45" s="666">
        <v>2</v>
      </c>
      <c r="I45" s="666">
        <f t="shared" si="20"/>
        <v>38.010000000000005</v>
      </c>
      <c r="J45" s="666">
        <v>2</v>
      </c>
      <c r="K45" s="666">
        <f t="shared" si="21"/>
        <v>38.010000000000005</v>
      </c>
      <c r="L45" s="666">
        <v>2</v>
      </c>
      <c r="M45" s="666">
        <f t="shared" si="22"/>
        <v>38.010000000000005</v>
      </c>
      <c r="N45" s="666">
        <v>2</v>
      </c>
      <c r="O45" s="666">
        <f t="shared" si="23"/>
        <v>38.010000000000005</v>
      </c>
      <c r="P45" s="666">
        <v>2</v>
      </c>
      <c r="Q45" s="666">
        <f t="shared" si="12"/>
        <v>38.010000000000005</v>
      </c>
      <c r="R45" s="666">
        <v>2</v>
      </c>
      <c r="S45" s="666">
        <f t="shared" si="13"/>
        <v>38.010000000000005</v>
      </c>
      <c r="T45" s="666">
        <v>2</v>
      </c>
      <c r="U45" s="666">
        <f t="shared" si="14"/>
        <v>38.010000000000005</v>
      </c>
      <c r="V45" s="666">
        <v>2</v>
      </c>
      <c r="W45" s="666">
        <f t="shared" si="15"/>
        <v>38.010000000000005</v>
      </c>
      <c r="X45" s="666">
        <v>2</v>
      </c>
      <c r="Y45" s="666">
        <f t="shared" si="16"/>
        <v>38.010000000000005</v>
      </c>
      <c r="Z45" s="666">
        <v>1</v>
      </c>
      <c r="AA45" s="666">
        <f t="shared" si="17"/>
        <v>19.005000000000003</v>
      </c>
      <c r="AB45" s="666"/>
    </row>
    <row r="46" spans="1:28" x14ac:dyDescent="0.25">
      <c r="A46" s="666" t="s">
        <v>565</v>
      </c>
      <c r="B46" s="666" t="s">
        <v>528</v>
      </c>
      <c r="C46" s="666">
        <v>3.0029999999999997</v>
      </c>
      <c r="D46" s="666">
        <v>20</v>
      </c>
      <c r="E46" s="666">
        <f t="shared" si="18"/>
        <v>60.059999999999995</v>
      </c>
      <c r="F46" s="666">
        <v>15</v>
      </c>
      <c r="G46" s="666">
        <f t="shared" si="19"/>
        <v>45.044999999999995</v>
      </c>
      <c r="H46" s="666">
        <v>14</v>
      </c>
      <c r="I46" s="666">
        <f t="shared" si="20"/>
        <v>42.041999999999994</v>
      </c>
      <c r="J46" s="666">
        <v>20</v>
      </c>
      <c r="K46" s="666">
        <f t="shared" si="21"/>
        <v>60.059999999999995</v>
      </c>
      <c r="L46" s="666">
        <v>15</v>
      </c>
      <c r="M46" s="666">
        <f t="shared" si="22"/>
        <v>45.044999999999995</v>
      </c>
      <c r="N46" s="666">
        <v>16</v>
      </c>
      <c r="O46" s="666">
        <f t="shared" si="23"/>
        <v>48.047999999999995</v>
      </c>
      <c r="P46" s="666">
        <v>16</v>
      </c>
      <c r="Q46" s="666">
        <f t="shared" si="12"/>
        <v>48.047999999999995</v>
      </c>
      <c r="R46" s="666">
        <v>15</v>
      </c>
      <c r="S46" s="666">
        <f t="shared" si="13"/>
        <v>45.044999999999995</v>
      </c>
      <c r="T46" s="666">
        <v>15</v>
      </c>
      <c r="U46" s="666">
        <f t="shared" si="14"/>
        <v>45.044999999999995</v>
      </c>
      <c r="V46" s="666">
        <v>20</v>
      </c>
      <c r="W46" s="666">
        <f t="shared" si="15"/>
        <v>60.059999999999995</v>
      </c>
      <c r="X46" s="666">
        <v>20</v>
      </c>
      <c r="Y46" s="666">
        <f t="shared" si="16"/>
        <v>60.059999999999995</v>
      </c>
      <c r="Z46" s="666">
        <v>11</v>
      </c>
      <c r="AA46" s="666">
        <f t="shared" si="17"/>
        <v>33.032999999999994</v>
      </c>
      <c r="AB46" s="666"/>
    </row>
    <row r="47" spans="1:28" x14ac:dyDescent="0.25">
      <c r="A47" s="666" t="s">
        <v>566</v>
      </c>
      <c r="B47" s="666" t="s">
        <v>528</v>
      </c>
      <c r="C47" s="666">
        <v>7.6229999999999993</v>
      </c>
      <c r="D47" s="666">
        <v>4</v>
      </c>
      <c r="E47" s="666">
        <f t="shared" si="18"/>
        <v>30.491999999999997</v>
      </c>
      <c r="F47" s="666">
        <v>6</v>
      </c>
      <c r="G47" s="666">
        <f t="shared" si="19"/>
        <v>45.738</v>
      </c>
      <c r="H47" s="666">
        <v>4</v>
      </c>
      <c r="I47" s="666">
        <f t="shared" si="20"/>
        <v>30.491999999999997</v>
      </c>
      <c r="J47" s="666">
        <v>5</v>
      </c>
      <c r="K47" s="666">
        <f t="shared" si="21"/>
        <v>38.114999999999995</v>
      </c>
      <c r="L47" s="666">
        <v>6</v>
      </c>
      <c r="M47" s="666">
        <f t="shared" si="22"/>
        <v>45.738</v>
      </c>
      <c r="N47" s="666">
        <v>5</v>
      </c>
      <c r="O47" s="666">
        <f t="shared" si="23"/>
        <v>38.114999999999995</v>
      </c>
      <c r="P47" s="666">
        <v>5</v>
      </c>
      <c r="Q47" s="666">
        <f t="shared" si="12"/>
        <v>38.114999999999995</v>
      </c>
      <c r="R47" s="666">
        <v>6</v>
      </c>
      <c r="S47" s="666">
        <f t="shared" si="13"/>
        <v>45.738</v>
      </c>
      <c r="T47" s="666">
        <v>6</v>
      </c>
      <c r="U47" s="666">
        <f t="shared" si="14"/>
        <v>45.738</v>
      </c>
      <c r="V47" s="666">
        <v>5</v>
      </c>
      <c r="W47" s="666">
        <f t="shared" si="15"/>
        <v>38.114999999999995</v>
      </c>
      <c r="X47" s="666">
        <v>5</v>
      </c>
      <c r="Y47" s="666">
        <f t="shared" si="16"/>
        <v>38.114999999999995</v>
      </c>
      <c r="Z47" s="666">
        <v>4</v>
      </c>
      <c r="AA47" s="666">
        <f t="shared" si="17"/>
        <v>30.491999999999997</v>
      </c>
      <c r="AB47" s="666"/>
    </row>
    <row r="48" spans="1:28" x14ac:dyDescent="0.25">
      <c r="A48" s="666" t="s">
        <v>567</v>
      </c>
      <c r="B48" s="666" t="s">
        <v>528</v>
      </c>
      <c r="C48" s="666">
        <v>3.8010000000000002</v>
      </c>
      <c r="D48" s="666">
        <v>6</v>
      </c>
      <c r="E48" s="666">
        <f t="shared" si="18"/>
        <v>22.806000000000001</v>
      </c>
      <c r="F48" s="666">
        <v>6</v>
      </c>
      <c r="G48" s="666">
        <f t="shared" si="19"/>
        <v>22.806000000000001</v>
      </c>
      <c r="H48" s="666">
        <v>6</v>
      </c>
      <c r="I48" s="666">
        <f t="shared" si="20"/>
        <v>22.806000000000001</v>
      </c>
      <c r="J48" s="666">
        <v>6</v>
      </c>
      <c r="K48" s="666">
        <f t="shared" si="21"/>
        <v>22.806000000000001</v>
      </c>
      <c r="L48" s="666">
        <v>6</v>
      </c>
      <c r="M48" s="666">
        <f t="shared" si="22"/>
        <v>22.806000000000001</v>
      </c>
      <c r="N48" s="666">
        <v>8</v>
      </c>
      <c r="O48" s="666">
        <f t="shared" si="23"/>
        <v>30.408000000000001</v>
      </c>
      <c r="P48" s="666">
        <v>8</v>
      </c>
      <c r="Q48" s="666">
        <f t="shared" si="12"/>
        <v>30.408000000000001</v>
      </c>
      <c r="R48" s="666">
        <v>6</v>
      </c>
      <c r="S48" s="666">
        <f t="shared" si="13"/>
        <v>22.806000000000001</v>
      </c>
      <c r="T48" s="666">
        <v>6</v>
      </c>
      <c r="U48" s="666">
        <f t="shared" si="14"/>
        <v>22.806000000000001</v>
      </c>
      <c r="V48" s="666">
        <v>6</v>
      </c>
      <c r="W48" s="666">
        <f t="shared" si="15"/>
        <v>22.806000000000001</v>
      </c>
      <c r="X48" s="666">
        <v>6</v>
      </c>
      <c r="Y48" s="666">
        <f t="shared" si="16"/>
        <v>22.806000000000001</v>
      </c>
      <c r="Z48" s="666">
        <v>6</v>
      </c>
      <c r="AA48" s="666">
        <f t="shared" si="17"/>
        <v>22.806000000000001</v>
      </c>
      <c r="AB48" s="666"/>
    </row>
    <row r="49" spans="1:28" x14ac:dyDescent="0.25">
      <c r="A49" s="666" t="s">
        <v>568</v>
      </c>
      <c r="B49" s="666" t="s">
        <v>528</v>
      </c>
      <c r="C49" s="666">
        <v>23.170139999999996</v>
      </c>
      <c r="D49" s="666">
        <v>4</v>
      </c>
      <c r="E49" s="666">
        <f t="shared" si="18"/>
        <v>92.680559999999986</v>
      </c>
      <c r="F49" s="666">
        <v>5</v>
      </c>
      <c r="G49" s="666">
        <f t="shared" si="19"/>
        <v>115.85069999999999</v>
      </c>
      <c r="H49" s="666">
        <v>4</v>
      </c>
      <c r="I49" s="666">
        <f t="shared" si="20"/>
        <v>92.680559999999986</v>
      </c>
      <c r="J49" s="666">
        <v>5</v>
      </c>
      <c r="K49" s="666">
        <f t="shared" si="21"/>
        <v>115.85069999999999</v>
      </c>
      <c r="L49" s="666">
        <v>5</v>
      </c>
      <c r="M49" s="666">
        <f t="shared" si="22"/>
        <v>115.85069999999999</v>
      </c>
      <c r="N49" s="666">
        <v>5</v>
      </c>
      <c r="O49" s="666">
        <f t="shared" si="23"/>
        <v>115.85069999999999</v>
      </c>
      <c r="P49" s="666">
        <v>5</v>
      </c>
      <c r="Q49" s="666">
        <f t="shared" si="12"/>
        <v>115.85069999999999</v>
      </c>
      <c r="R49" s="666">
        <v>5</v>
      </c>
      <c r="S49" s="666">
        <f t="shared" si="13"/>
        <v>115.85069999999999</v>
      </c>
      <c r="T49" s="666">
        <v>5</v>
      </c>
      <c r="U49" s="666">
        <f t="shared" si="14"/>
        <v>115.85069999999999</v>
      </c>
      <c r="V49" s="666">
        <v>5</v>
      </c>
      <c r="W49" s="666">
        <f t="shared" si="15"/>
        <v>115.85069999999999</v>
      </c>
      <c r="X49" s="666">
        <v>5</v>
      </c>
      <c r="Y49" s="666">
        <f t="shared" si="16"/>
        <v>115.85069999999999</v>
      </c>
      <c r="Z49" s="666">
        <v>4</v>
      </c>
      <c r="AA49" s="666">
        <f t="shared" si="17"/>
        <v>92.680559999999986</v>
      </c>
      <c r="AB49" s="666"/>
    </row>
    <row r="50" spans="1:28" x14ac:dyDescent="0.25">
      <c r="A50" s="666" t="s">
        <v>569</v>
      </c>
      <c r="B50" s="666" t="s">
        <v>532</v>
      </c>
      <c r="C50" s="666">
        <v>9.4395000000000007</v>
      </c>
      <c r="D50" s="666">
        <v>2</v>
      </c>
      <c r="E50" s="666">
        <f t="shared" si="18"/>
        <v>18.879000000000001</v>
      </c>
      <c r="F50" s="666">
        <v>4</v>
      </c>
      <c r="G50" s="666">
        <f t="shared" si="19"/>
        <v>37.758000000000003</v>
      </c>
      <c r="H50" s="666">
        <v>2</v>
      </c>
      <c r="I50" s="666">
        <f t="shared" si="20"/>
        <v>18.879000000000001</v>
      </c>
      <c r="J50" s="666">
        <v>2</v>
      </c>
      <c r="K50" s="666">
        <f t="shared" si="21"/>
        <v>18.879000000000001</v>
      </c>
      <c r="L50" s="666">
        <v>4</v>
      </c>
      <c r="M50" s="666">
        <f t="shared" si="22"/>
        <v>37.758000000000003</v>
      </c>
      <c r="N50" s="666">
        <v>15</v>
      </c>
      <c r="O50" s="666">
        <f t="shared" si="23"/>
        <v>141.5925</v>
      </c>
      <c r="P50" s="666">
        <v>15</v>
      </c>
      <c r="Q50" s="666">
        <f t="shared" si="12"/>
        <v>141.5925</v>
      </c>
      <c r="R50" s="666">
        <v>4</v>
      </c>
      <c r="S50" s="666">
        <f t="shared" si="13"/>
        <v>37.758000000000003</v>
      </c>
      <c r="T50" s="666">
        <v>4</v>
      </c>
      <c r="U50" s="666">
        <f t="shared" si="14"/>
        <v>37.758000000000003</v>
      </c>
      <c r="V50" s="666">
        <v>2</v>
      </c>
      <c r="W50" s="666">
        <f t="shared" si="15"/>
        <v>18.879000000000001</v>
      </c>
      <c r="X50" s="666">
        <v>2</v>
      </c>
      <c r="Y50" s="666">
        <f t="shared" si="16"/>
        <v>18.879000000000001</v>
      </c>
      <c r="Z50" s="666">
        <v>2</v>
      </c>
      <c r="AA50" s="666">
        <f t="shared" si="17"/>
        <v>18.879000000000001</v>
      </c>
      <c r="AB50" s="666"/>
    </row>
    <row r="51" spans="1:28" x14ac:dyDescent="0.25">
      <c r="A51" s="666" t="s">
        <v>570</v>
      </c>
      <c r="B51" s="666" t="s">
        <v>528</v>
      </c>
      <c r="C51" s="666">
        <v>7.875</v>
      </c>
      <c r="D51" s="666">
        <v>30</v>
      </c>
      <c r="E51" s="666">
        <f t="shared" si="18"/>
        <v>236.25</v>
      </c>
      <c r="F51" s="666">
        <v>35</v>
      </c>
      <c r="G51" s="666">
        <f t="shared" si="19"/>
        <v>275.625</v>
      </c>
      <c r="H51" s="666">
        <v>25</v>
      </c>
      <c r="I51" s="666">
        <f t="shared" si="20"/>
        <v>196.875</v>
      </c>
      <c r="J51" s="666">
        <v>16</v>
      </c>
      <c r="K51" s="666">
        <f t="shared" si="21"/>
        <v>126</v>
      </c>
      <c r="L51" s="666">
        <v>35</v>
      </c>
      <c r="M51" s="666">
        <f t="shared" si="22"/>
        <v>275.625</v>
      </c>
      <c r="N51" s="666">
        <v>35</v>
      </c>
      <c r="O51" s="666">
        <f t="shared" si="23"/>
        <v>275.625</v>
      </c>
      <c r="P51" s="666">
        <v>35</v>
      </c>
      <c r="Q51" s="666">
        <f t="shared" si="12"/>
        <v>275.625</v>
      </c>
      <c r="R51" s="666">
        <v>35</v>
      </c>
      <c r="S51" s="666">
        <f t="shared" si="13"/>
        <v>275.625</v>
      </c>
      <c r="T51" s="666">
        <v>35</v>
      </c>
      <c r="U51" s="666">
        <f t="shared" si="14"/>
        <v>275.625</v>
      </c>
      <c r="V51" s="666">
        <v>16</v>
      </c>
      <c r="W51" s="666">
        <f t="shared" si="15"/>
        <v>126</v>
      </c>
      <c r="X51" s="666">
        <v>16</v>
      </c>
      <c r="Y51" s="666">
        <f t="shared" si="16"/>
        <v>126</v>
      </c>
      <c r="Z51" s="666">
        <v>20</v>
      </c>
      <c r="AA51" s="666">
        <f t="shared" si="17"/>
        <v>157.5</v>
      </c>
      <c r="AB51" s="666"/>
    </row>
    <row r="52" spans="1:28" x14ac:dyDescent="0.25">
      <c r="A52" s="666" t="s">
        <v>571</v>
      </c>
      <c r="B52" s="666" t="s">
        <v>528</v>
      </c>
      <c r="C52" s="666">
        <v>15.204000000000001</v>
      </c>
      <c r="D52" s="666">
        <v>10</v>
      </c>
      <c r="E52" s="666">
        <f t="shared" si="18"/>
        <v>152.04000000000002</v>
      </c>
      <c r="F52" s="666">
        <v>12</v>
      </c>
      <c r="G52" s="666">
        <f t="shared" si="19"/>
        <v>182.44800000000001</v>
      </c>
      <c r="H52" s="666">
        <v>8</v>
      </c>
      <c r="I52" s="666">
        <f t="shared" si="20"/>
        <v>121.63200000000001</v>
      </c>
      <c r="J52" s="666">
        <v>10</v>
      </c>
      <c r="K52" s="666">
        <f t="shared" si="21"/>
        <v>152.04000000000002</v>
      </c>
      <c r="L52" s="666">
        <v>12</v>
      </c>
      <c r="M52" s="666">
        <f t="shared" si="22"/>
        <v>182.44800000000001</v>
      </c>
      <c r="N52" s="666">
        <v>8</v>
      </c>
      <c r="O52" s="666">
        <f t="shared" si="23"/>
        <v>121.63200000000001</v>
      </c>
      <c r="P52" s="666">
        <v>8</v>
      </c>
      <c r="Q52" s="666">
        <f t="shared" si="12"/>
        <v>121.63200000000001</v>
      </c>
      <c r="R52" s="666">
        <v>12</v>
      </c>
      <c r="S52" s="666">
        <f t="shared" si="13"/>
        <v>182.44800000000001</v>
      </c>
      <c r="T52" s="666">
        <v>12</v>
      </c>
      <c r="U52" s="666">
        <f t="shared" si="14"/>
        <v>182.44800000000001</v>
      </c>
      <c r="V52" s="666">
        <v>10</v>
      </c>
      <c r="W52" s="666">
        <f t="shared" si="15"/>
        <v>152.04000000000002</v>
      </c>
      <c r="X52" s="666">
        <v>10</v>
      </c>
      <c r="Y52" s="666">
        <f t="shared" si="16"/>
        <v>152.04000000000002</v>
      </c>
      <c r="Z52" s="666">
        <v>7</v>
      </c>
      <c r="AA52" s="666">
        <f t="shared" si="17"/>
        <v>106.428</v>
      </c>
      <c r="AB52" s="666"/>
    </row>
    <row r="53" spans="1:28" x14ac:dyDescent="0.25">
      <c r="A53" s="666" t="s">
        <v>572</v>
      </c>
      <c r="B53" s="666" t="s">
        <v>528</v>
      </c>
      <c r="C53" s="666">
        <v>16.695</v>
      </c>
      <c r="D53" s="666">
        <v>8</v>
      </c>
      <c r="E53" s="666">
        <f t="shared" si="18"/>
        <v>133.56</v>
      </c>
      <c r="F53" s="666">
        <v>20</v>
      </c>
      <c r="G53" s="666">
        <f t="shared" si="19"/>
        <v>333.9</v>
      </c>
      <c r="H53" s="666">
        <v>20</v>
      </c>
      <c r="I53" s="666">
        <f t="shared" si="20"/>
        <v>333.9</v>
      </c>
      <c r="J53" s="666">
        <v>8</v>
      </c>
      <c r="K53" s="666">
        <f t="shared" si="21"/>
        <v>133.56</v>
      </c>
      <c r="L53" s="666">
        <v>20</v>
      </c>
      <c r="M53" s="666">
        <f t="shared" si="22"/>
        <v>333.9</v>
      </c>
      <c r="N53" s="666">
        <v>25</v>
      </c>
      <c r="O53" s="666">
        <f t="shared" si="23"/>
        <v>417.375</v>
      </c>
      <c r="P53" s="666">
        <v>25</v>
      </c>
      <c r="Q53" s="666">
        <f t="shared" si="12"/>
        <v>417.375</v>
      </c>
      <c r="R53" s="666">
        <v>20</v>
      </c>
      <c r="S53" s="666">
        <f t="shared" si="13"/>
        <v>333.9</v>
      </c>
      <c r="T53" s="666">
        <v>20</v>
      </c>
      <c r="U53" s="666">
        <f t="shared" si="14"/>
        <v>333.9</v>
      </c>
      <c r="V53" s="666">
        <v>8</v>
      </c>
      <c r="W53" s="666">
        <f t="shared" si="15"/>
        <v>133.56</v>
      </c>
      <c r="X53" s="666">
        <v>8</v>
      </c>
      <c r="Y53" s="666">
        <f t="shared" si="16"/>
        <v>133.56</v>
      </c>
      <c r="Z53" s="666">
        <v>16</v>
      </c>
      <c r="AA53" s="666">
        <f t="shared" si="17"/>
        <v>267.12</v>
      </c>
      <c r="AB53" s="666"/>
    </row>
    <row r="54" spans="1:28" x14ac:dyDescent="0.25">
      <c r="A54" s="666" t="s">
        <v>573</v>
      </c>
      <c r="B54" s="666" t="s">
        <v>532</v>
      </c>
      <c r="C54" s="666">
        <v>32.772179999999999</v>
      </c>
      <c r="D54" s="666">
        <v>31</v>
      </c>
      <c r="E54" s="666">
        <f t="shared" si="18"/>
        <v>1015.9375799999999</v>
      </c>
      <c r="F54" s="666">
        <v>33</v>
      </c>
      <c r="G54" s="666">
        <f t="shared" si="19"/>
        <v>1081.4819399999999</v>
      </c>
      <c r="H54" s="666">
        <v>25</v>
      </c>
      <c r="I54" s="666">
        <f t="shared" si="20"/>
        <v>819.30449999999996</v>
      </c>
      <c r="J54" s="666">
        <v>31</v>
      </c>
      <c r="K54" s="666">
        <f t="shared" si="21"/>
        <v>1015.9375799999999</v>
      </c>
      <c r="L54" s="666">
        <v>33</v>
      </c>
      <c r="M54" s="666">
        <f t="shared" si="22"/>
        <v>1081.4819399999999</v>
      </c>
      <c r="N54" s="666">
        <v>30</v>
      </c>
      <c r="O54" s="666">
        <f t="shared" si="23"/>
        <v>983.16539999999998</v>
      </c>
      <c r="P54" s="666">
        <v>30</v>
      </c>
      <c r="Q54" s="666">
        <f t="shared" si="12"/>
        <v>983.16539999999998</v>
      </c>
      <c r="R54" s="666">
        <v>33</v>
      </c>
      <c r="S54" s="666">
        <f t="shared" si="13"/>
        <v>1081.4819399999999</v>
      </c>
      <c r="T54" s="666">
        <v>33</v>
      </c>
      <c r="U54" s="666">
        <f t="shared" si="14"/>
        <v>1081.4819399999999</v>
      </c>
      <c r="V54" s="666">
        <v>31</v>
      </c>
      <c r="W54" s="666">
        <f t="shared" si="15"/>
        <v>1015.9375799999999</v>
      </c>
      <c r="X54" s="666">
        <v>31</v>
      </c>
      <c r="Y54" s="666">
        <f t="shared" si="16"/>
        <v>1015.9375799999999</v>
      </c>
      <c r="Z54" s="666">
        <v>30</v>
      </c>
      <c r="AA54" s="666">
        <f t="shared" si="17"/>
        <v>983.16539999999998</v>
      </c>
      <c r="AB54" s="666"/>
    </row>
    <row r="55" spans="1:28" x14ac:dyDescent="0.25">
      <c r="A55" s="666" t="s">
        <v>574</v>
      </c>
      <c r="B55" s="666" t="s">
        <v>528</v>
      </c>
      <c r="C55" s="666">
        <v>13.970669999999998</v>
      </c>
      <c r="D55" s="666">
        <v>4</v>
      </c>
      <c r="E55" s="666">
        <f t="shared" si="18"/>
        <v>55.882679999999993</v>
      </c>
      <c r="F55" s="666">
        <v>8</v>
      </c>
      <c r="G55" s="666">
        <f t="shared" si="19"/>
        <v>111.76535999999999</v>
      </c>
      <c r="H55" s="666">
        <v>4</v>
      </c>
      <c r="I55" s="666">
        <f t="shared" si="20"/>
        <v>55.882679999999993</v>
      </c>
      <c r="J55" s="666">
        <v>4</v>
      </c>
      <c r="K55" s="666">
        <f t="shared" si="21"/>
        <v>55.882679999999993</v>
      </c>
      <c r="L55" s="666">
        <v>8</v>
      </c>
      <c r="M55" s="666">
        <f t="shared" si="22"/>
        <v>111.76535999999999</v>
      </c>
      <c r="N55" s="666">
        <v>5</v>
      </c>
      <c r="O55" s="666">
        <f t="shared" si="23"/>
        <v>69.853349999999992</v>
      </c>
      <c r="P55" s="666">
        <v>5</v>
      </c>
      <c r="Q55" s="666">
        <f t="shared" si="12"/>
        <v>69.853349999999992</v>
      </c>
      <c r="R55" s="666">
        <v>8</v>
      </c>
      <c r="S55" s="666">
        <f t="shared" si="13"/>
        <v>111.76535999999999</v>
      </c>
      <c r="T55" s="666">
        <v>8</v>
      </c>
      <c r="U55" s="666">
        <f t="shared" si="14"/>
        <v>111.76535999999999</v>
      </c>
      <c r="V55" s="666">
        <v>4</v>
      </c>
      <c r="W55" s="666">
        <f t="shared" si="15"/>
        <v>55.882679999999993</v>
      </c>
      <c r="X55" s="666">
        <v>4</v>
      </c>
      <c r="Y55" s="666">
        <f t="shared" si="16"/>
        <v>55.882679999999993</v>
      </c>
      <c r="Z55" s="666">
        <v>4</v>
      </c>
      <c r="AA55" s="666">
        <f t="shared" si="17"/>
        <v>55.882679999999993</v>
      </c>
      <c r="AB55" s="666"/>
    </row>
    <row r="56" spans="1:28" x14ac:dyDescent="0.25">
      <c r="A56" s="666" t="s">
        <v>575</v>
      </c>
      <c r="B56" s="666" t="s">
        <v>532</v>
      </c>
      <c r="C56" s="666">
        <v>23.1</v>
      </c>
      <c r="D56" s="666">
        <v>5</v>
      </c>
      <c r="E56" s="666">
        <f t="shared" si="18"/>
        <v>115.5</v>
      </c>
      <c r="F56" s="666">
        <v>7</v>
      </c>
      <c r="G56" s="666">
        <f t="shared" si="19"/>
        <v>161.70000000000002</v>
      </c>
      <c r="H56" s="666">
        <v>4</v>
      </c>
      <c r="I56" s="666">
        <f t="shared" si="20"/>
        <v>92.4</v>
      </c>
      <c r="J56" s="666">
        <v>5</v>
      </c>
      <c r="K56" s="666">
        <f t="shared" si="21"/>
        <v>115.5</v>
      </c>
      <c r="L56" s="666">
        <v>7</v>
      </c>
      <c r="M56" s="666">
        <f t="shared" si="22"/>
        <v>161.70000000000002</v>
      </c>
      <c r="N56" s="666">
        <v>6</v>
      </c>
      <c r="O56" s="666">
        <f t="shared" si="23"/>
        <v>138.60000000000002</v>
      </c>
      <c r="P56" s="666">
        <v>6</v>
      </c>
      <c r="Q56" s="666">
        <f t="shared" si="12"/>
        <v>138.60000000000002</v>
      </c>
      <c r="R56" s="666">
        <v>7</v>
      </c>
      <c r="S56" s="666">
        <f t="shared" si="13"/>
        <v>161.70000000000002</v>
      </c>
      <c r="T56" s="666">
        <v>7</v>
      </c>
      <c r="U56" s="666">
        <f t="shared" si="14"/>
        <v>161.70000000000002</v>
      </c>
      <c r="V56" s="666">
        <v>5</v>
      </c>
      <c r="W56" s="666">
        <f t="shared" si="15"/>
        <v>115.5</v>
      </c>
      <c r="X56" s="666">
        <v>5</v>
      </c>
      <c r="Y56" s="666">
        <f t="shared" si="16"/>
        <v>115.5</v>
      </c>
      <c r="Z56" s="666">
        <v>4</v>
      </c>
      <c r="AA56" s="666">
        <f t="shared" si="17"/>
        <v>92.4</v>
      </c>
      <c r="AB56" s="666"/>
    </row>
    <row r="57" spans="1:28" x14ac:dyDescent="0.25">
      <c r="A57" s="666" t="s">
        <v>576</v>
      </c>
      <c r="B57" s="666" t="s">
        <v>532</v>
      </c>
      <c r="C57" s="666">
        <v>48.3</v>
      </c>
      <c r="D57" s="666">
        <v>8</v>
      </c>
      <c r="E57" s="666">
        <f t="shared" si="18"/>
        <v>386.4</v>
      </c>
      <c r="F57" s="666">
        <v>5</v>
      </c>
      <c r="G57" s="666">
        <f t="shared" si="19"/>
        <v>241.5</v>
      </c>
      <c r="H57" s="666">
        <v>5</v>
      </c>
      <c r="I57" s="666">
        <f t="shared" si="20"/>
        <v>241.5</v>
      </c>
      <c r="J57" s="666">
        <v>8</v>
      </c>
      <c r="K57" s="666">
        <f t="shared" si="21"/>
        <v>386.4</v>
      </c>
      <c r="L57" s="666">
        <v>5</v>
      </c>
      <c r="M57" s="666">
        <f t="shared" si="22"/>
        <v>241.5</v>
      </c>
      <c r="N57" s="666">
        <v>10</v>
      </c>
      <c r="O57" s="666">
        <f t="shared" si="23"/>
        <v>483</v>
      </c>
      <c r="P57" s="666">
        <v>10</v>
      </c>
      <c r="Q57" s="666">
        <f t="shared" si="12"/>
        <v>483</v>
      </c>
      <c r="R57" s="666">
        <v>5</v>
      </c>
      <c r="S57" s="666">
        <f t="shared" si="13"/>
        <v>241.5</v>
      </c>
      <c r="T57" s="666">
        <v>5</v>
      </c>
      <c r="U57" s="666">
        <f t="shared" si="14"/>
        <v>241.5</v>
      </c>
      <c r="V57" s="666">
        <v>8</v>
      </c>
      <c r="W57" s="666">
        <f t="shared" si="15"/>
        <v>386.4</v>
      </c>
      <c r="X57" s="666">
        <v>8</v>
      </c>
      <c r="Y57" s="666">
        <f t="shared" si="16"/>
        <v>386.4</v>
      </c>
      <c r="Z57" s="666">
        <v>5</v>
      </c>
      <c r="AA57" s="666">
        <f t="shared" si="17"/>
        <v>241.5</v>
      </c>
      <c r="AB57" s="666"/>
    </row>
    <row r="58" spans="1:28" x14ac:dyDescent="0.25">
      <c r="A58" s="666" t="s">
        <v>577</v>
      </c>
      <c r="B58" s="666" t="s">
        <v>528</v>
      </c>
      <c r="C58" s="666">
        <v>26.25</v>
      </c>
      <c r="D58" s="666">
        <v>4</v>
      </c>
      <c r="E58" s="666">
        <f t="shared" si="18"/>
        <v>105</v>
      </c>
      <c r="F58" s="666">
        <v>0</v>
      </c>
      <c r="G58" s="666">
        <f t="shared" si="19"/>
        <v>0</v>
      </c>
      <c r="H58" s="666">
        <v>0</v>
      </c>
      <c r="I58" s="666">
        <f t="shared" si="20"/>
        <v>0</v>
      </c>
      <c r="J58" s="666">
        <v>0</v>
      </c>
      <c r="K58" s="666">
        <f t="shared" si="21"/>
        <v>0</v>
      </c>
      <c r="L58" s="666">
        <v>0</v>
      </c>
      <c r="M58" s="666">
        <f t="shared" si="22"/>
        <v>0</v>
      </c>
      <c r="N58" s="666">
        <v>0</v>
      </c>
      <c r="O58" s="666">
        <f t="shared" si="23"/>
        <v>0</v>
      </c>
      <c r="P58" s="666">
        <v>0</v>
      </c>
      <c r="Q58" s="666">
        <f t="shared" si="12"/>
        <v>0</v>
      </c>
      <c r="R58" s="666">
        <v>0</v>
      </c>
      <c r="S58" s="666">
        <f t="shared" si="13"/>
        <v>0</v>
      </c>
      <c r="T58" s="666">
        <v>0</v>
      </c>
      <c r="U58" s="666">
        <f t="shared" si="14"/>
        <v>0</v>
      </c>
      <c r="V58" s="666">
        <v>0</v>
      </c>
      <c r="W58" s="666">
        <f t="shared" si="15"/>
        <v>0</v>
      </c>
      <c r="X58" s="666">
        <v>0</v>
      </c>
      <c r="Y58" s="666">
        <f t="shared" si="16"/>
        <v>0</v>
      </c>
      <c r="Z58" s="666">
        <v>3</v>
      </c>
      <c r="AA58" s="666">
        <f t="shared" si="17"/>
        <v>78.75</v>
      </c>
      <c r="AB58" s="666"/>
    </row>
    <row r="59" spans="1:28" x14ac:dyDescent="0.25">
      <c r="A59" s="666" t="s">
        <v>578</v>
      </c>
      <c r="B59" s="666" t="s">
        <v>528</v>
      </c>
      <c r="C59" s="666">
        <v>7.14</v>
      </c>
      <c r="D59" s="666">
        <v>4</v>
      </c>
      <c r="E59" s="666">
        <f t="shared" si="18"/>
        <v>28.56</v>
      </c>
      <c r="F59" s="666">
        <v>7</v>
      </c>
      <c r="G59" s="666">
        <f t="shared" si="19"/>
        <v>49.98</v>
      </c>
      <c r="H59" s="666">
        <v>3</v>
      </c>
      <c r="I59" s="666">
        <f t="shared" si="20"/>
        <v>21.419999999999998</v>
      </c>
      <c r="J59" s="666">
        <v>4</v>
      </c>
      <c r="K59" s="666">
        <f t="shared" si="21"/>
        <v>28.56</v>
      </c>
      <c r="L59" s="666">
        <v>7</v>
      </c>
      <c r="M59" s="666">
        <f t="shared" si="22"/>
        <v>49.98</v>
      </c>
      <c r="N59" s="666">
        <v>6</v>
      </c>
      <c r="O59" s="666">
        <f t="shared" si="23"/>
        <v>42.839999999999996</v>
      </c>
      <c r="P59" s="666">
        <v>6</v>
      </c>
      <c r="Q59" s="666">
        <f t="shared" si="12"/>
        <v>42.839999999999996</v>
      </c>
      <c r="R59" s="666">
        <v>7</v>
      </c>
      <c r="S59" s="666">
        <f t="shared" si="13"/>
        <v>49.98</v>
      </c>
      <c r="T59" s="666">
        <v>7</v>
      </c>
      <c r="U59" s="666">
        <f t="shared" si="14"/>
        <v>49.98</v>
      </c>
      <c r="V59" s="666">
        <v>4</v>
      </c>
      <c r="W59" s="666">
        <f t="shared" si="15"/>
        <v>28.56</v>
      </c>
      <c r="X59" s="666">
        <v>4</v>
      </c>
      <c r="Y59" s="666">
        <f t="shared" si="16"/>
        <v>28.56</v>
      </c>
      <c r="Z59" s="666">
        <v>3</v>
      </c>
      <c r="AA59" s="666">
        <f t="shared" si="17"/>
        <v>21.419999999999998</v>
      </c>
      <c r="AB59" s="666"/>
    </row>
    <row r="60" spans="1:28" x14ac:dyDescent="0.25">
      <c r="A60" s="666" t="s">
        <v>579</v>
      </c>
      <c r="B60" s="666" t="s">
        <v>528</v>
      </c>
      <c r="C60" s="666">
        <v>7.14</v>
      </c>
      <c r="D60" s="666">
        <v>5</v>
      </c>
      <c r="E60" s="666">
        <f t="shared" si="18"/>
        <v>35.699999999999996</v>
      </c>
      <c r="F60" s="666">
        <v>10</v>
      </c>
      <c r="G60" s="666">
        <f t="shared" si="19"/>
        <v>71.399999999999991</v>
      </c>
      <c r="H60" s="666">
        <v>5</v>
      </c>
      <c r="I60" s="666">
        <f t="shared" si="20"/>
        <v>35.699999999999996</v>
      </c>
      <c r="J60" s="666">
        <v>5</v>
      </c>
      <c r="K60" s="666">
        <f t="shared" si="21"/>
        <v>35.699999999999996</v>
      </c>
      <c r="L60" s="666">
        <v>10</v>
      </c>
      <c r="M60" s="666">
        <f t="shared" si="22"/>
        <v>71.399999999999991</v>
      </c>
      <c r="N60" s="666">
        <v>7</v>
      </c>
      <c r="O60" s="666">
        <f t="shared" si="23"/>
        <v>49.98</v>
      </c>
      <c r="P60" s="666">
        <v>7</v>
      </c>
      <c r="Q60" s="666">
        <f t="shared" si="12"/>
        <v>49.98</v>
      </c>
      <c r="R60" s="666">
        <v>10</v>
      </c>
      <c r="S60" s="666">
        <f t="shared" si="13"/>
        <v>71.399999999999991</v>
      </c>
      <c r="T60" s="666">
        <v>10</v>
      </c>
      <c r="U60" s="666">
        <f t="shared" si="14"/>
        <v>71.399999999999991</v>
      </c>
      <c r="V60" s="666">
        <v>5</v>
      </c>
      <c r="W60" s="666">
        <f t="shared" si="15"/>
        <v>35.699999999999996</v>
      </c>
      <c r="X60" s="666">
        <v>5</v>
      </c>
      <c r="Y60" s="666">
        <f t="shared" si="16"/>
        <v>35.699999999999996</v>
      </c>
      <c r="Z60" s="666">
        <v>5</v>
      </c>
      <c r="AA60" s="666">
        <f t="shared" si="17"/>
        <v>35.699999999999996</v>
      </c>
      <c r="AB60" s="666"/>
    </row>
    <row r="61" spans="1:28" x14ac:dyDescent="0.25">
      <c r="A61" s="666" t="s">
        <v>580</v>
      </c>
      <c r="B61" s="666" t="s">
        <v>528</v>
      </c>
      <c r="C61" s="666">
        <v>7.14</v>
      </c>
      <c r="D61" s="666">
        <v>8</v>
      </c>
      <c r="E61" s="666">
        <f t="shared" si="18"/>
        <v>57.12</v>
      </c>
      <c r="F61" s="666">
        <v>15</v>
      </c>
      <c r="G61" s="666">
        <f t="shared" si="19"/>
        <v>107.1</v>
      </c>
      <c r="H61" s="666">
        <v>7</v>
      </c>
      <c r="I61" s="666">
        <f t="shared" si="20"/>
        <v>49.98</v>
      </c>
      <c r="J61" s="666">
        <v>8</v>
      </c>
      <c r="K61" s="666">
        <f t="shared" si="21"/>
        <v>57.12</v>
      </c>
      <c r="L61" s="666">
        <v>15</v>
      </c>
      <c r="M61" s="666">
        <f t="shared" si="22"/>
        <v>107.1</v>
      </c>
      <c r="N61" s="666">
        <v>12</v>
      </c>
      <c r="O61" s="666">
        <f t="shared" si="23"/>
        <v>85.679999999999993</v>
      </c>
      <c r="P61" s="666">
        <v>12</v>
      </c>
      <c r="Q61" s="666">
        <f t="shared" si="12"/>
        <v>85.679999999999993</v>
      </c>
      <c r="R61" s="666">
        <v>15</v>
      </c>
      <c r="S61" s="666">
        <f t="shared" si="13"/>
        <v>107.1</v>
      </c>
      <c r="T61" s="666">
        <v>15</v>
      </c>
      <c r="U61" s="666">
        <f t="shared" si="14"/>
        <v>107.1</v>
      </c>
      <c r="V61" s="666">
        <v>8</v>
      </c>
      <c r="W61" s="666">
        <f t="shared" si="15"/>
        <v>57.12</v>
      </c>
      <c r="X61" s="666">
        <v>8</v>
      </c>
      <c r="Y61" s="666">
        <f t="shared" si="16"/>
        <v>57.12</v>
      </c>
      <c r="Z61" s="666">
        <v>7</v>
      </c>
      <c r="AA61" s="666">
        <f t="shared" si="17"/>
        <v>49.98</v>
      </c>
      <c r="AB61" s="666"/>
    </row>
    <row r="62" spans="1:28" x14ac:dyDescent="0.25">
      <c r="A62" s="666" t="s">
        <v>581</v>
      </c>
      <c r="B62" s="666" t="s">
        <v>532</v>
      </c>
      <c r="C62" s="666">
        <v>9.8490000000000002</v>
      </c>
      <c r="D62" s="666">
        <v>10</v>
      </c>
      <c r="E62" s="666">
        <f t="shared" si="18"/>
        <v>98.490000000000009</v>
      </c>
      <c r="F62" s="666">
        <v>12</v>
      </c>
      <c r="G62" s="666">
        <f t="shared" si="19"/>
        <v>118.188</v>
      </c>
      <c r="H62" s="666">
        <v>6</v>
      </c>
      <c r="I62" s="666">
        <f t="shared" si="20"/>
        <v>59.094000000000001</v>
      </c>
      <c r="J62" s="666">
        <v>10</v>
      </c>
      <c r="K62" s="666">
        <f t="shared" si="21"/>
        <v>98.490000000000009</v>
      </c>
      <c r="L62" s="666">
        <v>12</v>
      </c>
      <c r="M62" s="666">
        <f t="shared" si="22"/>
        <v>118.188</v>
      </c>
      <c r="N62" s="666">
        <v>10</v>
      </c>
      <c r="O62" s="666">
        <f t="shared" si="23"/>
        <v>98.490000000000009</v>
      </c>
      <c r="P62" s="666">
        <v>10</v>
      </c>
      <c r="Q62" s="666">
        <f t="shared" si="12"/>
        <v>98.490000000000009</v>
      </c>
      <c r="R62" s="666">
        <v>12</v>
      </c>
      <c r="S62" s="666">
        <f t="shared" si="13"/>
        <v>118.188</v>
      </c>
      <c r="T62" s="666">
        <v>12</v>
      </c>
      <c r="U62" s="666">
        <f t="shared" si="14"/>
        <v>118.188</v>
      </c>
      <c r="V62" s="666">
        <v>10</v>
      </c>
      <c r="W62" s="666">
        <f t="shared" si="15"/>
        <v>98.490000000000009</v>
      </c>
      <c r="X62" s="666">
        <v>10</v>
      </c>
      <c r="Y62" s="666">
        <f t="shared" si="16"/>
        <v>98.490000000000009</v>
      </c>
      <c r="Z62" s="666">
        <v>6</v>
      </c>
      <c r="AA62" s="666">
        <f t="shared" si="17"/>
        <v>59.094000000000001</v>
      </c>
      <c r="AB62" s="666"/>
    </row>
    <row r="63" spans="1:28" x14ac:dyDescent="0.25">
      <c r="A63" s="666" t="s">
        <v>1384</v>
      </c>
      <c r="B63" s="666" t="s">
        <v>260</v>
      </c>
      <c r="C63" s="666">
        <v>15</v>
      </c>
      <c r="D63" s="666">
        <v>300</v>
      </c>
      <c r="E63" s="666">
        <f t="shared" ref="E63" si="24">C63*D63</f>
        <v>4500</v>
      </c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</row>
    <row r="64" spans="1:28" x14ac:dyDescent="0.25">
      <c r="A64" s="666"/>
      <c r="B64" s="666"/>
      <c r="C64" s="666">
        <v>0</v>
      </c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</row>
    <row r="65" spans="1:28" x14ac:dyDescent="0.25">
      <c r="A65" s="666" t="s">
        <v>582</v>
      </c>
      <c r="B65" s="666" t="s">
        <v>528</v>
      </c>
      <c r="C65" s="666">
        <v>20.79</v>
      </c>
      <c r="D65" s="666">
        <v>4</v>
      </c>
      <c r="E65" s="666">
        <f t="shared" ref="E65:E84" si="25">C65*D65</f>
        <v>83.16</v>
      </c>
      <c r="F65" s="666">
        <v>7</v>
      </c>
      <c r="G65" s="666">
        <f t="shared" ref="G65:G84" si="26">F65*C65</f>
        <v>145.53</v>
      </c>
      <c r="H65" s="666">
        <v>1</v>
      </c>
      <c r="I65" s="666">
        <f t="shared" ref="I65:I84" si="27">H65*C65</f>
        <v>20.79</v>
      </c>
      <c r="J65" s="666">
        <v>4</v>
      </c>
      <c r="K65" s="666">
        <f t="shared" ref="K65:K84" si="28">J65*C65</f>
        <v>83.16</v>
      </c>
      <c r="L65" s="666">
        <v>7</v>
      </c>
      <c r="M65" s="666">
        <f t="shared" ref="M65:M84" si="29">L65*C65</f>
        <v>145.53</v>
      </c>
      <c r="N65" s="666">
        <v>1</v>
      </c>
      <c r="O65" s="666">
        <f t="shared" ref="O65:O84" si="30">N65*C65</f>
        <v>20.79</v>
      </c>
      <c r="P65" s="666">
        <v>1</v>
      </c>
      <c r="Q65" s="666">
        <f t="shared" ref="Q65:Q84" si="31">P65*C65</f>
        <v>20.79</v>
      </c>
      <c r="R65" s="666">
        <v>7</v>
      </c>
      <c r="S65" s="666">
        <f t="shared" ref="S65:S84" si="32">R65*C65</f>
        <v>145.53</v>
      </c>
      <c r="T65" s="666">
        <v>7</v>
      </c>
      <c r="U65" s="666">
        <f t="shared" ref="U65:U84" si="33">T65*C65</f>
        <v>145.53</v>
      </c>
      <c r="V65" s="666">
        <v>4</v>
      </c>
      <c r="W65" s="666">
        <f t="shared" ref="W65:W84" si="34">V65*C65</f>
        <v>83.16</v>
      </c>
      <c r="X65" s="666">
        <v>4</v>
      </c>
      <c r="Y65" s="666">
        <f t="shared" ref="Y65:Y84" si="35">X65*C65</f>
        <v>83.16</v>
      </c>
      <c r="Z65" s="666">
        <v>3</v>
      </c>
      <c r="AA65" s="666">
        <f t="shared" ref="AA65:AA84" si="36">Z65*C65</f>
        <v>62.37</v>
      </c>
      <c r="AB65" s="666"/>
    </row>
    <row r="66" spans="1:28" x14ac:dyDescent="0.25">
      <c r="A66" s="666" t="s">
        <v>583</v>
      </c>
      <c r="B66" s="666" t="s">
        <v>528</v>
      </c>
      <c r="C66" s="666">
        <v>16.317</v>
      </c>
      <c r="D66" s="666">
        <v>3</v>
      </c>
      <c r="E66" s="666">
        <f t="shared" si="25"/>
        <v>48.951000000000001</v>
      </c>
      <c r="F66" s="666">
        <v>3</v>
      </c>
      <c r="G66" s="666">
        <f t="shared" si="26"/>
        <v>48.951000000000001</v>
      </c>
      <c r="H66" s="666">
        <v>2</v>
      </c>
      <c r="I66" s="666">
        <f t="shared" si="27"/>
        <v>32.634</v>
      </c>
      <c r="J66" s="666">
        <v>3</v>
      </c>
      <c r="K66" s="666">
        <f t="shared" si="28"/>
        <v>48.951000000000001</v>
      </c>
      <c r="L66" s="666">
        <v>3</v>
      </c>
      <c r="M66" s="666">
        <f t="shared" si="29"/>
        <v>48.951000000000001</v>
      </c>
      <c r="N66" s="666">
        <v>3</v>
      </c>
      <c r="O66" s="666">
        <f t="shared" si="30"/>
        <v>48.951000000000001</v>
      </c>
      <c r="P66" s="666">
        <v>3</v>
      </c>
      <c r="Q66" s="666">
        <f t="shared" si="31"/>
        <v>48.951000000000001</v>
      </c>
      <c r="R66" s="666">
        <v>3</v>
      </c>
      <c r="S66" s="666">
        <f t="shared" si="32"/>
        <v>48.951000000000001</v>
      </c>
      <c r="T66" s="666">
        <v>3</v>
      </c>
      <c r="U66" s="666">
        <f t="shared" si="33"/>
        <v>48.951000000000001</v>
      </c>
      <c r="V66" s="666">
        <v>3</v>
      </c>
      <c r="W66" s="666">
        <f t="shared" si="34"/>
        <v>48.951000000000001</v>
      </c>
      <c r="X66" s="666">
        <v>3</v>
      </c>
      <c r="Y66" s="666">
        <f t="shared" si="35"/>
        <v>48.951000000000001</v>
      </c>
      <c r="Z66" s="666">
        <v>2</v>
      </c>
      <c r="AA66" s="666">
        <f t="shared" si="36"/>
        <v>32.634</v>
      </c>
      <c r="AB66" s="666"/>
    </row>
    <row r="67" spans="1:28" x14ac:dyDescent="0.25">
      <c r="A67" s="666" t="s">
        <v>584</v>
      </c>
      <c r="B67" s="666" t="s">
        <v>528</v>
      </c>
      <c r="C67" s="666">
        <v>5.6805000000000003</v>
      </c>
      <c r="D67" s="666">
        <v>6</v>
      </c>
      <c r="E67" s="666">
        <f t="shared" si="25"/>
        <v>34.082999999999998</v>
      </c>
      <c r="F67" s="666">
        <v>5</v>
      </c>
      <c r="G67" s="666">
        <f t="shared" si="26"/>
        <v>28.402500000000003</v>
      </c>
      <c r="H67" s="666">
        <v>4</v>
      </c>
      <c r="I67" s="666">
        <f t="shared" si="27"/>
        <v>22.722000000000001</v>
      </c>
      <c r="J67" s="666">
        <v>11</v>
      </c>
      <c r="K67" s="666">
        <f t="shared" si="28"/>
        <v>62.485500000000002</v>
      </c>
      <c r="L67" s="666">
        <v>5</v>
      </c>
      <c r="M67" s="666">
        <f t="shared" si="29"/>
        <v>28.402500000000003</v>
      </c>
      <c r="N67" s="666">
        <v>6</v>
      </c>
      <c r="O67" s="666">
        <f t="shared" si="30"/>
        <v>34.082999999999998</v>
      </c>
      <c r="P67" s="666">
        <v>6</v>
      </c>
      <c r="Q67" s="666">
        <f t="shared" si="31"/>
        <v>34.082999999999998</v>
      </c>
      <c r="R67" s="666">
        <v>5</v>
      </c>
      <c r="S67" s="666">
        <f t="shared" si="32"/>
        <v>28.402500000000003</v>
      </c>
      <c r="T67" s="666">
        <v>5</v>
      </c>
      <c r="U67" s="666">
        <f t="shared" si="33"/>
        <v>28.402500000000003</v>
      </c>
      <c r="V67" s="666">
        <v>11</v>
      </c>
      <c r="W67" s="666">
        <f t="shared" si="34"/>
        <v>62.485500000000002</v>
      </c>
      <c r="X67" s="666">
        <v>11</v>
      </c>
      <c r="Y67" s="666">
        <f t="shared" si="35"/>
        <v>62.485500000000002</v>
      </c>
      <c r="Z67" s="666">
        <v>6</v>
      </c>
      <c r="AA67" s="666">
        <f t="shared" si="36"/>
        <v>34.082999999999998</v>
      </c>
      <c r="AB67" s="666"/>
    </row>
    <row r="68" spans="1:28" x14ac:dyDescent="0.25">
      <c r="A68" s="666" t="s">
        <v>585</v>
      </c>
      <c r="B68" s="666" t="s">
        <v>528</v>
      </c>
      <c r="C68" s="666">
        <v>5.6805000000000003</v>
      </c>
      <c r="D68" s="666">
        <v>4</v>
      </c>
      <c r="E68" s="666">
        <f t="shared" si="25"/>
        <v>22.722000000000001</v>
      </c>
      <c r="F68" s="666">
        <v>7</v>
      </c>
      <c r="G68" s="666">
        <f t="shared" si="26"/>
        <v>39.763500000000001</v>
      </c>
      <c r="H68" s="666">
        <v>4</v>
      </c>
      <c r="I68" s="666">
        <f t="shared" si="27"/>
        <v>22.722000000000001</v>
      </c>
      <c r="J68" s="666">
        <v>6</v>
      </c>
      <c r="K68" s="666">
        <f t="shared" si="28"/>
        <v>34.082999999999998</v>
      </c>
      <c r="L68" s="666">
        <v>7</v>
      </c>
      <c r="M68" s="666">
        <f t="shared" si="29"/>
        <v>39.763500000000001</v>
      </c>
      <c r="N68" s="666">
        <v>6</v>
      </c>
      <c r="O68" s="666">
        <f t="shared" si="30"/>
        <v>34.082999999999998</v>
      </c>
      <c r="P68" s="666">
        <v>6</v>
      </c>
      <c r="Q68" s="666">
        <f t="shared" si="31"/>
        <v>34.082999999999998</v>
      </c>
      <c r="R68" s="666">
        <v>7</v>
      </c>
      <c r="S68" s="666">
        <f t="shared" si="32"/>
        <v>39.763500000000001</v>
      </c>
      <c r="T68" s="666">
        <v>7</v>
      </c>
      <c r="U68" s="666">
        <f t="shared" si="33"/>
        <v>39.763500000000001</v>
      </c>
      <c r="V68" s="666">
        <v>6</v>
      </c>
      <c r="W68" s="666">
        <f t="shared" si="34"/>
        <v>34.082999999999998</v>
      </c>
      <c r="X68" s="666">
        <v>6</v>
      </c>
      <c r="Y68" s="666">
        <f t="shared" si="35"/>
        <v>34.082999999999998</v>
      </c>
      <c r="Z68" s="666">
        <v>3</v>
      </c>
      <c r="AA68" s="666">
        <f t="shared" si="36"/>
        <v>17.041499999999999</v>
      </c>
      <c r="AB68" s="666"/>
    </row>
    <row r="69" spans="1:28" x14ac:dyDescent="0.25">
      <c r="A69" s="666" t="s">
        <v>586</v>
      </c>
      <c r="B69" s="666" t="s">
        <v>528</v>
      </c>
      <c r="C69" s="666">
        <v>5.6805000000000003</v>
      </c>
      <c r="D69" s="666">
        <v>6</v>
      </c>
      <c r="E69" s="666">
        <f t="shared" si="25"/>
        <v>34.082999999999998</v>
      </c>
      <c r="F69" s="666">
        <v>12</v>
      </c>
      <c r="G69" s="666">
        <f t="shared" si="26"/>
        <v>68.165999999999997</v>
      </c>
      <c r="H69" s="666">
        <v>3</v>
      </c>
      <c r="I69" s="666">
        <f t="shared" si="27"/>
        <v>17.041499999999999</v>
      </c>
      <c r="J69" s="666">
        <v>6</v>
      </c>
      <c r="K69" s="666">
        <f t="shared" si="28"/>
        <v>34.082999999999998</v>
      </c>
      <c r="L69" s="666">
        <v>12</v>
      </c>
      <c r="M69" s="666">
        <f t="shared" si="29"/>
        <v>68.165999999999997</v>
      </c>
      <c r="N69" s="666">
        <v>10</v>
      </c>
      <c r="O69" s="666">
        <f t="shared" si="30"/>
        <v>56.805000000000007</v>
      </c>
      <c r="P69" s="666">
        <v>10</v>
      </c>
      <c r="Q69" s="666">
        <f t="shared" si="31"/>
        <v>56.805000000000007</v>
      </c>
      <c r="R69" s="666">
        <v>12</v>
      </c>
      <c r="S69" s="666">
        <f t="shared" si="32"/>
        <v>68.165999999999997</v>
      </c>
      <c r="T69" s="666">
        <v>12</v>
      </c>
      <c r="U69" s="666">
        <f t="shared" si="33"/>
        <v>68.165999999999997</v>
      </c>
      <c r="V69" s="666">
        <v>6</v>
      </c>
      <c r="W69" s="666">
        <f t="shared" si="34"/>
        <v>34.082999999999998</v>
      </c>
      <c r="X69" s="666">
        <v>6</v>
      </c>
      <c r="Y69" s="666">
        <f t="shared" si="35"/>
        <v>34.082999999999998</v>
      </c>
      <c r="Z69" s="666">
        <v>6</v>
      </c>
      <c r="AA69" s="666">
        <f t="shared" si="36"/>
        <v>34.082999999999998</v>
      </c>
      <c r="AB69" s="666"/>
    </row>
    <row r="70" spans="1:28" x14ac:dyDescent="0.25">
      <c r="A70" s="666" t="s">
        <v>587</v>
      </c>
      <c r="B70" s="666" t="s">
        <v>528</v>
      </c>
      <c r="C70" s="666">
        <v>5.6805000000000003</v>
      </c>
      <c r="D70" s="666">
        <v>4</v>
      </c>
      <c r="E70" s="666">
        <f t="shared" si="25"/>
        <v>22.722000000000001</v>
      </c>
      <c r="F70" s="666">
        <v>7</v>
      </c>
      <c r="G70" s="666">
        <f t="shared" si="26"/>
        <v>39.763500000000001</v>
      </c>
      <c r="H70" s="666">
        <v>3</v>
      </c>
      <c r="I70" s="666">
        <f t="shared" si="27"/>
        <v>17.041499999999999</v>
      </c>
      <c r="J70" s="666">
        <v>4</v>
      </c>
      <c r="K70" s="666">
        <f t="shared" si="28"/>
        <v>22.722000000000001</v>
      </c>
      <c r="L70" s="666">
        <v>7</v>
      </c>
      <c r="M70" s="666">
        <f t="shared" si="29"/>
        <v>39.763500000000001</v>
      </c>
      <c r="N70" s="666">
        <v>5</v>
      </c>
      <c r="O70" s="666">
        <f t="shared" si="30"/>
        <v>28.402500000000003</v>
      </c>
      <c r="P70" s="666">
        <v>5</v>
      </c>
      <c r="Q70" s="666">
        <f t="shared" si="31"/>
        <v>28.402500000000003</v>
      </c>
      <c r="R70" s="666">
        <v>7</v>
      </c>
      <c r="S70" s="666">
        <f t="shared" si="32"/>
        <v>39.763500000000001</v>
      </c>
      <c r="T70" s="666">
        <v>7</v>
      </c>
      <c r="U70" s="666">
        <f t="shared" si="33"/>
        <v>39.763500000000001</v>
      </c>
      <c r="V70" s="666">
        <v>4</v>
      </c>
      <c r="W70" s="666">
        <f t="shared" si="34"/>
        <v>22.722000000000001</v>
      </c>
      <c r="X70" s="666">
        <v>3</v>
      </c>
      <c r="Y70" s="666">
        <f t="shared" si="35"/>
        <v>17.041499999999999</v>
      </c>
      <c r="Z70" s="666">
        <v>3</v>
      </c>
      <c r="AA70" s="666">
        <f t="shared" si="36"/>
        <v>17.041499999999999</v>
      </c>
      <c r="AB70" s="666"/>
    </row>
    <row r="71" spans="1:28" x14ac:dyDescent="0.25">
      <c r="A71" s="666" t="s">
        <v>588</v>
      </c>
      <c r="B71" s="666" t="s">
        <v>528</v>
      </c>
      <c r="C71" s="666">
        <v>11.55</v>
      </c>
      <c r="D71" s="666">
        <v>2</v>
      </c>
      <c r="E71" s="666">
        <f t="shared" si="25"/>
        <v>23.1</v>
      </c>
      <c r="F71" s="666">
        <v>3</v>
      </c>
      <c r="G71" s="666">
        <f t="shared" si="26"/>
        <v>34.650000000000006</v>
      </c>
      <c r="H71" s="666">
        <v>2</v>
      </c>
      <c r="I71" s="666">
        <f t="shared" si="27"/>
        <v>23.1</v>
      </c>
      <c r="J71" s="666">
        <v>2</v>
      </c>
      <c r="K71" s="666">
        <f t="shared" si="28"/>
        <v>23.1</v>
      </c>
      <c r="L71" s="666">
        <v>3</v>
      </c>
      <c r="M71" s="666">
        <f t="shared" si="29"/>
        <v>34.650000000000006</v>
      </c>
      <c r="N71" s="666">
        <v>2</v>
      </c>
      <c r="O71" s="666">
        <f t="shared" si="30"/>
        <v>23.1</v>
      </c>
      <c r="P71" s="666">
        <v>2</v>
      </c>
      <c r="Q71" s="666">
        <f t="shared" si="31"/>
        <v>23.1</v>
      </c>
      <c r="R71" s="666">
        <v>3</v>
      </c>
      <c r="S71" s="666">
        <f t="shared" si="32"/>
        <v>34.650000000000006</v>
      </c>
      <c r="T71" s="666">
        <v>3</v>
      </c>
      <c r="U71" s="666">
        <f t="shared" si="33"/>
        <v>34.650000000000006</v>
      </c>
      <c r="V71" s="666">
        <v>2</v>
      </c>
      <c r="W71" s="666">
        <f t="shared" si="34"/>
        <v>23.1</v>
      </c>
      <c r="X71" s="666">
        <v>2</v>
      </c>
      <c r="Y71" s="666">
        <f t="shared" si="35"/>
        <v>23.1</v>
      </c>
      <c r="Z71" s="666">
        <v>2</v>
      </c>
      <c r="AA71" s="666">
        <f t="shared" si="36"/>
        <v>23.1</v>
      </c>
      <c r="AB71" s="666"/>
    </row>
    <row r="72" spans="1:28" x14ac:dyDescent="0.25">
      <c r="A72" s="666" t="s">
        <v>589</v>
      </c>
      <c r="B72" s="666" t="s">
        <v>528</v>
      </c>
      <c r="C72" s="666">
        <v>2.6539800000000002</v>
      </c>
      <c r="D72" s="666">
        <v>6</v>
      </c>
      <c r="E72" s="666">
        <f t="shared" si="25"/>
        <v>15.92388</v>
      </c>
      <c r="F72" s="666">
        <v>12</v>
      </c>
      <c r="G72" s="666">
        <f t="shared" si="26"/>
        <v>31.847760000000001</v>
      </c>
      <c r="H72" s="666">
        <v>6</v>
      </c>
      <c r="I72" s="666">
        <f t="shared" si="27"/>
        <v>15.92388</v>
      </c>
      <c r="J72" s="666">
        <v>7</v>
      </c>
      <c r="K72" s="666">
        <f t="shared" si="28"/>
        <v>18.577860000000001</v>
      </c>
      <c r="L72" s="666">
        <v>12</v>
      </c>
      <c r="M72" s="666">
        <f t="shared" si="29"/>
        <v>31.847760000000001</v>
      </c>
      <c r="N72" s="666">
        <v>10</v>
      </c>
      <c r="O72" s="666">
        <f t="shared" si="30"/>
        <v>26.539800000000003</v>
      </c>
      <c r="P72" s="666">
        <v>10</v>
      </c>
      <c r="Q72" s="666">
        <f t="shared" si="31"/>
        <v>26.539800000000003</v>
      </c>
      <c r="R72" s="666">
        <v>12</v>
      </c>
      <c r="S72" s="666">
        <f t="shared" si="32"/>
        <v>31.847760000000001</v>
      </c>
      <c r="T72" s="666">
        <v>12</v>
      </c>
      <c r="U72" s="666">
        <f t="shared" si="33"/>
        <v>31.847760000000001</v>
      </c>
      <c r="V72" s="666">
        <v>7</v>
      </c>
      <c r="W72" s="666">
        <f t="shared" si="34"/>
        <v>18.577860000000001</v>
      </c>
      <c r="X72" s="666">
        <v>6</v>
      </c>
      <c r="Y72" s="666">
        <f t="shared" si="35"/>
        <v>15.92388</v>
      </c>
      <c r="Z72" s="666">
        <v>6</v>
      </c>
      <c r="AA72" s="666">
        <f t="shared" si="36"/>
        <v>15.92388</v>
      </c>
      <c r="AB72" s="666"/>
    </row>
    <row r="73" spans="1:28" x14ac:dyDescent="0.25">
      <c r="A73" s="666" t="s">
        <v>590</v>
      </c>
      <c r="B73" s="666" t="s">
        <v>532</v>
      </c>
      <c r="C73" s="666">
        <v>4.1895000000000007</v>
      </c>
      <c r="D73" s="666">
        <v>4</v>
      </c>
      <c r="E73" s="666">
        <f t="shared" si="25"/>
        <v>16.758000000000003</v>
      </c>
      <c r="F73" s="666">
        <v>8</v>
      </c>
      <c r="G73" s="666">
        <f t="shared" si="26"/>
        <v>33.516000000000005</v>
      </c>
      <c r="H73" s="666">
        <v>4</v>
      </c>
      <c r="I73" s="666">
        <f t="shared" si="27"/>
        <v>16.758000000000003</v>
      </c>
      <c r="J73" s="666">
        <v>4</v>
      </c>
      <c r="K73" s="666">
        <f t="shared" si="28"/>
        <v>16.758000000000003</v>
      </c>
      <c r="L73" s="666">
        <v>8</v>
      </c>
      <c r="M73" s="666">
        <f t="shared" si="29"/>
        <v>33.516000000000005</v>
      </c>
      <c r="N73" s="666">
        <v>6</v>
      </c>
      <c r="O73" s="666">
        <f t="shared" si="30"/>
        <v>25.137000000000004</v>
      </c>
      <c r="P73" s="666">
        <v>6</v>
      </c>
      <c r="Q73" s="666">
        <f t="shared" si="31"/>
        <v>25.137000000000004</v>
      </c>
      <c r="R73" s="666">
        <v>8</v>
      </c>
      <c r="S73" s="666">
        <f t="shared" si="32"/>
        <v>33.516000000000005</v>
      </c>
      <c r="T73" s="666">
        <v>8</v>
      </c>
      <c r="U73" s="666">
        <f t="shared" si="33"/>
        <v>33.516000000000005</v>
      </c>
      <c r="V73" s="666">
        <v>4</v>
      </c>
      <c r="W73" s="666">
        <f t="shared" si="34"/>
        <v>16.758000000000003</v>
      </c>
      <c r="X73" s="666">
        <v>4</v>
      </c>
      <c r="Y73" s="666">
        <f t="shared" si="35"/>
        <v>16.758000000000003</v>
      </c>
      <c r="Z73" s="666">
        <v>4</v>
      </c>
      <c r="AA73" s="666">
        <f t="shared" si="36"/>
        <v>16.758000000000003</v>
      </c>
      <c r="AB73" s="666"/>
    </row>
    <row r="74" spans="1:28" x14ac:dyDescent="0.25">
      <c r="A74" s="666" t="s">
        <v>591</v>
      </c>
      <c r="B74" s="666" t="s">
        <v>532</v>
      </c>
      <c r="C74" s="666">
        <v>5.3129999999999997</v>
      </c>
      <c r="D74" s="666">
        <v>4</v>
      </c>
      <c r="E74" s="666">
        <f t="shared" si="25"/>
        <v>21.251999999999999</v>
      </c>
      <c r="F74" s="666">
        <v>7</v>
      </c>
      <c r="G74" s="666">
        <f t="shared" si="26"/>
        <v>37.190999999999995</v>
      </c>
      <c r="H74" s="666">
        <v>4</v>
      </c>
      <c r="I74" s="666">
        <f t="shared" si="27"/>
        <v>21.251999999999999</v>
      </c>
      <c r="J74" s="666">
        <v>4</v>
      </c>
      <c r="K74" s="666">
        <f t="shared" si="28"/>
        <v>21.251999999999999</v>
      </c>
      <c r="L74" s="666">
        <v>7</v>
      </c>
      <c r="M74" s="666">
        <f t="shared" si="29"/>
        <v>37.190999999999995</v>
      </c>
      <c r="N74" s="666">
        <v>6</v>
      </c>
      <c r="O74" s="666">
        <f t="shared" si="30"/>
        <v>31.878</v>
      </c>
      <c r="P74" s="666">
        <v>6</v>
      </c>
      <c r="Q74" s="666">
        <f t="shared" si="31"/>
        <v>31.878</v>
      </c>
      <c r="R74" s="666">
        <v>7</v>
      </c>
      <c r="S74" s="666">
        <f t="shared" si="32"/>
        <v>37.190999999999995</v>
      </c>
      <c r="T74" s="666">
        <v>7</v>
      </c>
      <c r="U74" s="666">
        <f t="shared" si="33"/>
        <v>37.190999999999995</v>
      </c>
      <c r="V74" s="666">
        <v>4</v>
      </c>
      <c r="W74" s="666">
        <f t="shared" si="34"/>
        <v>21.251999999999999</v>
      </c>
      <c r="X74" s="666">
        <v>3</v>
      </c>
      <c r="Y74" s="666">
        <f t="shared" si="35"/>
        <v>15.939</v>
      </c>
      <c r="Z74" s="666">
        <v>3</v>
      </c>
      <c r="AA74" s="666">
        <f t="shared" si="36"/>
        <v>15.939</v>
      </c>
      <c r="AB74" s="666"/>
    </row>
    <row r="75" spans="1:28" x14ac:dyDescent="0.25">
      <c r="A75" s="666" t="s">
        <v>592</v>
      </c>
      <c r="B75" s="666" t="s">
        <v>593</v>
      </c>
      <c r="C75" s="666">
        <v>3.6976800000000001</v>
      </c>
      <c r="D75" s="666">
        <v>7</v>
      </c>
      <c r="E75" s="666">
        <f t="shared" si="25"/>
        <v>25.883760000000002</v>
      </c>
      <c r="F75" s="666">
        <v>6</v>
      </c>
      <c r="G75" s="666">
        <f t="shared" si="26"/>
        <v>22.18608</v>
      </c>
      <c r="H75" s="666">
        <v>7</v>
      </c>
      <c r="I75" s="666">
        <f t="shared" si="27"/>
        <v>25.883760000000002</v>
      </c>
      <c r="J75" s="666">
        <v>8</v>
      </c>
      <c r="K75" s="666">
        <f t="shared" si="28"/>
        <v>29.581440000000001</v>
      </c>
      <c r="L75" s="666">
        <v>6</v>
      </c>
      <c r="M75" s="666">
        <f t="shared" si="29"/>
        <v>22.18608</v>
      </c>
      <c r="N75" s="666">
        <v>6</v>
      </c>
      <c r="O75" s="666">
        <f t="shared" si="30"/>
        <v>22.18608</v>
      </c>
      <c r="P75" s="666">
        <v>6</v>
      </c>
      <c r="Q75" s="666">
        <f t="shared" si="31"/>
        <v>22.18608</v>
      </c>
      <c r="R75" s="666">
        <v>6</v>
      </c>
      <c r="S75" s="666">
        <f t="shared" si="32"/>
        <v>22.18608</v>
      </c>
      <c r="T75" s="666">
        <v>6</v>
      </c>
      <c r="U75" s="666">
        <f t="shared" si="33"/>
        <v>22.18608</v>
      </c>
      <c r="V75" s="666">
        <v>8</v>
      </c>
      <c r="W75" s="666">
        <f t="shared" si="34"/>
        <v>29.581440000000001</v>
      </c>
      <c r="X75" s="666">
        <v>7</v>
      </c>
      <c r="Y75" s="666">
        <f t="shared" si="35"/>
        <v>25.883760000000002</v>
      </c>
      <c r="Z75" s="666">
        <v>7</v>
      </c>
      <c r="AA75" s="666">
        <f t="shared" si="36"/>
        <v>25.883760000000002</v>
      </c>
      <c r="AB75" s="666"/>
    </row>
    <row r="76" spans="1:28" x14ac:dyDescent="0.25">
      <c r="A76" s="666" t="s">
        <v>594</v>
      </c>
      <c r="B76" s="666" t="s">
        <v>593</v>
      </c>
      <c r="C76" s="666">
        <v>3.57</v>
      </c>
      <c r="D76" s="666">
        <v>4</v>
      </c>
      <c r="E76" s="666">
        <f t="shared" si="25"/>
        <v>14.28</v>
      </c>
      <c r="F76" s="666">
        <v>7</v>
      </c>
      <c r="G76" s="666">
        <f t="shared" si="26"/>
        <v>24.99</v>
      </c>
      <c r="H76" s="666">
        <v>4</v>
      </c>
      <c r="I76" s="666">
        <f t="shared" si="27"/>
        <v>14.28</v>
      </c>
      <c r="J76" s="666">
        <v>4</v>
      </c>
      <c r="K76" s="666">
        <f t="shared" si="28"/>
        <v>14.28</v>
      </c>
      <c r="L76" s="666">
        <v>7</v>
      </c>
      <c r="M76" s="666">
        <f t="shared" si="29"/>
        <v>24.99</v>
      </c>
      <c r="N76" s="666">
        <v>3</v>
      </c>
      <c r="O76" s="666">
        <f t="shared" si="30"/>
        <v>10.709999999999999</v>
      </c>
      <c r="P76" s="666">
        <v>3</v>
      </c>
      <c r="Q76" s="666">
        <f t="shared" si="31"/>
        <v>10.709999999999999</v>
      </c>
      <c r="R76" s="666">
        <v>7</v>
      </c>
      <c r="S76" s="666">
        <f t="shared" si="32"/>
        <v>24.99</v>
      </c>
      <c r="T76" s="666">
        <v>7</v>
      </c>
      <c r="U76" s="666">
        <f t="shared" si="33"/>
        <v>24.99</v>
      </c>
      <c r="V76" s="666">
        <v>4</v>
      </c>
      <c r="W76" s="666">
        <f t="shared" si="34"/>
        <v>14.28</v>
      </c>
      <c r="X76" s="666">
        <v>3</v>
      </c>
      <c r="Y76" s="666">
        <f t="shared" si="35"/>
        <v>10.709999999999999</v>
      </c>
      <c r="Z76" s="666">
        <v>3</v>
      </c>
      <c r="AA76" s="666">
        <f t="shared" si="36"/>
        <v>10.709999999999999</v>
      </c>
      <c r="AB76" s="666"/>
    </row>
    <row r="77" spans="1:28" x14ac:dyDescent="0.25">
      <c r="A77" s="666" t="s">
        <v>595</v>
      </c>
      <c r="B77" s="666" t="s">
        <v>532</v>
      </c>
      <c r="C77" s="666">
        <v>4.7249999999999996</v>
      </c>
      <c r="D77" s="666">
        <v>3</v>
      </c>
      <c r="E77" s="666">
        <f t="shared" si="25"/>
        <v>14.174999999999999</v>
      </c>
      <c r="F77" s="666">
        <v>5</v>
      </c>
      <c r="G77" s="666">
        <f t="shared" si="26"/>
        <v>23.625</v>
      </c>
      <c r="H77" s="666">
        <v>3</v>
      </c>
      <c r="I77" s="666">
        <f t="shared" si="27"/>
        <v>14.174999999999999</v>
      </c>
      <c r="J77" s="666">
        <v>3</v>
      </c>
      <c r="K77" s="666">
        <f t="shared" si="28"/>
        <v>14.174999999999999</v>
      </c>
      <c r="L77" s="666">
        <v>5</v>
      </c>
      <c r="M77" s="666">
        <f t="shared" si="29"/>
        <v>23.625</v>
      </c>
      <c r="N77" s="666">
        <v>2</v>
      </c>
      <c r="O77" s="666">
        <f t="shared" si="30"/>
        <v>9.4499999999999993</v>
      </c>
      <c r="P77" s="666">
        <v>2</v>
      </c>
      <c r="Q77" s="666">
        <f t="shared" si="31"/>
        <v>9.4499999999999993</v>
      </c>
      <c r="R77" s="666">
        <v>5</v>
      </c>
      <c r="S77" s="666">
        <f t="shared" si="32"/>
        <v>23.625</v>
      </c>
      <c r="T77" s="666">
        <v>5</v>
      </c>
      <c r="U77" s="666">
        <f t="shared" si="33"/>
        <v>23.625</v>
      </c>
      <c r="V77" s="666">
        <v>3</v>
      </c>
      <c r="W77" s="666">
        <f t="shared" si="34"/>
        <v>14.174999999999999</v>
      </c>
      <c r="X77" s="666">
        <v>3</v>
      </c>
      <c r="Y77" s="666">
        <f t="shared" si="35"/>
        <v>14.174999999999999</v>
      </c>
      <c r="Z77" s="666">
        <v>3</v>
      </c>
      <c r="AA77" s="666">
        <f t="shared" si="36"/>
        <v>14.174999999999999</v>
      </c>
      <c r="AB77" s="666"/>
    </row>
    <row r="78" spans="1:28" x14ac:dyDescent="0.25">
      <c r="A78" s="666" t="s">
        <v>596</v>
      </c>
      <c r="B78" s="666" t="s">
        <v>593</v>
      </c>
      <c r="C78" s="666">
        <v>3.6976800000000001</v>
      </c>
      <c r="D78" s="666">
        <v>3</v>
      </c>
      <c r="E78" s="666">
        <f t="shared" si="25"/>
        <v>11.09304</v>
      </c>
      <c r="F78" s="666">
        <v>5</v>
      </c>
      <c r="G78" s="666">
        <f t="shared" si="26"/>
        <v>18.488399999999999</v>
      </c>
      <c r="H78" s="666">
        <v>3</v>
      </c>
      <c r="I78" s="666">
        <f t="shared" si="27"/>
        <v>11.09304</v>
      </c>
      <c r="J78" s="666">
        <v>3</v>
      </c>
      <c r="K78" s="666">
        <f t="shared" si="28"/>
        <v>11.09304</v>
      </c>
      <c r="L78" s="666">
        <v>5</v>
      </c>
      <c r="M78" s="666">
        <f t="shared" si="29"/>
        <v>18.488399999999999</v>
      </c>
      <c r="N78" s="666">
        <v>5</v>
      </c>
      <c r="O78" s="666">
        <f t="shared" si="30"/>
        <v>18.488399999999999</v>
      </c>
      <c r="P78" s="666">
        <v>5</v>
      </c>
      <c r="Q78" s="666">
        <f t="shared" si="31"/>
        <v>18.488399999999999</v>
      </c>
      <c r="R78" s="666">
        <v>5</v>
      </c>
      <c r="S78" s="666">
        <f t="shared" si="32"/>
        <v>18.488399999999999</v>
      </c>
      <c r="T78" s="666">
        <v>5</v>
      </c>
      <c r="U78" s="666">
        <f t="shared" si="33"/>
        <v>18.488399999999999</v>
      </c>
      <c r="V78" s="666">
        <v>3</v>
      </c>
      <c r="W78" s="666">
        <f t="shared" si="34"/>
        <v>11.09304</v>
      </c>
      <c r="X78" s="666">
        <v>3</v>
      </c>
      <c r="Y78" s="666">
        <f t="shared" si="35"/>
        <v>11.09304</v>
      </c>
      <c r="Z78" s="666">
        <v>3</v>
      </c>
      <c r="AA78" s="666">
        <f t="shared" si="36"/>
        <v>11.09304</v>
      </c>
      <c r="AB78" s="666"/>
    </row>
    <row r="79" spans="1:28" x14ac:dyDescent="0.25">
      <c r="A79" s="666" t="s">
        <v>597</v>
      </c>
      <c r="B79" s="666" t="s">
        <v>593</v>
      </c>
      <c r="C79" s="666">
        <v>3.7275</v>
      </c>
      <c r="D79" s="666">
        <v>5</v>
      </c>
      <c r="E79" s="666">
        <f t="shared" si="25"/>
        <v>18.637499999999999</v>
      </c>
      <c r="F79" s="666">
        <v>9</v>
      </c>
      <c r="G79" s="666">
        <f t="shared" si="26"/>
        <v>33.547499999999999</v>
      </c>
      <c r="H79" s="666">
        <v>4</v>
      </c>
      <c r="I79" s="666">
        <f t="shared" si="27"/>
        <v>14.91</v>
      </c>
      <c r="J79" s="666">
        <v>6</v>
      </c>
      <c r="K79" s="666">
        <f t="shared" si="28"/>
        <v>22.365000000000002</v>
      </c>
      <c r="L79" s="666">
        <v>9</v>
      </c>
      <c r="M79" s="666">
        <f t="shared" si="29"/>
        <v>33.547499999999999</v>
      </c>
      <c r="N79" s="666">
        <v>6</v>
      </c>
      <c r="O79" s="666">
        <f t="shared" si="30"/>
        <v>22.365000000000002</v>
      </c>
      <c r="P79" s="666">
        <v>6</v>
      </c>
      <c r="Q79" s="666">
        <f t="shared" si="31"/>
        <v>22.365000000000002</v>
      </c>
      <c r="R79" s="666">
        <v>9</v>
      </c>
      <c r="S79" s="666">
        <f t="shared" si="32"/>
        <v>33.547499999999999</v>
      </c>
      <c r="T79" s="666">
        <v>9</v>
      </c>
      <c r="U79" s="666">
        <f t="shared" si="33"/>
        <v>33.547499999999999</v>
      </c>
      <c r="V79" s="666">
        <v>6</v>
      </c>
      <c r="W79" s="666">
        <f t="shared" si="34"/>
        <v>22.365000000000002</v>
      </c>
      <c r="X79" s="666">
        <v>4</v>
      </c>
      <c r="Y79" s="666">
        <f t="shared" si="35"/>
        <v>14.91</v>
      </c>
      <c r="Z79" s="666">
        <v>4</v>
      </c>
      <c r="AA79" s="666">
        <f t="shared" si="36"/>
        <v>14.91</v>
      </c>
      <c r="AB79" s="666"/>
    </row>
    <row r="80" spans="1:28" x14ac:dyDescent="0.25">
      <c r="A80" s="666" t="s">
        <v>598</v>
      </c>
      <c r="B80" s="666" t="s">
        <v>532</v>
      </c>
      <c r="C80" s="666">
        <v>12.116999999999999</v>
      </c>
      <c r="D80" s="666">
        <v>2</v>
      </c>
      <c r="E80" s="666">
        <f t="shared" si="25"/>
        <v>24.233999999999998</v>
      </c>
      <c r="F80" s="666">
        <v>3</v>
      </c>
      <c r="G80" s="666">
        <f t="shared" si="26"/>
        <v>36.350999999999999</v>
      </c>
      <c r="H80" s="666">
        <v>2</v>
      </c>
      <c r="I80" s="666">
        <f t="shared" si="27"/>
        <v>24.233999999999998</v>
      </c>
      <c r="J80" s="666">
        <v>2</v>
      </c>
      <c r="K80" s="666">
        <f t="shared" si="28"/>
        <v>24.233999999999998</v>
      </c>
      <c r="L80" s="666">
        <v>3</v>
      </c>
      <c r="M80" s="666">
        <f t="shared" si="29"/>
        <v>36.350999999999999</v>
      </c>
      <c r="N80" s="666">
        <v>1</v>
      </c>
      <c r="O80" s="666">
        <f t="shared" si="30"/>
        <v>12.116999999999999</v>
      </c>
      <c r="P80" s="666">
        <v>1</v>
      </c>
      <c r="Q80" s="666">
        <f t="shared" si="31"/>
        <v>12.116999999999999</v>
      </c>
      <c r="R80" s="666">
        <v>3</v>
      </c>
      <c r="S80" s="666">
        <f t="shared" si="32"/>
        <v>36.350999999999999</v>
      </c>
      <c r="T80" s="666">
        <v>3</v>
      </c>
      <c r="U80" s="666">
        <f t="shared" si="33"/>
        <v>36.350999999999999</v>
      </c>
      <c r="V80" s="666">
        <v>2</v>
      </c>
      <c r="W80" s="666">
        <f t="shared" si="34"/>
        <v>24.233999999999998</v>
      </c>
      <c r="X80" s="666">
        <v>2</v>
      </c>
      <c r="Y80" s="666">
        <f t="shared" si="35"/>
        <v>24.233999999999998</v>
      </c>
      <c r="Z80" s="666">
        <v>2</v>
      </c>
      <c r="AA80" s="666">
        <f t="shared" si="36"/>
        <v>24.233999999999998</v>
      </c>
      <c r="AB80" s="666"/>
    </row>
    <row r="81" spans="1:28" x14ac:dyDescent="0.25">
      <c r="A81" s="666" t="s">
        <v>599</v>
      </c>
      <c r="B81" s="666" t="s">
        <v>532</v>
      </c>
      <c r="C81" s="666">
        <v>3.3600000000000003</v>
      </c>
      <c r="D81" s="666">
        <v>4</v>
      </c>
      <c r="E81" s="666">
        <f t="shared" si="25"/>
        <v>13.440000000000001</v>
      </c>
      <c r="F81" s="666">
        <v>8</v>
      </c>
      <c r="G81" s="666">
        <f t="shared" si="26"/>
        <v>26.880000000000003</v>
      </c>
      <c r="H81" s="666">
        <v>4</v>
      </c>
      <c r="I81" s="666">
        <f t="shared" si="27"/>
        <v>13.440000000000001</v>
      </c>
      <c r="J81" s="666">
        <v>5</v>
      </c>
      <c r="K81" s="666">
        <f t="shared" si="28"/>
        <v>16.8</v>
      </c>
      <c r="L81" s="666">
        <v>8</v>
      </c>
      <c r="M81" s="666">
        <f t="shared" si="29"/>
        <v>26.880000000000003</v>
      </c>
      <c r="N81" s="666">
        <v>6</v>
      </c>
      <c r="O81" s="666">
        <f t="shared" si="30"/>
        <v>20.160000000000004</v>
      </c>
      <c r="P81" s="666">
        <v>6</v>
      </c>
      <c r="Q81" s="666">
        <f t="shared" si="31"/>
        <v>20.160000000000004</v>
      </c>
      <c r="R81" s="666">
        <v>8</v>
      </c>
      <c r="S81" s="666">
        <f t="shared" si="32"/>
        <v>26.880000000000003</v>
      </c>
      <c r="T81" s="666">
        <v>8</v>
      </c>
      <c r="U81" s="666">
        <f t="shared" si="33"/>
        <v>26.880000000000003</v>
      </c>
      <c r="V81" s="666">
        <v>5</v>
      </c>
      <c r="W81" s="666">
        <f t="shared" si="34"/>
        <v>16.8</v>
      </c>
      <c r="X81" s="666">
        <v>4</v>
      </c>
      <c r="Y81" s="666">
        <f t="shared" si="35"/>
        <v>13.440000000000001</v>
      </c>
      <c r="Z81" s="666">
        <v>4</v>
      </c>
      <c r="AA81" s="666">
        <f t="shared" si="36"/>
        <v>13.440000000000001</v>
      </c>
      <c r="AB81" s="666"/>
    </row>
    <row r="82" spans="1:28" x14ac:dyDescent="0.25">
      <c r="A82" s="666" t="s">
        <v>600</v>
      </c>
      <c r="B82" s="666" t="s">
        <v>532</v>
      </c>
      <c r="C82" s="666">
        <v>2.94</v>
      </c>
      <c r="D82" s="666">
        <v>11</v>
      </c>
      <c r="E82" s="666">
        <f t="shared" si="25"/>
        <v>32.339999999999996</v>
      </c>
      <c r="F82" s="666">
        <v>22</v>
      </c>
      <c r="G82" s="666">
        <f t="shared" si="26"/>
        <v>64.679999999999993</v>
      </c>
      <c r="H82" s="666">
        <v>11</v>
      </c>
      <c r="I82" s="666">
        <f t="shared" si="27"/>
        <v>32.339999999999996</v>
      </c>
      <c r="J82" s="666">
        <v>12</v>
      </c>
      <c r="K82" s="666">
        <f t="shared" si="28"/>
        <v>35.28</v>
      </c>
      <c r="L82" s="666">
        <v>22</v>
      </c>
      <c r="M82" s="666">
        <f t="shared" si="29"/>
        <v>64.679999999999993</v>
      </c>
      <c r="N82" s="666">
        <v>7</v>
      </c>
      <c r="O82" s="666">
        <f t="shared" si="30"/>
        <v>20.58</v>
      </c>
      <c r="P82" s="666">
        <v>7</v>
      </c>
      <c r="Q82" s="666">
        <f t="shared" si="31"/>
        <v>20.58</v>
      </c>
      <c r="R82" s="666">
        <v>22</v>
      </c>
      <c r="S82" s="666">
        <f t="shared" si="32"/>
        <v>64.679999999999993</v>
      </c>
      <c r="T82" s="666">
        <v>22</v>
      </c>
      <c r="U82" s="666">
        <f t="shared" si="33"/>
        <v>64.679999999999993</v>
      </c>
      <c r="V82" s="666">
        <v>12</v>
      </c>
      <c r="W82" s="666">
        <f t="shared" si="34"/>
        <v>35.28</v>
      </c>
      <c r="X82" s="666">
        <v>10</v>
      </c>
      <c r="Y82" s="666">
        <f t="shared" si="35"/>
        <v>29.4</v>
      </c>
      <c r="Z82" s="666">
        <v>10</v>
      </c>
      <c r="AA82" s="666">
        <f t="shared" si="36"/>
        <v>29.4</v>
      </c>
      <c r="AB82" s="666"/>
    </row>
    <row r="83" spans="1:28" x14ac:dyDescent="0.25">
      <c r="A83" s="666" t="s">
        <v>601</v>
      </c>
      <c r="B83" s="666" t="s">
        <v>532</v>
      </c>
      <c r="C83" s="666">
        <v>8.4</v>
      </c>
      <c r="D83" s="666">
        <v>4</v>
      </c>
      <c r="E83" s="666">
        <f t="shared" si="25"/>
        <v>33.6</v>
      </c>
      <c r="F83" s="666">
        <v>7</v>
      </c>
      <c r="G83" s="666">
        <f t="shared" si="26"/>
        <v>58.800000000000004</v>
      </c>
      <c r="H83" s="666">
        <v>4</v>
      </c>
      <c r="I83" s="666">
        <f t="shared" si="27"/>
        <v>33.6</v>
      </c>
      <c r="J83" s="666">
        <v>7</v>
      </c>
      <c r="K83" s="666">
        <f t="shared" si="28"/>
        <v>58.800000000000004</v>
      </c>
      <c r="L83" s="666">
        <v>7</v>
      </c>
      <c r="M83" s="666">
        <f t="shared" si="29"/>
        <v>58.800000000000004</v>
      </c>
      <c r="N83" s="666">
        <v>9</v>
      </c>
      <c r="O83" s="666">
        <f t="shared" si="30"/>
        <v>75.600000000000009</v>
      </c>
      <c r="P83" s="666">
        <v>9</v>
      </c>
      <c r="Q83" s="666">
        <f t="shared" si="31"/>
        <v>75.600000000000009</v>
      </c>
      <c r="R83" s="666">
        <v>7</v>
      </c>
      <c r="S83" s="666">
        <f t="shared" si="32"/>
        <v>58.800000000000004</v>
      </c>
      <c r="T83" s="666">
        <v>7</v>
      </c>
      <c r="U83" s="666">
        <f t="shared" si="33"/>
        <v>58.800000000000004</v>
      </c>
      <c r="V83" s="666">
        <v>7</v>
      </c>
      <c r="W83" s="666">
        <f t="shared" si="34"/>
        <v>58.800000000000004</v>
      </c>
      <c r="X83" s="666">
        <v>4</v>
      </c>
      <c r="Y83" s="666">
        <f t="shared" si="35"/>
        <v>33.6</v>
      </c>
      <c r="Z83" s="666">
        <v>4</v>
      </c>
      <c r="AA83" s="666">
        <f t="shared" si="36"/>
        <v>33.6</v>
      </c>
      <c r="AB83" s="666"/>
    </row>
    <row r="84" spans="1:28" x14ac:dyDescent="0.25">
      <c r="A84" s="666" t="s">
        <v>602</v>
      </c>
      <c r="B84" s="666" t="s">
        <v>528</v>
      </c>
      <c r="C84" s="666">
        <v>5.4868800000000002</v>
      </c>
      <c r="D84" s="666">
        <v>4</v>
      </c>
      <c r="E84" s="666">
        <f t="shared" si="25"/>
        <v>21.947520000000001</v>
      </c>
      <c r="F84" s="666">
        <v>7</v>
      </c>
      <c r="G84" s="666">
        <f t="shared" si="26"/>
        <v>38.408160000000002</v>
      </c>
      <c r="H84" s="666">
        <v>3</v>
      </c>
      <c r="I84" s="666">
        <f t="shared" si="27"/>
        <v>16.460640000000001</v>
      </c>
      <c r="J84" s="666">
        <v>4</v>
      </c>
      <c r="K84" s="666">
        <f t="shared" si="28"/>
        <v>21.947520000000001</v>
      </c>
      <c r="L84" s="666">
        <v>7</v>
      </c>
      <c r="M84" s="666">
        <f t="shared" si="29"/>
        <v>38.408160000000002</v>
      </c>
      <c r="N84" s="666">
        <v>2</v>
      </c>
      <c r="O84" s="666">
        <f t="shared" si="30"/>
        <v>10.97376</v>
      </c>
      <c r="P84" s="666">
        <v>2</v>
      </c>
      <c r="Q84" s="666">
        <f t="shared" si="31"/>
        <v>10.97376</v>
      </c>
      <c r="R84" s="666">
        <v>7</v>
      </c>
      <c r="S84" s="666">
        <f t="shared" si="32"/>
        <v>38.408160000000002</v>
      </c>
      <c r="T84" s="666">
        <v>7</v>
      </c>
      <c r="U84" s="666">
        <f t="shared" si="33"/>
        <v>38.408160000000002</v>
      </c>
      <c r="V84" s="666">
        <v>3</v>
      </c>
      <c r="W84" s="666">
        <f t="shared" si="34"/>
        <v>16.460640000000001</v>
      </c>
      <c r="X84" s="666">
        <v>3</v>
      </c>
      <c r="Y84" s="666">
        <f t="shared" si="35"/>
        <v>16.460640000000001</v>
      </c>
      <c r="Z84" s="666">
        <v>3</v>
      </c>
      <c r="AA84" s="666">
        <f t="shared" si="36"/>
        <v>16.460640000000001</v>
      </c>
      <c r="AB84" s="666"/>
    </row>
    <row r="85" spans="1:28" x14ac:dyDescent="0.25">
      <c r="A85" s="666"/>
      <c r="B85" s="666"/>
      <c r="C85" s="666"/>
      <c r="D85" s="666"/>
      <c r="E85" s="666">
        <f>SUM(E2:E84)</f>
        <v>16288.841820000005</v>
      </c>
      <c r="F85" s="666"/>
      <c r="G85" s="666">
        <f t="shared" ref="G85:AA85" si="37">SUM(G2:G84)</f>
        <v>14896.934219999999</v>
      </c>
      <c r="H85" s="666"/>
      <c r="I85" s="666">
        <f t="shared" si="37"/>
        <v>10604.905080000002</v>
      </c>
      <c r="J85" s="666"/>
      <c r="K85" s="666">
        <f t="shared" si="37"/>
        <v>13071.329040000002</v>
      </c>
      <c r="L85" s="666"/>
      <c r="M85" s="666">
        <f t="shared" si="37"/>
        <v>15057.584219999999</v>
      </c>
      <c r="N85" s="666"/>
      <c r="O85" s="666">
        <f t="shared" si="37"/>
        <v>17609.501490000002</v>
      </c>
      <c r="P85" s="666"/>
      <c r="Q85" s="666">
        <f t="shared" si="37"/>
        <v>17750.93649</v>
      </c>
      <c r="R85" s="666"/>
      <c r="S85" s="666">
        <f t="shared" si="37"/>
        <v>15026.84022</v>
      </c>
      <c r="T85" s="666"/>
      <c r="U85" s="666">
        <f t="shared" si="37"/>
        <v>15026.84022</v>
      </c>
      <c r="V85" s="666"/>
      <c r="W85" s="666">
        <f t="shared" si="37"/>
        <v>12744.542160000003</v>
      </c>
      <c r="X85" s="666"/>
      <c r="Y85" s="666">
        <f t="shared" si="37"/>
        <v>13163.682000000003</v>
      </c>
      <c r="Z85" s="666"/>
      <c r="AA85" s="666">
        <f t="shared" si="37"/>
        <v>10933.708800000004</v>
      </c>
      <c r="AB85" s="666">
        <f>SUM(E85:AA85)</f>
        <v>172175.64576000001</v>
      </c>
    </row>
    <row r="86" spans="1:28" x14ac:dyDescent="0.25">
      <c r="AA86" s="480" t="s">
        <v>809</v>
      </c>
      <c r="AB86" s="667">
        <f>(AB85/365)/14</f>
        <v>33.693864140900196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AC9E-DE5E-4AAF-8075-21760C655F22}">
  <sheetPr>
    <tabColor rgb="FFFFFF00"/>
  </sheetPr>
  <dimension ref="A1:P63"/>
  <sheetViews>
    <sheetView topLeftCell="B38" workbookViewId="0">
      <selection activeCell="J66" sqref="J66"/>
    </sheetView>
  </sheetViews>
  <sheetFormatPr defaultRowHeight="15" x14ac:dyDescent="0.25"/>
  <cols>
    <col min="1" max="1" width="15.28515625" bestFit="1" customWidth="1"/>
    <col min="2" max="2" width="30.28515625" bestFit="1" customWidth="1"/>
    <col min="3" max="3" width="31.140625" bestFit="1" customWidth="1"/>
    <col min="4" max="4" width="17.7109375" customWidth="1"/>
    <col min="5" max="5" width="14.28515625" bestFit="1" customWidth="1"/>
    <col min="6" max="6" width="18.42578125" customWidth="1"/>
    <col min="7" max="7" width="16.85546875" customWidth="1"/>
    <col min="8" max="8" width="13.5703125" bestFit="1" customWidth="1"/>
    <col min="9" max="9" width="12.85546875" bestFit="1" customWidth="1"/>
    <col min="10" max="10" width="21" bestFit="1" customWidth="1"/>
    <col min="11" max="11" width="13.28515625" bestFit="1" customWidth="1"/>
    <col min="13" max="13" width="13.5703125" bestFit="1" customWidth="1"/>
    <col min="14" max="14" width="12.85546875" bestFit="1" customWidth="1"/>
    <col min="16" max="17" width="14" bestFit="1" customWidth="1"/>
  </cols>
  <sheetData>
    <row r="1" spans="1:16" ht="15.75" thickBot="1" x14ac:dyDescent="0.3"/>
    <row r="2" spans="1:16" ht="46.5" x14ac:dyDescent="0.35">
      <c r="A2" s="7" t="s">
        <v>649</v>
      </c>
      <c r="B2" s="8" t="s">
        <v>18</v>
      </c>
      <c r="C2" s="8" t="s">
        <v>19</v>
      </c>
      <c r="D2" s="8" t="s">
        <v>20</v>
      </c>
      <c r="E2" s="9" t="s">
        <v>21</v>
      </c>
      <c r="G2" s="481" t="s">
        <v>645</v>
      </c>
      <c r="H2" s="482" t="s">
        <v>646</v>
      </c>
      <c r="I2" s="482" t="s">
        <v>647</v>
      </c>
      <c r="J2" s="482" t="s">
        <v>648</v>
      </c>
      <c r="K2" s="483" t="s">
        <v>21</v>
      </c>
      <c r="M2" s="7" t="s">
        <v>34</v>
      </c>
      <c r="N2" s="14" t="s">
        <v>35</v>
      </c>
      <c r="P2" t="s">
        <v>1</v>
      </c>
    </row>
    <row r="3" spans="1:16" x14ac:dyDescent="0.25">
      <c r="A3" s="10" t="s">
        <v>22</v>
      </c>
      <c r="B3" s="11">
        <v>1623</v>
      </c>
      <c r="C3" s="11">
        <v>108</v>
      </c>
      <c r="D3" s="11">
        <v>33</v>
      </c>
      <c r="E3" s="12">
        <f>(B3*0.45)+(C3*3.9)+(D3*49.68)+200</f>
        <v>2990.99</v>
      </c>
      <c r="F3" s="412"/>
      <c r="G3" s="507" t="s">
        <v>22</v>
      </c>
      <c r="H3" s="178"/>
      <c r="I3" s="178"/>
      <c r="J3" s="178"/>
      <c r="K3" s="485">
        <v>100</v>
      </c>
      <c r="L3" s="412"/>
      <c r="M3" s="15" t="s">
        <v>670</v>
      </c>
      <c r="N3" s="16">
        <v>240</v>
      </c>
      <c r="P3" s="61">
        <f>SUM(N3,K3,E3)</f>
        <v>3330.99</v>
      </c>
    </row>
    <row r="4" spans="1:16" x14ac:dyDescent="0.25">
      <c r="A4" s="10" t="s">
        <v>23</v>
      </c>
      <c r="B4" s="11">
        <v>2200</v>
      </c>
      <c r="C4" s="11">
        <v>47</v>
      </c>
      <c r="D4" s="11">
        <v>34</v>
      </c>
      <c r="E4" s="12">
        <f t="shared" ref="E4:E14" si="0">(B4*0.45)+(C4*3.9)+(D4*49.68)+200</f>
        <v>3062.42</v>
      </c>
      <c r="F4" s="11"/>
      <c r="G4" s="501" t="s">
        <v>23</v>
      </c>
      <c r="H4" s="178"/>
      <c r="I4" s="178"/>
      <c r="J4" s="178"/>
      <c r="K4" s="485">
        <v>100</v>
      </c>
      <c r="L4" s="402"/>
      <c r="M4" s="15" t="s">
        <v>23</v>
      </c>
      <c r="N4" s="16">
        <v>240</v>
      </c>
      <c r="P4" s="61">
        <f t="shared" ref="P4:P13" si="1">SUM(N4,K4,E4)</f>
        <v>3402.42</v>
      </c>
    </row>
    <row r="5" spans="1:16" x14ac:dyDescent="0.25">
      <c r="A5" s="10" t="s">
        <v>24</v>
      </c>
      <c r="B5" s="11">
        <v>2400</v>
      </c>
      <c r="C5" s="11">
        <v>60</v>
      </c>
      <c r="D5" s="11">
        <v>34</v>
      </c>
      <c r="E5" s="12">
        <f t="shared" si="0"/>
        <v>3203.12</v>
      </c>
      <c r="F5" s="11"/>
      <c r="G5" s="498" t="s">
        <v>24</v>
      </c>
      <c r="H5" s="178"/>
      <c r="I5" s="178"/>
      <c r="J5" s="178"/>
      <c r="K5" s="485">
        <v>100</v>
      </c>
      <c r="L5" s="1"/>
      <c r="M5" s="15" t="s">
        <v>53</v>
      </c>
      <c r="N5" s="16">
        <v>240</v>
      </c>
      <c r="P5" s="61">
        <f t="shared" si="1"/>
        <v>3543.12</v>
      </c>
    </row>
    <row r="6" spans="1:16" x14ac:dyDescent="0.25">
      <c r="A6" s="10" t="s">
        <v>25</v>
      </c>
      <c r="B6" s="11">
        <v>1000</v>
      </c>
      <c r="C6" s="11">
        <v>127</v>
      </c>
      <c r="D6" s="11">
        <v>40</v>
      </c>
      <c r="E6" s="12">
        <f t="shared" si="0"/>
        <v>3132.5</v>
      </c>
      <c r="F6" s="11"/>
      <c r="G6" s="498" t="s">
        <v>25</v>
      </c>
      <c r="H6" s="178"/>
      <c r="I6" s="178"/>
      <c r="J6" s="178"/>
      <c r="K6" s="485">
        <v>100</v>
      </c>
      <c r="L6" s="1"/>
      <c r="M6" s="15" t="s">
        <v>54</v>
      </c>
      <c r="N6" s="16">
        <v>240</v>
      </c>
      <c r="P6" s="61">
        <f>SUM(N6,K6,E6)</f>
        <v>3472.5</v>
      </c>
    </row>
    <row r="7" spans="1:16" x14ac:dyDescent="0.25">
      <c r="A7" s="10" t="s">
        <v>26</v>
      </c>
      <c r="B7" s="11">
        <v>1720</v>
      </c>
      <c r="C7" s="11">
        <v>72</v>
      </c>
      <c r="D7" s="11">
        <v>70</v>
      </c>
      <c r="E7" s="12">
        <f t="shared" si="0"/>
        <v>4732.3999999999996</v>
      </c>
      <c r="F7" s="11"/>
      <c r="G7" s="498" t="s">
        <v>26</v>
      </c>
      <c r="H7" s="178"/>
      <c r="I7" s="178"/>
      <c r="J7" s="178"/>
      <c r="K7" s="485">
        <v>100</v>
      </c>
      <c r="L7" s="1122"/>
      <c r="M7" s="15" t="s">
        <v>36</v>
      </c>
      <c r="N7" s="16">
        <v>240</v>
      </c>
      <c r="P7" s="61">
        <f t="shared" si="1"/>
        <v>5072.3999999999996</v>
      </c>
    </row>
    <row r="8" spans="1:16" x14ac:dyDescent="0.25">
      <c r="A8" s="10" t="s">
        <v>27</v>
      </c>
      <c r="B8" s="11">
        <v>1620</v>
      </c>
      <c r="C8" s="11">
        <v>84</v>
      </c>
      <c r="D8" s="11">
        <v>7</v>
      </c>
      <c r="E8" s="12">
        <f t="shared" si="0"/>
        <v>1604.36</v>
      </c>
      <c r="F8" s="11"/>
      <c r="G8" s="498" t="s">
        <v>27</v>
      </c>
      <c r="H8" s="178"/>
      <c r="I8" s="178"/>
      <c r="J8" s="178"/>
      <c r="K8" s="485">
        <v>100</v>
      </c>
      <c r="L8" s="1122"/>
      <c r="M8" s="15" t="s">
        <v>37</v>
      </c>
      <c r="N8" s="16">
        <v>240</v>
      </c>
      <c r="P8" s="61">
        <f t="shared" si="1"/>
        <v>1944.36</v>
      </c>
    </row>
    <row r="9" spans="1:16" x14ac:dyDescent="0.25">
      <c r="A9" s="10" t="s">
        <v>28</v>
      </c>
      <c r="B9" s="11">
        <v>10700</v>
      </c>
      <c r="C9" s="11">
        <v>240</v>
      </c>
      <c r="D9" s="11">
        <v>140</v>
      </c>
      <c r="E9" s="12">
        <f t="shared" si="0"/>
        <v>12906.2</v>
      </c>
      <c r="F9" s="11"/>
      <c r="G9" s="498" t="s">
        <v>28</v>
      </c>
      <c r="H9" s="178"/>
      <c r="I9" s="178"/>
      <c r="J9" s="801"/>
      <c r="K9" s="485">
        <v>100</v>
      </c>
      <c r="L9" s="1122"/>
      <c r="M9" s="15" t="s">
        <v>38</v>
      </c>
      <c r="N9" s="16">
        <v>240</v>
      </c>
      <c r="P9" s="61">
        <f t="shared" si="1"/>
        <v>13246.2</v>
      </c>
    </row>
    <row r="10" spans="1:16" x14ac:dyDescent="0.25">
      <c r="A10" s="10" t="s">
        <v>29</v>
      </c>
      <c r="B10" s="11">
        <v>3350</v>
      </c>
      <c r="C10" s="11">
        <v>57</v>
      </c>
      <c r="D10" s="11">
        <v>70</v>
      </c>
      <c r="E10" s="12">
        <f t="shared" si="0"/>
        <v>5407.4</v>
      </c>
      <c r="F10" s="11"/>
      <c r="G10" s="498" t="s">
        <v>29</v>
      </c>
      <c r="H10" s="178"/>
      <c r="I10" s="178"/>
      <c r="J10" s="178"/>
      <c r="K10" s="485">
        <v>100</v>
      </c>
      <c r="M10" s="15" t="s">
        <v>39</v>
      </c>
      <c r="N10" s="16">
        <v>240</v>
      </c>
      <c r="P10" s="61">
        <f t="shared" si="1"/>
        <v>5747.4</v>
      </c>
    </row>
    <row r="11" spans="1:16" x14ac:dyDescent="0.25">
      <c r="A11" s="10" t="s">
        <v>30</v>
      </c>
      <c r="B11" s="11">
        <v>1471</v>
      </c>
      <c r="C11" s="11">
        <v>50</v>
      </c>
      <c r="D11" s="11">
        <v>42</v>
      </c>
      <c r="E11" s="12">
        <f t="shared" si="0"/>
        <v>3143.51</v>
      </c>
      <c r="F11" s="11"/>
      <c r="G11" s="498" t="s">
        <v>30</v>
      </c>
      <c r="H11" s="178"/>
      <c r="I11" s="178"/>
      <c r="J11" s="178"/>
      <c r="K11" s="485">
        <v>100</v>
      </c>
      <c r="M11" s="15" t="s">
        <v>30</v>
      </c>
      <c r="N11" s="16">
        <v>240</v>
      </c>
      <c r="P11" s="61">
        <f t="shared" si="1"/>
        <v>3483.51</v>
      </c>
    </row>
    <row r="12" spans="1:16" x14ac:dyDescent="0.25">
      <c r="A12" s="10" t="s">
        <v>31</v>
      </c>
      <c r="B12" s="11">
        <v>1300</v>
      </c>
      <c r="C12" s="11">
        <v>55</v>
      </c>
      <c r="D12" s="11">
        <v>42</v>
      </c>
      <c r="E12" s="12">
        <f>(B12*0.45)+(C12*3.9)+(D12*49.68)+200</f>
        <v>3086.06</v>
      </c>
      <c r="F12" s="11"/>
      <c r="G12" s="498" t="s">
        <v>31</v>
      </c>
      <c r="H12" s="178"/>
      <c r="I12" s="178"/>
      <c r="J12" s="178"/>
      <c r="K12" s="485">
        <v>100</v>
      </c>
      <c r="M12" s="15" t="s">
        <v>31</v>
      </c>
      <c r="N12" s="16">
        <v>240</v>
      </c>
      <c r="P12" s="61">
        <f t="shared" si="1"/>
        <v>3426.06</v>
      </c>
    </row>
    <row r="13" spans="1:16" x14ac:dyDescent="0.25">
      <c r="A13" s="10" t="s">
        <v>32</v>
      </c>
      <c r="B13" s="11">
        <v>1200</v>
      </c>
      <c r="C13" s="11">
        <v>30</v>
      </c>
      <c r="D13" s="11">
        <v>41</v>
      </c>
      <c r="E13" s="12">
        <f t="shared" si="0"/>
        <v>2893.88</v>
      </c>
      <c r="F13" s="11"/>
      <c r="G13" s="498" t="s">
        <v>32</v>
      </c>
      <c r="H13" s="178"/>
      <c r="I13" s="178"/>
      <c r="J13" s="178"/>
      <c r="K13" s="485">
        <v>100</v>
      </c>
      <c r="M13" s="17" t="s">
        <v>32</v>
      </c>
      <c r="N13" s="16">
        <v>240</v>
      </c>
      <c r="P13" s="61">
        <f t="shared" si="1"/>
        <v>3233.88</v>
      </c>
    </row>
    <row r="14" spans="1:16" ht="15.75" thickBot="1" x14ac:dyDescent="0.3">
      <c r="A14" s="10" t="s">
        <v>33</v>
      </c>
      <c r="B14" s="619">
        <v>1100</v>
      </c>
      <c r="C14" s="619">
        <v>42</v>
      </c>
      <c r="D14" s="11">
        <v>45</v>
      </c>
      <c r="E14" s="12">
        <f t="shared" si="0"/>
        <v>3094.3999999999996</v>
      </c>
      <c r="G14" s="484" t="s">
        <v>33</v>
      </c>
      <c r="H14" s="178"/>
      <c r="I14" s="178"/>
      <c r="J14" s="178"/>
      <c r="K14" s="485">
        <v>100</v>
      </c>
      <c r="M14" s="18" t="s">
        <v>33</v>
      </c>
      <c r="N14" s="16">
        <v>240</v>
      </c>
      <c r="P14" s="61">
        <f>SUM(N14,K14,E14)</f>
        <v>3434.3999999999996</v>
      </c>
    </row>
    <row r="15" spans="1:16" ht="15.75" thickBot="1" x14ac:dyDescent="0.3">
      <c r="A15" s="13"/>
      <c r="B15" s="409">
        <v>118200</v>
      </c>
      <c r="C15" s="409" t="s">
        <v>686</v>
      </c>
      <c r="D15" s="409">
        <f>D14*5.2</f>
        <v>234</v>
      </c>
      <c r="E15" s="487">
        <f>SUM(E3:E14)</f>
        <v>49257.24</v>
      </c>
      <c r="I15">
        <f>I14*5.2</f>
        <v>0</v>
      </c>
      <c r="K15" s="486">
        <f>SUM(K3:K14)</f>
        <v>1200</v>
      </c>
      <c r="M15" s="19"/>
      <c r="N15" s="689">
        <f>SUM(N3:N14)</f>
        <v>2880</v>
      </c>
      <c r="P15" s="691">
        <f>SUM(P3:P14)</f>
        <v>53337.240000000005</v>
      </c>
    </row>
    <row r="18" spans="1:12" ht="18.75" x14ac:dyDescent="0.4">
      <c r="B18" s="1123" t="s">
        <v>841</v>
      </c>
      <c r="C18" s="1124"/>
      <c r="D18" s="1124"/>
      <c r="E18" s="1124"/>
      <c r="F18" s="1124"/>
      <c r="G18" s="1124"/>
      <c r="H18" s="1124"/>
      <c r="I18" s="1125"/>
      <c r="J18" s="123"/>
    </row>
    <row r="19" spans="1:12" x14ac:dyDescent="0.25">
      <c r="B19" s="717" t="s">
        <v>14</v>
      </c>
      <c r="C19" s="717" t="s">
        <v>842</v>
      </c>
      <c r="D19" s="717" t="s">
        <v>843</v>
      </c>
      <c r="E19" s="717" t="s">
        <v>15</v>
      </c>
      <c r="F19" s="717" t="s">
        <v>844</v>
      </c>
      <c r="G19" s="717" t="s">
        <v>845</v>
      </c>
      <c r="H19" s="717" t="s">
        <v>846</v>
      </c>
      <c r="I19" s="717" t="s">
        <v>847</v>
      </c>
      <c r="J19" s="718" t="s">
        <v>848</v>
      </c>
    </row>
    <row r="20" spans="1:12" x14ac:dyDescent="0.25">
      <c r="A20" s="807" t="s">
        <v>961</v>
      </c>
      <c r="B20" s="788" t="s">
        <v>967</v>
      </c>
      <c r="C20" s="810" t="s">
        <v>963</v>
      </c>
      <c r="D20" s="811">
        <v>1183397566</v>
      </c>
      <c r="E20" s="811" t="s">
        <v>964</v>
      </c>
      <c r="F20" s="812"/>
      <c r="G20" s="813">
        <v>1132</v>
      </c>
      <c r="H20" s="812"/>
      <c r="I20" s="814" t="s">
        <v>852</v>
      </c>
      <c r="J20" s="440" t="s">
        <v>962</v>
      </c>
    </row>
    <row r="21" spans="1:12" ht="15.75" x14ac:dyDescent="0.25">
      <c r="B21" s="719" t="s">
        <v>849</v>
      </c>
      <c r="C21" s="720" t="s">
        <v>850</v>
      </c>
      <c r="D21" s="721">
        <v>464016150</v>
      </c>
      <c r="E21" s="722" t="s">
        <v>851</v>
      </c>
      <c r="F21" s="723"/>
      <c r="G21" s="723">
        <v>622.85</v>
      </c>
      <c r="H21" s="724"/>
      <c r="I21" s="725" t="s">
        <v>852</v>
      </c>
      <c r="J21" s="124" t="s">
        <v>853</v>
      </c>
    </row>
    <row r="22" spans="1:12" ht="15.75" x14ac:dyDescent="0.25">
      <c r="B22" s="788" t="s">
        <v>967</v>
      </c>
      <c r="C22" s="789" t="s">
        <v>854</v>
      </c>
      <c r="D22" s="790">
        <v>124118003</v>
      </c>
      <c r="E22" s="791" t="s">
        <v>676</v>
      </c>
      <c r="F22" s="785"/>
      <c r="G22" s="785">
        <v>544.25</v>
      </c>
      <c r="H22" s="786"/>
      <c r="I22" s="787" t="s">
        <v>852</v>
      </c>
      <c r="J22" s="179" t="s">
        <v>855</v>
      </c>
      <c r="K22" s="88"/>
    </row>
    <row r="23" spans="1:12" ht="15.75" x14ac:dyDescent="0.25">
      <c r="B23" s="719" t="s">
        <v>849</v>
      </c>
      <c r="C23" s="720" t="s">
        <v>856</v>
      </c>
      <c r="D23" s="721">
        <v>273513079</v>
      </c>
      <c r="E23" s="722" t="s">
        <v>857</v>
      </c>
      <c r="F23" s="723"/>
      <c r="G23" s="723">
        <v>581.45000000000005</v>
      </c>
      <c r="H23" s="724"/>
      <c r="I23" s="725" t="s">
        <v>852</v>
      </c>
      <c r="J23" s="124" t="s">
        <v>855</v>
      </c>
    </row>
    <row r="24" spans="1:12" ht="15.75" x14ac:dyDescent="0.25">
      <c r="B24" s="719" t="s">
        <v>849</v>
      </c>
      <c r="C24" s="720" t="s">
        <v>858</v>
      </c>
      <c r="D24" s="721">
        <v>273494791</v>
      </c>
      <c r="E24" s="722" t="s">
        <v>859</v>
      </c>
      <c r="F24" s="723"/>
      <c r="G24" s="723">
        <v>581.45000000000005</v>
      </c>
      <c r="H24" s="724"/>
      <c r="I24" s="725" t="s">
        <v>852</v>
      </c>
      <c r="J24" s="124" t="s">
        <v>855</v>
      </c>
    </row>
    <row r="25" spans="1:12" ht="15.75" x14ac:dyDescent="0.25">
      <c r="B25" s="719" t="s">
        <v>849</v>
      </c>
      <c r="C25" s="720" t="s">
        <v>860</v>
      </c>
      <c r="D25" s="721">
        <v>471104248</v>
      </c>
      <c r="E25" s="722" t="s">
        <v>861</v>
      </c>
      <c r="F25" s="723"/>
      <c r="G25" s="726">
        <v>622.85</v>
      </c>
      <c r="H25" s="724"/>
      <c r="I25" s="725" t="s">
        <v>852</v>
      </c>
      <c r="J25" s="124" t="s">
        <v>853</v>
      </c>
    </row>
    <row r="26" spans="1:12" ht="15.75" x14ac:dyDescent="0.25">
      <c r="B26" s="719" t="s">
        <v>849</v>
      </c>
      <c r="C26" s="720" t="s">
        <v>862</v>
      </c>
      <c r="D26" s="721">
        <v>337348677</v>
      </c>
      <c r="E26" s="722" t="s">
        <v>863</v>
      </c>
      <c r="F26" s="723"/>
      <c r="G26" s="723">
        <v>622.85</v>
      </c>
      <c r="H26" s="724"/>
      <c r="I26" s="725" t="s">
        <v>852</v>
      </c>
      <c r="J26" s="124" t="s">
        <v>853</v>
      </c>
    </row>
    <row r="27" spans="1:12" ht="15.75" x14ac:dyDescent="0.25">
      <c r="B27" s="727" t="s">
        <v>864</v>
      </c>
      <c r="C27" s="728" t="s">
        <v>865</v>
      </c>
      <c r="D27" s="729">
        <v>1197330574</v>
      </c>
      <c r="E27" s="730" t="s">
        <v>866</v>
      </c>
      <c r="F27" s="726"/>
      <c r="G27" s="726">
        <v>1939.19</v>
      </c>
      <c r="H27" s="724"/>
      <c r="I27" s="725" t="s">
        <v>852</v>
      </c>
      <c r="J27" s="124" t="s">
        <v>853</v>
      </c>
    </row>
    <row r="28" spans="1:12" ht="15.75" x14ac:dyDescent="0.25">
      <c r="B28" s="727" t="s">
        <v>674</v>
      </c>
      <c r="C28" s="731" t="s">
        <v>867</v>
      </c>
      <c r="D28" s="729">
        <v>954271483</v>
      </c>
      <c r="E28" s="732" t="s">
        <v>868</v>
      </c>
      <c r="F28" s="723"/>
      <c r="G28" s="723">
        <v>840.8</v>
      </c>
      <c r="H28" s="724"/>
      <c r="I28" s="725" t="s">
        <v>852</v>
      </c>
      <c r="J28" s="124" t="s">
        <v>855</v>
      </c>
    </row>
    <row r="29" spans="1:12" ht="15.75" x14ac:dyDescent="0.25">
      <c r="B29" s="781" t="s">
        <v>968</v>
      </c>
      <c r="C29" s="782" t="s">
        <v>869</v>
      </c>
      <c r="D29" s="783">
        <v>954273478</v>
      </c>
      <c r="E29" s="784" t="s">
        <v>675</v>
      </c>
      <c r="F29" s="785"/>
      <c r="G29" s="785">
        <v>840.8</v>
      </c>
      <c r="H29" s="786"/>
      <c r="I29" s="787" t="s">
        <v>852</v>
      </c>
      <c r="J29" s="179" t="s">
        <v>855</v>
      </c>
      <c r="K29" s="88"/>
    </row>
    <row r="30" spans="1:12" ht="15.75" x14ac:dyDescent="0.25">
      <c r="B30" s="727" t="s">
        <v>870</v>
      </c>
      <c r="C30" s="731" t="s">
        <v>871</v>
      </c>
      <c r="D30" s="729">
        <v>319418359</v>
      </c>
      <c r="E30" s="732" t="s">
        <v>872</v>
      </c>
      <c r="F30" s="723"/>
      <c r="G30" s="723">
        <v>149.16</v>
      </c>
      <c r="H30" s="724"/>
      <c r="I30" s="725" t="s">
        <v>852</v>
      </c>
      <c r="J30" s="124" t="s">
        <v>873</v>
      </c>
    </row>
    <row r="31" spans="1:12" ht="15.75" x14ac:dyDescent="0.25">
      <c r="B31" s="719" t="s">
        <v>874</v>
      </c>
      <c r="C31" s="733" t="s">
        <v>875</v>
      </c>
      <c r="D31" s="721">
        <v>124117074</v>
      </c>
      <c r="E31" s="722" t="s">
        <v>673</v>
      </c>
      <c r="F31" s="726"/>
      <c r="G31" s="726">
        <v>589.9</v>
      </c>
      <c r="H31" s="724"/>
      <c r="I31" s="725" t="s">
        <v>876</v>
      </c>
      <c r="J31" s="124" t="s">
        <v>855</v>
      </c>
    </row>
    <row r="32" spans="1:12" ht="15.75" x14ac:dyDescent="0.25">
      <c r="B32" s="781" t="s">
        <v>16</v>
      </c>
      <c r="C32" s="782" t="s">
        <v>877</v>
      </c>
      <c r="D32" s="783">
        <v>1129961807</v>
      </c>
      <c r="E32" s="784" t="s">
        <v>17</v>
      </c>
      <c r="F32" s="792"/>
      <c r="G32" s="792">
        <v>1049.5999999999999</v>
      </c>
      <c r="H32" s="786"/>
      <c r="I32" s="787" t="s">
        <v>852</v>
      </c>
      <c r="J32" s="179" t="s">
        <v>853</v>
      </c>
      <c r="K32" s="88" t="s">
        <v>878</v>
      </c>
      <c r="L32" s="88" t="s">
        <v>852</v>
      </c>
    </row>
    <row r="33" spans="2:12" ht="15.75" x14ac:dyDescent="0.25">
      <c r="B33" s="727" t="s">
        <v>879</v>
      </c>
      <c r="C33" s="720" t="s">
        <v>880</v>
      </c>
      <c r="D33" s="729">
        <v>505863987</v>
      </c>
      <c r="E33" s="732" t="s">
        <v>881</v>
      </c>
      <c r="F33" s="726"/>
      <c r="G33" s="726">
        <v>2114.6</v>
      </c>
      <c r="H33" s="724"/>
      <c r="I33" s="725" t="s">
        <v>852</v>
      </c>
      <c r="J33" s="124" t="s">
        <v>853</v>
      </c>
      <c r="K33" t="s">
        <v>878</v>
      </c>
      <c r="L33" t="s">
        <v>852</v>
      </c>
    </row>
    <row r="34" spans="2:12" ht="15.75" x14ac:dyDescent="0.25">
      <c r="B34" s="734" t="s">
        <v>882</v>
      </c>
      <c r="C34" s="735" t="s">
        <v>883</v>
      </c>
      <c r="D34" s="736">
        <v>1124430986</v>
      </c>
      <c r="E34" s="737" t="s">
        <v>884</v>
      </c>
      <c r="F34" s="738"/>
      <c r="G34" s="738">
        <v>1189.01</v>
      </c>
      <c r="H34" s="724"/>
      <c r="I34" s="725" t="s">
        <v>852</v>
      </c>
      <c r="J34" s="124" t="s">
        <v>853</v>
      </c>
      <c r="K34" t="s">
        <v>878</v>
      </c>
      <c r="L34" t="s">
        <v>852</v>
      </c>
    </row>
    <row r="35" spans="2:12" ht="15.75" x14ac:dyDescent="0.25">
      <c r="B35" s="727" t="s">
        <v>885</v>
      </c>
      <c r="C35" s="731" t="s">
        <v>886</v>
      </c>
      <c r="D35" s="729">
        <v>865893497</v>
      </c>
      <c r="E35" s="732" t="s">
        <v>887</v>
      </c>
      <c r="F35" s="726"/>
      <c r="G35" s="726">
        <v>149.16</v>
      </c>
      <c r="H35" s="724"/>
      <c r="I35" s="725" t="s">
        <v>852</v>
      </c>
      <c r="J35" s="124" t="s">
        <v>855</v>
      </c>
      <c r="K35" t="s">
        <v>878</v>
      </c>
      <c r="L35" t="s">
        <v>852</v>
      </c>
    </row>
    <row r="36" spans="2:12" ht="15.75" x14ac:dyDescent="0.25">
      <c r="B36" s="727" t="s">
        <v>888</v>
      </c>
      <c r="C36" s="731" t="s">
        <v>889</v>
      </c>
      <c r="D36" s="729">
        <v>606002928</v>
      </c>
      <c r="E36" s="732" t="s">
        <v>890</v>
      </c>
      <c r="F36" s="726"/>
      <c r="G36" s="726">
        <v>149.16</v>
      </c>
      <c r="H36" s="724"/>
      <c r="I36" s="725" t="s">
        <v>876</v>
      </c>
      <c r="J36" s="124" t="s">
        <v>855</v>
      </c>
      <c r="K36" t="s">
        <v>878</v>
      </c>
      <c r="L36" t="s">
        <v>852</v>
      </c>
    </row>
    <row r="37" spans="2:12" ht="15.75" x14ac:dyDescent="0.25">
      <c r="B37" s="727" t="s">
        <v>891</v>
      </c>
      <c r="C37" s="739" t="s">
        <v>892</v>
      </c>
      <c r="D37" s="729">
        <v>1226385033</v>
      </c>
      <c r="E37" s="732" t="s">
        <v>893</v>
      </c>
      <c r="F37" s="726"/>
      <c r="G37" s="726">
        <v>3822.27</v>
      </c>
      <c r="H37" s="724"/>
      <c r="I37" s="740" t="s">
        <v>852</v>
      </c>
      <c r="J37" s="124" t="s">
        <v>853</v>
      </c>
    </row>
    <row r="38" spans="2:12" ht="15.75" x14ac:dyDescent="0.25">
      <c r="B38" s="741" t="s">
        <v>894</v>
      </c>
      <c r="C38" s="742" t="s">
        <v>895</v>
      </c>
      <c r="D38" s="743">
        <v>1036472890</v>
      </c>
      <c r="E38" s="744" t="s">
        <v>896</v>
      </c>
      <c r="F38" s="745"/>
      <c r="G38" s="745">
        <v>2624.66</v>
      </c>
      <c r="H38" s="746"/>
      <c r="I38" s="725" t="s">
        <v>852</v>
      </c>
      <c r="J38" s="124" t="s">
        <v>853</v>
      </c>
      <c r="K38" t="s">
        <v>878</v>
      </c>
      <c r="L38" t="s">
        <v>852</v>
      </c>
    </row>
    <row r="39" spans="2:12" ht="15.75" x14ac:dyDescent="0.25">
      <c r="B39" s="781" t="s">
        <v>897</v>
      </c>
      <c r="C39" s="789" t="s">
        <v>898</v>
      </c>
      <c r="D39" s="793">
        <v>1154492491</v>
      </c>
      <c r="E39" s="784" t="s">
        <v>899</v>
      </c>
      <c r="F39" s="792"/>
      <c r="G39" s="792">
        <v>2927.76</v>
      </c>
      <c r="H39" s="786"/>
      <c r="I39" s="787" t="s">
        <v>852</v>
      </c>
      <c r="J39" s="179" t="s">
        <v>853</v>
      </c>
      <c r="K39" s="88" t="s">
        <v>900</v>
      </c>
      <c r="L39" s="88"/>
    </row>
    <row r="40" spans="2:12" ht="15.75" x14ac:dyDescent="0.25">
      <c r="B40" s="748" t="s">
        <v>901</v>
      </c>
      <c r="C40" s="749" t="s">
        <v>902</v>
      </c>
      <c r="D40" s="750">
        <v>1218843494</v>
      </c>
      <c r="E40" s="751" t="s">
        <v>903</v>
      </c>
      <c r="F40" s="752"/>
      <c r="G40" s="752">
        <v>3580.85</v>
      </c>
      <c r="H40" s="753"/>
      <c r="I40" s="725" t="s">
        <v>852</v>
      </c>
      <c r="J40" s="124" t="s">
        <v>853</v>
      </c>
    </row>
    <row r="41" spans="2:12" ht="15.75" x14ac:dyDescent="0.25">
      <c r="B41" s="727" t="s">
        <v>904</v>
      </c>
      <c r="C41" s="720" t="s">
        <v>905</v>
      </c>
      <c r="D41" s="729">
        <v>425829022</v>
      </c>
      <c r="E41" s="732" t="s">
        <v>906</v>
      </c>
      <c r="F41" s="726"/>
      <c r="G41" s="726">
        <v>149.16</v>
      </c>
      <c r="H41" s="724"/>
      <c r="I41" s="725" t="s">
        <v>852</v>
      </c>
      <c r="J41" s="124" t="s">
        <v>853</v>
      </c>
    </row>
    <row r="42" spans="2:12" ht="15.75" x14ac:dyDescent="0.25">
      <c r="B42" s="727" t="s">
        <v>907</v>
      </c>
      <c r="C42" s="720" t="s">
        <v>908</v>
      </c>
      <c r="D42" s="747">
        <v>459372858</v>
      </c>
      <c r="E42" s="732" t="s">
        <v>909</v>
      </c>
      <c r="F42" s="726"/>
      <c r="G42" s="726">
        <v>149.16</v>
      </c>
      <c r="H42" s="724"/>
      <c r="I42" s="725" t="s">
        <v>852</v>
      </c>
      <c r="J42" s="124" t="s">
        <v>853</v>
      </c>
    </row>
    <row r="43" spans="2:12" ht="15.75" x14ac:dyDescent="0.25">
      <c r="B43" s="781" t="s">
        <v>970</v>
      </c>
      <c r="C43" s="789" t="s">
        <v>910</v>
      </c>
      <c r="D43" s="793">
        <v>394245792</v>
      </c>
      <c r="E43" s="784" t="s">
        <v>911</v>
      </c>
      <c r="F43" s="792"/>
      <c r="G43" s="792">
        <v>149.16</v>
      </c>
      <c r="H43" s="786"/>
      <c r="I43" s="787" t="s">
        <v>852</v>
      </c>
      <c r="J43" s="179" t="s">
        <v>853</v>
      </c>
    </row>
    <row r="44" spans="2:12" ht="15.75" x14ac:dyDescent="0.25">
      <c r="B44" s="727" t="s">
        <v>912</v>
      </c>
      <c r="C44" s="731" t="s">
        <v>913</v>
      </c>
      <c r="D44" s="729">
        <v>117032476</v>
      </c>
      <c r="E44" s="732" t="s">
        <v>914</v>
      </c>
      <c r="F44" s="726"/>
      <c r="G44" s="726">
        <v>149.16</v>
      </c>
      <c r="H44" s="724"/>
      <c r="I44" s="725" t="s">
        <v>852</v>
      </c>
      <c r="J44" s="124" t="s">
        <v>855</v>
      </c>
    </row>
    <row r="45" spans="2:12" ht="15.75" x14ac:dyDescent="0.25">
      <c r="B45" s="727" t="s">
        <v>912</v>
      </c>
      <c r="C45" s="720" t="s">
        <v>915</v>
      </c>
      <c r="D45" s="729">
        <v>273661388</v>
      </c>
      <c r="E45" s="732" t="s">
        <v>916</v>
      </c>
      <c r="F45" s="726"/>
      <c r="G45" s="726">
        <v>149.16</v>
      </c>
      <c r="H45" s="724"/>
      <c r="I45" s="725" t="s">
        <v>852</v>
      </c>
      <c r="J45" s="124" t="s">
        <v>855</v>
      </c>
    </row>
    <row r="46" spans="2:12" x14ac:dyDescent="0.25">
      <c r="B46" s="815" t="s">
        <v>969</v>
      </c>
      <c r="C46" s="811" t="s">
        <v>966</v>
      </c>
      <c r="D46" s="811">
        <v>1116589777</v>
      </c>
      <c r="E46" s="811" t="s">
        <v>965</v>
      </c>
      <c r="F46" s="792"/>
      <c r="G46" s="792">
        <v>264</v>
      </c>
      <c r="H46" s="786"/>
      <c r="I46" s="787" t="s">
        <v>852</v>
      </c>
      <c r="J46" s="179" t="s">
        <v>672</v>
      </c>
    </row>
    <row r="47" spans="2:12" ht="15.75" x14ac:dyDescent="0.25">
      <c r="B47" s="727" t="s">
        <v>917</v>
      </c>
      <c r="C47" s="720" t="s">
        <v>918</v>
      </c>
      <c r="D47" s="729">
        <v>273663143</v>
      </c>
      <c r="E47" s="732" t="s">
        <v>919</v>
      </c>
      <c r="F47" s="726"/>
      <c r="G47" s="726">
        <v>149.16</v>
      </c>
      <c r="H47" s="724"/>
      <c r="I47" s="725" t="s">
        <v>852</v>
      </c>
      <c r="J47" s="124" t="s">
        <v>855</v>
      </c>
    </row>
    <row r="48" spans="2:12" ht="15.75" x14ac:dyDescent="0.25">
      <c r="B48" s="727" t="s">
        <v>920</v>
      </c>
      <c r="C48" s="731" t="s">
        <v>921</v>
      </c>
      <c r="D48" s="729">
        <v>827421311</v>
      </c>
      <c r="E48" s="732" t="s">
        <v>922</v>
      </c>
      <c r="F48" s="726"/>
      <c r="G48" s="726">
        <v>149.16</v>
      </c>
      <c r="H48" s="724"/>
      <c r="I48" s="725" t="s">
        <v>852</v>
      </c>
      <c r="J48" s="124" t="s">
        <v>853</v>
      </c>
      <c r="K48" t="s">
        <v>878</v>
      </c>
      <c r="L48" t="s">
        <v>852</v>
      </c>
    </row>
    <row r="49" spans="2:10" ht="15.75" x14ac:dyDescent="0.25">
      <c r="B49" s="802" t="s">
        <v>11</v>
      </c>
      <c r="C49" s="803" t="s">
        <v>923</v>
      </c>
      <c r="D49" s="804">
        <v>492843651</v>
      </c>
      <c r="E49" s="805" t="s">
        <v>12</v>
      </c>
      <c r="F49" s="777"/>
      <c r="G49" s="777">
        <v>149.16</v>
      </c>
      <c r="H49" s="778"/>
      <c r="I49" s="806" t="s">
        <v>852</v>
      </c>
      <c r="J49" s="120" t="s">
        <v>853</v>
      </c>
    </row>
    <row r="50" spans="2:10" ht="15.75" x14ac:dyDescent="0.25">
      <c r="B50" s="802" t="s">
        <v>11</v>
      </c>
      <c r="C50" s="803" t="s">
        <v>924</v>
      </c>
      <c r="D50" s="804">
        <v>492844577</v>
      </c>
      <c r="E50" s="805" t="s">
        <v>13</v>
      </c>
      <c r="F50" s="777"/>
      <c r="G50" s="777">
        <v>149.16</v>
      </c>
      <c r="H50" s="778"/>
      <c r="I50" s="806" t="s">
        <v>852</v>
      </c>
      <c r="J50" s="120" t="s">
        <v>853</v>
      </c>
    </row>
    <row r="51" spans="2:10" ht="15.75" x14ac:dyDescent="0.25">
      <c r="B51" s="741" t="s">
        <v>925</v>
      </c>
      <c r="C51" s="754" t="s">
        <v>926</v>
      </c>
      <c r="D51" s="755">
        <v>216160260</v>
      </c>
      <c r="E51" s="744" t="s">
        <v>927</v>
      </c>
      <c r="F51" s="726"/>
      <c r="G51" s="726">
        <v>149.16</v>
      </c>
      <c r="H51" s="724"/>
      <c r="I51" s="725" t="s">
        <v>852</v>
      </c>
      <c r="J51" s="124" t="s">
        <v>853</v>
      </c>
    </row>
    <row r="52" spans="2:10" ht="15.75" x14ac:dyDescent="0.25">
      <c r="B52" s="741" t="s">
        <v>925</v>
      </c>
      <c r="C52" s="756" t="s">
        <v>928</v>
      </c>
      <c r="D52" s="755">
        <v>692229485</v>
      </c>
      <c r="E52" s="744" t="s">
        <v>929</v>
      </c>
      <c r="F52" s="745"/>
      <c r="G52" s="745">
        <v>149.16</v>
      </c>
      <c r="H52" s="724"/>
      <c r="I52" s="725" t="s">
        <v>852</v>
      </c>
      <c r="J52" s="124" t="s">
        <v>853</v>
      </c>
    </row>
    <row r="53" spans="2:10" ht="15.75" x14ac:dyDescent="0.25">
      <c r="B53" s="757" t="s">
        <v>904</v>
      </c>
      <c r="C53" s="728" t="s">
        <v>930</v>
      </c>
      <c r="D53" s="758" t="s">
        <v>931</v>
      </c>
      <c r="E53" s="1126" t="s">
        <v>932</v>
      </c>
      <c r="F53" s="1127"/>
      <c r="G53" s="1128"/>
      <c r="H53" s="759"/>
      <c r="I53" s="124"/>
      <c r="J53" s="124" t="s">
        <v>933</v>
      </c>
    </row>
    <row r="54" spans="2:10" ht="15.75" x14ac:dyDescent="0.25">
      <c r="B54" s="757" t="s">
        <v>934</v>
      </c>
      <c r="C54" s="728" t="s">
        <v>935</v>
      </c>
      <c r="D54" s="728" t="s">
        <v>936</v>
      </c>
      <c r="E54" s="1129" t="s">
        <v>932</v>
      </c>
      <c r="F54" s="1130"/>
      <c r="G54" s="1131"/>
      <c r="H54" s="759"/>
      <c r="I54" s="124"/>
      <c r="J54" s="124" t="s">
        <v>873</v>
      </c>
    </row>
    <row r="55" spans="2:10" ht="15.75" x14ac:dyDescent="0.25">
      <c r="B55" s="760" t="s">
        <v>937</v>
      </c>
      <c r="C55" s="761"/>
      <c r="D55" s="762">
        <v>1271767179</v>
      </c>
      <c r="E55" s="762" t="s">
        <v>938</v>
      </c>
      <c r="F55" s="763"/>
      <c r="G55" s="764">
        <v>3688.65</v>
      </c>
      <c r="H55" s="765"/>
      <c r="I55" s="120" t="s">
        <v>852</v>
      </c>
      <c r="J55" s="120" t="s">
        <v>853</v>
      </c>
    </row>
    <row r="56" spans="2:10" ht="15.75" x14ac:dyDescent="0.25">
      <c r="B56" s="766" t="s">
        <v>939</v>
      </c>
      <c r="C56" s="767"/>
      <c r="D56" s="762">
        <v>1053727647</v>
      </c>
      <c r="E56" s="768" t="s">
        <v>940</v>
      </c>
      <c r="F56" s="763"/>
      <c r="G56" s="769">
        <v>952.12</v>
      </c>
      <c r="H56" s="765"/>
      <c r="I56" s="120" t="s">
        <v>852</v>
      </c>
      <c r="J56" s="120" t="s">
        <v>853</v>
      </c>
    </row>
    <row r="57" spans="2:10" ht="15.75" x14ac:dyDescent="0.25">
      <c r="B57" s="770" t="s">
        <v>941</v>
      </c>
      <c r="C57" s="771" t="s">
        <v>942</v>
      </c>
      <c r="D57" s="771">
        <v>1272019966</v>
      </c>
      <c r="E57" s="772" t="s">
        <v>943</v>
      </c>
      <c r="F57" s="763"/>
      <c r="G57" s="769">
        <v>3181.69</v>
      </c>
      <c r="H57" s="765"/>
      <c r="I57" s="120" t="s">
        <v>852</v>
      </c>
      <c r="J57" s="120" t="s">
        <v>853</v>
      </c>
    </row>
    <row r="58" spans="2:10" ht="15.75" x14ac:dyDescent="0.25">
      <c r="B58" s="770" t="s">
        <v>944</v>
      </c>
      <c r="C58" s="771" t="s">
        <v>945</v>
      </c>
      <c r="D58" s="771">
        <v>1272575389</v>
      </c>
      <c r="E58" s="772" t="s">
        <v>946</v>
      </c>
      <c r="F58" s="763"/>
      <c r="G58" s="769">
        <v>4962.1099999999997</v>
      </c>
      <c r="H58" s="765"/>
      <c r="I58" s="120" t="s">
        <v>852</v>
      </c>
      <c r="J58" s="120" t="s">
        <v>853</v>
      </c>
    </row>
    <row r="59" spans="2:10" ht="15.75" x14ac:dyDescent="0.25">
      <c r="B59" s="773"/>
      <c r="C59" s="774"/>
      <c r="D59" s="775"/>
      <c r="E59" s="776"/>
      <c r="F59" s="777"/>
      <c r="G59" s="777"/>
      <c r="H59" s="778"/>
      <c r="I59" s="120"/>
      <c r="J59" s="120"/>
    </row>
    <row r="60" spans="2:10" x14ac:dyDescent="0.25">
      <c r="E60" s="120" t="s">
        <v>462</v>
      </c>
      <c r="F60" s="779"/>
      <c r="G60" s="780">
        <f>SUM(G21:G58)</f>
        <v>40231.949999999997</v>
      </c>
    </row>
    <row r="61" spans="2:10" x14ac:dyDescent="0.25">
      <c r="F61" s="120" t="s">
        <v>947</v>
      </c>
      <c r="G61" s="120" t="s">
        <v>948</v>
      </c>
    </row>
    <row r="63" spans="2:10" x14ac:dyDescent="0.25">
      <c r="G63" s="139" t="s">
        <v>672</v>
      </c>
      <c r="H63" s="794">
        <f>SUM(G39,G29,G22,G43,G46,G20)</f>
        <v>5857.97</v>
      </c>
    </row>
  </sheetData>
  <autoFilter ref="A19:P58" xr:uid="{A673AC9E-DE5E-4AAF-8075-21760C655F22}"/>
  <mergeCells count="4">
    <mergeCell ref="L7:L9"/>
    <mergeCell ref="B18:I18"/>
    <mergeCell ref="E53:G53"/>
    <mergeCell ref="E54:G5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740C-B0F7-49AB-9A85-8940EA461A65}">
  <sheetPr>
    <tabColor rgb="FFFFFF00"/>
  </sheetPr>
  <dimension ref="A1:X179"/>
  <sheetViews>
    <sheetView topLeftCell="B1" zoomScaleNormal="100" workbookViewId="0">
      <selection activeCell="H3" sqref="H3"/>
    </sheetView>
  </sheetViews>
  <sheetFormatPr defaultRowHeight="15" x14ac:dyDescent="0.25"/>
  <cols>
    <col min="1" max="1" width="67.28515625" customWidth="1"/>
    <col min="2" max="2" width="18.5703125" style="1" customWidth="1"/>
    <col min="3" max="3" width="16.28515625" style="105" customWidth="1"/>
    <col min="4" max="4" width="17.7109375" bestFit="1" customWidth="1"/>
    <col min="5" max="5" width="11.5703125" customWidth="1"/>
    <col min="6" max="6" width="45.28515625" customWidth="1"/>
    <col min="7" max="7" width="26.42578125" style="1" customWidth="1"/>
    <col min="8" max="8" width="15.85546875" bestFit="1" customWidth="1"/>
    <col min="9" max="9" width="21.28515625" customWidth="1"/>
    <col min="10" max="10" width="35.140625" bestFit="1" customWidth="1"/>
    <col min="11" max="11" width="32.42578125" customWidth="1"/>
    <col min="12" max="12" width="14.7109375" bestFit="1" customWidth="1"/>
    <col min="13" max="13" width="12.7109375" customWidth="1"/>
    <col min="14" max="14" width="11.7109375" bestFit="1" customWidth="1"/>
    <col min="15" max="15" width="24.7109375" bestFit="1" customWidth="1"/>
    <col min="16" max="16" width="14.7109375" bestFit="1" customWidth="1"/>
    <col min="17" max="17" width="9.5703125" bestFit="1" customWidth="1"/>
    <col min="18" max="18" width="8.7109375" bestFit="1" customWidth="1"/>
    <col min="19" max="19" width="41" bestFit="1" customWidth="1"/>
    <col min="20" max="21" width="12.7109375" bestFit="1" customWidth="1"/>
    <col min="22" max="22" width="11.7109375" bestFit="1" customWidth="1"/>
    <col min="23" max="24" width="12.7109375" bestFit="1" customWidth="1"/>
    <col min="25" max="25" width="5" customWidth="1"/>
    <col min="26" max="26" width="12.7109375" bestFit="1" customWidth="1"/>
    <col min="27" max="27" width="13.85546875" bestFit="1" customWidth="1"/>
    <col min="30" max="30" width="10" customWidth="1"/>
  </cols>
  <sheetData>
    <row r="1" spans="1:15" ht="18.75" x14ac:dyDescent="0.3">
      <c r="A1" s="1133" t="s">
        <v>40</v>
      </c>
      <c r="B1" s="1133"/>
      <c r="C1" s="1133"/>
      <c r="F1" s="1134" t="s">
        <v>41</v>
      </c>
      <c r="G1" s="1134"/>
      <c r="H1" s="1134"/>
      <c r="I1" s="1134"/>
    </row>
    <row r="2" spans="1:15" ht="37.5" x14ac:dyDescent="0.3">
      <c r="A2" s="20" t="s">
        <v>3</v>
      </c>
      <c r="B2" s="20" t="s">
        <v>42</v>
      </c>
      <c r="C2" s="20" t="s">
        <v>43</v>
      </c>
      <c r="F2" s="21" t="s">
        <v>44</v>
      </c>
      <c r="G2" s="21" t="s">
        <v>45</v>
      </c>
      <c r="H2" s="21" t="s">
        <v>43</v>
      </c>
      <c r="I2" s="21"/>
    </row>
    <row r="3" spans="1:15" x14ac:dyDescent="0.25">
      <c r="A3" s="22" t="s">
        <v>46</v>
      </c>
      <c r="B3" s="23">
        <v>1</v>
      </c>
      <c r="C3" s="467">
        <f>RH!C22</f>
        <v>11776.41</v>
      </c>
      <c r="F3" s="24" t="s">
        <v>1117</v>
      </c>
      <c r="G3" s="924">
        <v>75000</v>
      </c>
      <c r="H3" s="500">
        <v>75000</v>
      </c>
      <c r="I3" s="412"/>
      <c r="K3" s="412"/>
      <c r="L3" s="412"/>
      <c r="M3" s="412"/>
      <c r="N3" s="412"/>
    </row>
    <row r="4" spans="1:15" x14ac:dyDescent="0.25">
      <c r="A4" s="1135" t="s">
        <v>410</v>
      </c>
      <c r="B4" s="1136"/>
      <c r="C4" s="1137"/>
      <c r="D4" s="412"/>
      <c r="F4" s="24" t="s">
        <v>826</v>
      </c>
      <c r="G4" s="25" t="s">
        <v>829</v>
      </c>
      <c r="H4" s="500"/>
      <c r="I4" s="412"/>
      <c r="L4" s="402"/>
      <c r="M4" s="412"/>
      <c r="N4" s="412"/>
    </row>
    <row r="5" spans="1:15" x14ac:dyDescent="0.25">
      <c r="A5" s="26" t="s">
        <v>803</v>
      </c>
      <c r="B5" s="27"/>
      <c r="C5" s="28">
        <f>RH!C38</f>
        <v>0</v>
      </c>
      <c r="F5" s="24" t="s">
        <v>603</v>
      </c>
      <c r="G5" s="25">
        <v>12</v>
      </c>
      <c r="H5" s="418">
        <f>((1212*0.682)*15000)/5750</f>
        <v>2156.3060869565215</v>
      </c>
      <c r="I5" t="s">
        <v>607</v>
      </c>
      <c r="J5" s="1138"/>
      <c r="K5" s="1138"/>
      <c r="L5" s="1138"/>
      <c r="M5" s="1138"/>
    </row>
    <row r="6" spans="1:15" x14ac:dyDescent="0.25">
      <c r="A6" s="29" t="s">
        <v>804</v>
      </c>
      <c r="B6" s="30"/>
      <c r="C6" s="31">
        <f>'Supriment-Ser Profiss'!H1</f>
        <v>0</v>
      </c>
      <c r="F6" s="24" t="s">
        <v>47</v>
      </c>
      <c r="G6" s="25" t="s">
        <v>48</v>
      </c>
      <c r="H6" s="418">
        <f>(211666*1%)*'Orçam-Realiza'!D29</f>
        <v>11429.964</v>
      </c>
      <c r="I6" s="4"/>
      <c r="L6" s="1"/>
      <c r="M6">
        <v>606.98</v>
      </c>
    </row>
    <row r="7" spans="1:15" x14ac:dyDescent="0.25">
      <c r="A7" s="29" t="s">
        <v>805</v>
      </c>
      <c r="B7" s="30"/>
      <c r="C7" s="31">
        <f>RH!C34</f>
        <v>2400</v>
      </c>
      <c r="D7" s="32"/>
      <c r="F7" s="33" t="s">
        <v>50</v>
      </c>
      <c r="G7" s="34" t="s">
        <v>51</v>
      </c>
      <c r="H7" s="426">
        <f>SUM(G11:O11)</f>
        <v>12510</v>
      </c>
      <c r="I7" s="35"/>
      <c r="J7" s="36"/>
      <c r="K7" s="36"/>
      <c r="L7" s="37"/>
      <c r="M7" s="36"/>
      <c r="N7" s="36"/>
      <c r="O7" s="36"/>
    </row>
    <row r="8" spans="1:15" x14ac:dyDescent="0.25">
      <c r="B8" s="41"/>
      <c r="C8" s="466">
        <f>SUM(C5:C7)</f>
        <v>2400</v>
      </c>
      <c r="F8" s="37"/>
      <c r="G8" s="37" t="s">
        <v>52</v>
      </c>
      <c r="H8" s="38">
        <v>248.24</v>
      </c>
      <c r="I8" s="37" t="s">
        <v>53</v>
      </c>
      <c r="J8" s="37" t="s">
        <v>54</v>
      </c>
      <c r="K8" s="37" t="s">
        <v>55</v>
      </c>
      <c r="L8" s="37" t="s">
        <v>56</v>
      </c>
      <c r="M8" s="37" t="s">
        <v>57</v>
      </c>
      <c r="N8" s="37" t="s">
        <v>58</v>
      </c>
      <c r="O8" s="37" t="s">
        <v>59</v>
      </c>
    </row>
    <row r="9" spans="1:15" ht="15.75" thickBot="1" x14ac:dyDescent="0.3">
      <c r="A9" s="43" t="s">
        <v>66</v>
      </c>
      <c r="B9" s="44">
        <v>1</v>
      </c>
      <c r="C9" s="473">
        <v>5000</v>
      </c>
      <c r="F9" s="39" t="s">
        <v>64</v>
      </c>
      <c r="G9" s="40">
        <f>40500/2</f>
        <v>20250</v>
      </c>
      <c r="H9" s="40">
        <f>50580/2</f>
        <v>25290</v>
      </c>
      <c r="I9" s="40">
        <f>48600/2</f>
        <v>24300</v>
      </c>
      <c r="J9" s="40">
        <f>49500/2</f>
        <v>24750</v>
      </c>
      <c r="K9" s="40">
        <f>43200/2</f>
        <v>21600</v>
      </c>
      <c r="L9" s="40">
        <f>34650/2</f>
        <v>17325</v>
      </c>
      <c r="M9" s="40">
        <f>27000/2</f>
        <v>13500</v>
      </c>
      <c r="N9" s="40">
        <f>24700/2</f>
        <v>12350</v>
      </c>
      <c r="O9" s="40">
        <f>25000/2</f>
        <v>12500</v>
      </c>
    </row>
    <row r="10" spans="1:15" x14ac:dyDescent="0.25">
      <c r="A10" s="47" t="s">
        <v>806</v>
      </c>
      <c r="B10" s="48"/>
      <c r="C10" s="49"/>
      <c r="F10" s="39" t="s">
        <v>65</v>
      </c>
      <c r="G10" s="42">
        <v>20</v>
      </c>
      <c r="H10" s="42">
        <v>20</v>
      </c>
      <c r="I10" s="42">
        <v>20</v>
      </c>
      <c r="J10" s="42">
        <v>2</v>
      </c>
      <c r="K10" s="42">
        <v>2</v>
      </c>
      <c r="L10" s="42">
        <v>2</v>
      </c>
      <c r="M10" s="42">
        <v>2</v>
      </c>
      <c r="N10" s="42">
        <v>2</v>
      </c>
      <c r="O10" s="42">
        <v>2</v>
      </c>
    </row>
    <row r="11" spans="1:15" x14ac:dyDescent="0.25">
      <c r="A11" s="52" t="s">
        <v>75</v>
      </c>
      <c r="B11" s="41">
        <v>1</v>
      </c>
      <c r="C11" s="53">
        <f>Angelo!D4</f>
        <v>35</v>
      </c>
      <c r="F11" s="45" t="s">
        <v>67</v>
      </c>
      <c r="G11" s="46">
        <f>G10*80+810</f>
        <v>2410</v>
      </c>
      <c r="H11" s="46">
        <f>H10*80+810</f>
        <v>2410</v>
      </c>
      <c r="I11" s="46">
        <f>I10*80+810</f>
        <v>2410</v>
      </c>
      <c r="J11" s="46">
        <f t="shared" ref="J11:O11" si="0">J10*80+720</f>
        <v>880</v>
      </c>
      <c r="K11" s="46">
        <f t="shared" si="0"/>
        <v>880</v>
      </c>
      <c r="L11" s="46">
        <f t="shared" si="0"/>
        <v>880</v>
      </c>
      <c r="M11" s="46">
        <f t="shared" si="0"/>
        <v>880</v>
      </c>
      <c r="N11" s="46">
        <f t="shared" si="0"/>
        <v>880</v>
      </c>
      <c r="O11" s="46">
        <f t="shared" si="0"/>
        <v>880</v>
      </c>
    </row>
    <row r="12" spans="1:15" ht="15.75" thickBot="1" x14ac:dyDescent="0.3">
      <c r="A12" s="56" t="s">
        <v>78</v>
      </c>
      <c r="B12" s="57">
        <v>12</v>
      </c>
      <c r="C12" s="53">
        <f>Angelo!D5</f>
        <v>1800</v>
      </c>
      <c r="F12" s="50" t="s">
        <v>68</v>
      </c>
      <c r="G12" s="27"/>
      <c r="H12" s="51"/>
    </row>
    <row r="13" spans="1:15" ht="15.75" thickBot="1" x14ac:dyDescent="0.3">
      <c r="A13" s="56" t="s">
        <v>108</v>
      </c>
      <c r="B13" s="57">
        <v>1</v>
      </c>
      <c r="C13" s="53">
        <f>Angelo!D6</f>
        <v>250</v>
      </c>
      <c r="F13" s="54" t="s">
        <v>69</v>
      </c>
      <c r="G13" s="55">
        <v>4</v>
      </c>
      <c r="H13" s="459">
        <v>3000</v>
      </c>
      <c r="I13" s="32"/>
    </row>
    <row r="14" spans="1:15" ht="15.75" thickBot="1" x14ac:dyDescent="0.3">
      <c r="A14" s="56" t="s">
        <v>428</v>
      </c>
      <c r="B14" s="57">
        <v>1</v>
      </c>
      <c r="C14" s="53">
        <f>Angelo!D7</f>
        <v>650</v>
      </c>
      <c r="F14" s="59" t="s">
        <v>636</v>
      </c>
      <c r="G14" s="60">
        <v>1</v>
      </c>
      <c r="H14" s="459">
        <v>1000</v>
      </c>
      <c r="I14" s="61"/>
    </row>
    <row r="15" spans="1:15" x14ac:dyDescent="0.25">
      <c r="A15" s="56" t="s">
        <v>82</v>
      </c>
      <c r="B15" s="57">
        <v>1</v>
      </c>
      <c r="C15" s="53">
        <f>Angelo!D8</f>
        <v>46</v>
      </c>
      <c r="F15" s="47" t="s">
        <v>72</v>
      </c>
      <c r="G15" s="63" t="s">
        <v>73</v>
      </c>
      <c r="H15" s="64" t="s">
        <v>1</v>
      </c>
      <c r="I15" s="65"/>
      <c r="J15" s="29"/>
      <c r="K15" s="1139"/>
      <c r="L15" s="1139"/>
      <c r="M15" s="1139"/>
    </row>
    <row r="16" spans="1:15" x14ac:dyDescent="0.25">
      <c r="A16" s="56" t="s">
        <v>84</v>
      </c>
      <c r="B16" s="57">
        <v>1</v>
      </c>
      <c r="C16" s="53">
        <f>Angelo!D9</f>
        <v>25</v>
      </c>
      <c r="F16" s="66" t="s">
        <v>74</v>
      </c>
      <c r="G16" s="1">
        <v>3</v>
      </c>
      <c r="H16" s="67">
        <f>Angelo!D97</f>
        <v>75</v>
      </c>
      <c r="J16" s="29"/>
      <c r="K16" s="29"/>
      <c r="L16" s="29"/>
      <c r="M16" s="29"/>
    </row>
    <row r="17" spans="1:13" x14ac:dyDescent="0.25">
      <c r="A17" s="56" t="s">
        <v>429</v>
      </c>
      <c r="B17" s="57">
        <v>1</v>
      </c>
      <c r="C17" s="53">
        <f>Angelo!D10</f>
        <v>17.5</v>
      </c>
      <c r="F17" s="66" t="s">
        <v>76</v>
      </c>
      <c r="G17" s="1">
        <v>6</v>
      </c>
      <c r="H17" s="67">
        <f>Angelo!D98</f>
        <v>90</v>
      </c>
      <c r="J17" s="29"/>
      <c r="K17" s="29"/>
      <c r="L17" s="68"/>
      <c r="M17" s="29"/>
    </row>
    <row r="18" spans="1:13" x14ac:dyDescent="0.25">
      <c r="A18" s="52" t="s">
        <v>430</v>
      </c>
      <c r="B18" s="41">
        <v>2</v>
      </c>
      <c r="C18" s="53">
        <f>Angelo!D11</f>
        <v>66</v>
      </c>
      <c r="F18" s="66" t="s">
        <v>77</v>
      </c>
      <c r="G18" s="1">
        <v>20</v>
      </c>
      <c r="H18" s="67">
        <f>Angelo!D99</f>
        <v>360</v>
      </c>
      <c r="J18" s="29"/>
      <c r="K18" s="29"/>
      <c r="L18" s="68"/>
      <c r="M18" s="29"/>
    </row>
    <row r="19" spans="1:13" x14ac:dyDescent="0.25">
      <c r="A19" s="52" t="s">
        <v>87</v>
      </c>
      <c r="B19" s="41">
        <v>1</v>
      </c>
      <c r="C19" s="53">
        <f>Angelo!D12</f>
        <v>60</v>
      </c>
      <c r="F19" s="66" t="s">
        <v>79</v>
      </c>
      <c r="G19" s="1">
        <v>60</v>
      </c>
      <c r="H19" s="67">
        <f>Angelo!D100</f>
        <v>360</v>
      </c>
      <c r="I19" s="69"/>
      <c r="J19" s="29"/>
      <c r="K19" s="29"/>
      <c r="L19" s="68"/>
      <c r="M19" s="29"/>
    </row>
    <row r="20" spans="1:13" x14ac:dyDescent="0.25">
      <c r="A20" s="52" t="s">
        <v>431</v>
      </c>
      <c r="B20" s="41">
        <v>2</v>
      </c>
      <c r="C20" s="53">
        <f>Angelo!D13</f>
        <v>74</v>
      </c>
      <c r="F20" s="66" t="s">
        <v>81</v>
      </c>
      <c r="G20" s="1">
        <v>50</v>
      </c>
      <c r="H20" s="67">
        <f>Angelo!D101</f>
        <v>405</v>
      </c>
      <c r="J20" s="29"/>
      <c r="K20" s="29"/>
      <c r="L20" s="68"/>
      <c r="M20" s="29"/>
    </row>
    <row r="21" spans="1:13" x14ac:dyDescent="0.25">
      <c r="A21" s="52" t="s">
        <v>432</v>
      </c>
      <c r="B21" s="41">
        <v>0</v>
      </c>
      <c r="C21" s="53">
        <f>Angelo!D14</f>
        <v>0</v>
      </c>
      <c r="F21" s="66" t="s">
        <v>83</v>
      </c>
      <c r="G21" s="1">
        <v>50</v>
      </c>
      <c r="H21" s="67">
        <f>Angelo!D102</f>
        <v>270</v>
      </c>
      <c r="J21" s="29">
        <f>I20*5.2</f>
        <v>0</v>
      </c>
      <c r="K21" s="29"/>
      <c r="L21" s="68"/>
      <c r="M21" s="29"/>
    </row>
    <row r="22" spans="1:13" x14ac:dyDescent="0.25">
      <c r="A22" s="52" t="s">
        <v>91</v>
      </c>
      <c r="B22" s="41">
        <v>6</v>
      </c>
      <c r="C22" s="53">
        <f>Angelo!D15</f>
        <v>48</v>
      </c>
      <c r="F22" s="52" t="s">
        <v>85</v>
      </c>
      <c r="G22" s="41">
        <v>70</v>
      </c>
      <c r="H22" s="67">
        <f>Angelo!D103</f>
        <v>405</v>
      </c>
      <c r="I22">
        <f>SUM(I20:I21)</f>
        <v>0</v>
      </c>
      <c r="J22" s="29">
        <f>I21*5.2</f>
        <v>0</v>
      </c>
      <c r="K22" s="29"/>
      <c r="L22" s="68"/>
      <c r="M22" s="29"/>
    </row>
    <row r="23" spans="1:13" ht="15.75" thickBot="1" x14ac:dyDescent="0.3">
      <c r="A23" s="52" t="s">
        <v>104</v>
      </c>
      <c r="B23" s="41">
        <v>2</v>
      </c>
      <c r="C23" s="53">
        <f>Angelo!D16</f>
        <v>10</v>
      </c>
      <c r="F23" s="70"/>
      <c r="G23" s="71"/>
      <c r="H23" s="460">
        <f>SUM(H16:H22)</f>
        <v>1965</v>
      </c>
      <c r="I23" s="69"/>
      <c r="J23" s="29">
        <f>SUM(J21:J22)</f>
        <v>0</v>
      </c>
      <c r="K23" s="29"/>
      <c r="L23" s="68"/>
      <c r="M23" s="29"/>
    </row>
    <row r="24" spans="1:13" ht="15.75" thickBot="1" x14ac:dyDescent="0.3">
      <c r="A24" s="56" t="s">
        <v>95</v>
      </c>
      <c r="B24" s="57"/>
      <c r="C24" s="53">
        <f>Angelo!D19</f>
        <v>320</v>
      </c>
      <c r="F24" s="54" t="s">
        <v>86</v>
      </c>
      <c r="G24" s="55">
        <v>1</v>
      </c>
      <c r="H24" s="459">
        <v>600</v>
      </c>
      <c r="J24" s="29"/>
      <c r="K24" s="27"/>
      <c r="L24" s="74"/>
      <c r="M24" s="29"/>
    </row>
    <row r="25" spans="1:13" x14ac:dyDescent="0.25">
      <c r="A25" s="52" t="s">
        <v>481</v>
      </c>
      <c r="B25" s="41">
        <v>10</v>
      </c>
      <c r="C25" s="53">
        <v>101.25</v>
      </c>
      <c r="F25" s="47" t="s">
        <v>88</v>
      </c>
      <c r="G25" s="72"/>
      <c r="H25" s="73"/>
      <c r="I25" s="65"/>
      <c r="J25" s="29"/>
      <c r="K25" s="41"/>
      <c r="L25" s="68"/>
      <c r="M25" s="29"/>
    </row>
    <row r="26" spans="1:13" ht="15.75" thickBot="1" x14ac:dyDescent="0.3">
      <c r="A26" s="52" t="s">
        <v>482</v>
      </c>
      <c r="B26" s="41">
        <v>1</v>
      </c>
      <c r="C26" s="53">
        <v>146</v>
      </c>
      <c r="F26" s="70" t="s">
        <v>89</v>
      </c>
      <c r="G26" s="71"/>
      <c r="H26" s="460"/>
      <c r="J26" s="29"/>
      <c r="K26" s="41"/>
      <c r="L26" s="68"/>
      <c r="M26" s="29"/>
    </row>
    <row r="27" spans="1:13" x14ac:dyDescent="0.25">
      <c r="A27" s="52" t="s">
        <v>483</v>
      </c>
      <c r="B27" s="41">
        <v>4</v>
      </c>
      <c r="C27" s="53">
        <v>33</v>
      </c>
      <c r="F27" s="47" t="s">
        <v>90</v>
      </c>
      <c r="G27" s="72"/>
      <c r="H27" s="73"/>
      <c r="J27" s="27"/>
      <c r="K27" s="29"/>
      <c r="L27" s="29"/>
      <c r="M27" s="29"/>
    </row>
    <row r="28" spans="1:13" ht="15.75" x14ac:dyDescent="0.25">
      <c r="A28" s="52" t="s">
        <v>484</v>
      </c>
      <c r="B28" s="41">
        <v>5</v>
      </c>
      <c r="C28" s="53">
        <v>85</v>
      </c>
      <c r="F28" s="52" t="s">
        <v>92</v>
      </c>
      <c r="G28" s="41">
        <v>0</v>
      </c>
      <c r="H28" s="76">
        <v>0</v>
      </c>
      <c r="J28" s="75"/>
      <c r="K28" s="27"/>
      <c r="L28" s="74"/>
      <c r="M28" s="29"/>
    </row>
    <row r="29" spans="1:13" ht="15.75" x14ac:dyDescent="0.25">
      <c r="A29" s="52" t="s">
        <v>485</v>
      </c>
      <c r="B29" s="41">
        <v>48</v>
      </c>
      <c r="C29" s="53"/>
      <c r="F29" s="52" t="s">
        <v>93</v>
      </c>
      <c r="G29" s="41">
        <v>0</v>
      </c>
      <c r="H29" s="76">
        <v>0</v>
      </c>
      <c r="J29" s="75"/>
      <c r="K29" s="41"/>
      <c r="L29" s="68"/>
      <c r="M29" s="29"/>
    </row>
    <row r="30" spans="1:13" ht="15.75" thickBot="1" x14ac:dyDescent="0.3">
      <c r="A30" s="52" t="s">
        <v>486</v>
      </c>
      <c r="B30" s="41">
        <v>6</v>
      </c>
      <c r="C30" s="53">
        <v>520</v>
      </c>
      <c r="F30" s="77"/>
      <c r="G30" s="78"/>
      <c r="H30" s="460">
        <f>SUM(H28:H29)</f>
        <v>0</v>
      </c>
      <c r="J30" s="29"/>
      <c r="K30" s="84"/>
      <c r="L30" s="29"/>
      <c r="M30" s="29"/>
    </row>
    <row r="31" spans="1:13" x14ac:dyDescent="0.25">
      <c r="A31" s="52" t="s">
        <v>487</v>
      </c>
      <c r="B31" s="41">
        <v>4</v>
      </c>
      <c r="C31" s="53">
        <v>102</v>
      </c>
      <c r="F31" s="79" t="s">
        <v>94</v>
      </c>
      <c r="G31" s="80"/>
      <c r="H31" s="51">
        <f>RH!C34</f>
        <v>2400</v>
      </c>
      <c r="J31" s="27"/>
      <c r="K31" s="84"/>
      <c r="L31" s="29"/>
      <c r="M31" s="29"/>
    </row>
    <row r="32" spans="1:13" ht="15.75" x14ac:dyDescent="0.25">
      <c r="A32" s="52" t="s">
        <v>488</v>
      </c>
      <c r="B32" s="41">
        <v>10</v>
      </c>
      <c r="C32" s="53">
        <v>23</v>
      </c>
      <c r="F32" s="81" t="s">
        <v>96</v>
      </c>
      <c r="G32" s="82">
        <v>2</v>
      </c>
      <c r="H32" s="426">
        <v>16000</v>
      </c>
      <c r="J32" s="75"/>
      <c r="K32" s="84"/>
      <c r="L32" s="29"/>
      <c r="M32" s="29"/>
    </row>
    <row r="33" spans="1:13" x14ac:dyDescent="0.25">
      <c r="A33" s="52" t="s">
        <v>489</v>
      </c>
      <c r="B33" s="41">
        <v>1</v>
      </c>
      <c r="C33" s="53">
        <v>140</v>
      </c>
      <c r="F33" s="50" t="s">
        <v>97</v>
      </c>
      <c r="G33" s="27"/>
      <c r="H33" s="85"/>
      <c r="J33" s="83"/>
      <c r="K33" s="84"/>
      <c r="L33" s="29"/>
      <c r="M33" s="29"/>
    </row>
    <row r="34" spans="1:13" x14ac:dyDescent="0.25">
      <c r="A34" s="52" t="s">
        <v>490</v>
      </c>
      <c r="B34" s="41">
        <v>9</v>
      </c>
      <c r="C34" s="53">
        <v>95</v>
      </c>
      <c r="F34" s="86" t="s">
        <v>98</v>
      </c>
      <c r="G34" s="41">
        <v>15</v>
      </c>
      <c r="H34" s="85">
        <f>G34*90</f>
        <v>1350</v>
      </c>
      <c r="J34" s="83"/>
    </row>
    <row r="35" spans="1:13" x14ac:dyDescent="0.25">
      <c r="A35" s="52" t="s">
        <v>491</v>
      </c>
      <c r="B35" s="41">
        <v>2</v>
      </c>
      <c r="C35" s="53">
        <v>24</v>
      </c>
      <c r="F35" s="86" t="s">
        <v>825</v>
      </c>
      <c r="G35" s="41">
        <v>1</v>
      </c>
      <c r="H35" s="85">
        <v>600</v>
      </c>
      <c r="J35" s="83"/>
    </row>
    <row r="36" spans="1:13" x14ac:dyDescent="0.25">
      <c r="A36" s="52" t="s">
        <v>492</v>
      </c>
      <c r="B36" s="41">
        <v>1</v>
      </c>
      <c r="C36" s="53">
        <v>26</v>
      </c>
      <c r="F36" s="86" t="s">
        <v>99</v>
      </c>
      <c r="G36" s="41">
        <v>1</v>
      </c>
      <c r="H36" s="85">
        <v>40</v>
      </c>
      <c r="J36" s="83"/>
    </row>
    <row r="37" spans="1:13" x14ac:dyDescent="0.25">
      <c r="A37" s="52" t="s">
        <v>493</v>
      </c>
      <c r="B37" s="41">
        <v>1</v>
      </c>
      <c r="C37" s="53">
        <v>26</v>
      </c>
      <c r="F37" s="86" t="s">
        <v>815</v>
      </c>
      <c r="G37" s="41">
        <v>1</v>
      </c>
      <c r="H37" s="85">
        <v>3275.01</v>
      </c>
    </row>
    <row r="38" spans="1:13" x14ac:dyDescent="0.25">
      <c r="A38" s="52" t="s">
        <v>494</v>
      </c>
      <c r="B38" s="41">
        <v>15</v>
      </c>
      <c r="C38" s="53">
        <v>400</v>
      </c>
      <c r="F38" s="86"/>
      <c r="G38" s="41"/>
      <c r="H38" s="51">
        <f>SUM(H34:H37)</f>
        <v>5265.01</v>
      </c>
    </row>
    <row r="39" spans="1:13" x14ac:dyDescent="0.25">
      <c r="A39" s="52" t="s">
        <v>495</v>
      </c>
      <c r="B39" s="41">
        <v>1</v>
      </c>
      <c r="C39" s="53">
        <v>210</v>
      </c>
      <c r="D39" s="88"/>
      <c r="F39" s="24" t="s">
        <v>100</v>
      </c>
      <c r="G39" s="25">
        <v>12</v>
      </c>
      <c r="H39" s="418">
        <f>11930*G39</f>
        <v>143160</v>
      </c>
    </row>
    <row r="40" spans="1:13" x14ac:dyDescent="0.25">
      <c r="A40" s="52" t="s">
        <v>496</v>
      </c>
      <c r="B40" s="41"/>
      <c r="C40" s="53"/>
      <c r="F40" s="24" t="s">
        <v>102</v>
      </c>
      <c r="G40" s="25" t="s">
        <v>103</v>
      </c>
      <c r="H40" s="87"/>
    </row>
    <row r="41" spans="1:13" x14ac:dyDescent="0.25">
      <c r="A41" s="52" t="s">
        <v>136</v>
      </c>
      <c r="B41" s="41">
        <v>10</v>
      </c>
      <c r="C41" s="53">
        <v>123</v>
      </c>
      <c r="F41" s="86" t="s">
        <v>105</v>
      </c>
      <c r="G41" s="89"/>
      <c r="H41" s="85">
        <f>SUM(I42:J42)</f>
        <v>17250</v>
      </c>
      <c r="I41" s="413">
        <v>345</v>
      </c>
      <c r="J41" s="120">
        <v>115</v>
      </c>
    </row>
    <row r="42" spans="1:13" x14ac:dyDescent="0.25">
      <c r="A42" s="52" t="s">
        <v>497</v>
      </c>
      <c r="B42" s="41">
        <v>14</v>
      </c>
      <c r="C42" s="53">
        <v>2750</v>
      </c>
      <c r="D42" s="91"/>
      <c r="F42" s="86" t="s">
        <v>106</v>
      </c>
      <c r="G42" s="90">
        <v>4</v>
      </c>
      <c r="H42" s="85">
        <f>Tecnico!D39</f>
        <v>1400</v>
      </c>
      <c r="I42" s="121">
        <f>I41*30</f>
        <v>10350</v>
      </c>
      <c r="J42" s="121">
        <f>J41*60</f>
        <v>6900</v>
      </c>
    </row>
    <row r="43" spans="1:13" x14ac:dyDescent="0.25">
      <c r="A43" s="52" t="s">
        <v>498</v>
      </c>
      <c r="B43" s="41">
        <v>4</v>
      </c>
      <c r="C43" s="53">
        <v>61</v>
      </c>
      <c r="D43" s="91"/>
      <c r="F43" s="86" t="s">
        <v>107</v>
      </c>
      <c r="G43" s="90">
        <v>40</v>
      </c>
      <c r="H43" s="85">
        <f>Tecnico!D34</f>
        <v>1290</v>
      </c>
    </row>
    <row r="44" spans="1:13" x14ac:dyDescent="0.25">
      <c r="A44" s="52" t="s">
        <v>499</v>
      </c>
      <c r="B44" s="41">
        <v>2</v>
      </c>
      <c r="C44" s="53">
        <v>85</v>
      </c>
      <c r="D44" s="91"/>
      <c r="F44" s="86"/>
      <c r="G44" s="41"/>
      <c r="H44" s="51">
        <f>SUM(H41:H43)</f>
        <v>19940</v>
      </c>
    </row>
    <row r="45" spans="1:13" x14ac:dyDescent="0.25">
      <c r="A45" s="52" t="s">
        <v>500</v>
      </c>
      <c r="B45" s="41">
        <v>2</v>
      </c>
      <c r="C45" s="53">
        <v>96</v>
      </c>
      <c r="D45" s="91"/>
      <c r="F45" s="24" t="s">
        <v>109</v>
      </c>
      <c r="G45" s="25"/>
      <c r="H45" s="92"/>
    </row>
    <row r="46" spans="1:13" x14ac:dyDescent="0.25">
      <c r="A46" s="52" t="s">
        <v>501</v>
      </c>
      <c r="B46" s="41">
        <v>2</v>
      </c>
      <c r="C46" s="53">
        <v>210</v>
      </c>
      <c r="D46" s="91"/>
      <c r="F46" s="86" t="s">
        <v>110</v>
      </c>
      <c r="G46" s="41"/>
      <c r="H46" s="93">
        <f>RH!M20</f>
        <v>613</v>
      </c>
    </row>
    <row r="47" spans="1:13" ht="18.75" x14ac:dyDescent="0.3">
      <c r="A47" s="52" t="s">
        <v>502</v>
      </c>
      <c r="B47" s="41">
        <v>3</v>
      </c>
      <c r="C47" s="53">
        <v>75</v>
      </c>
      <c r="D47" s="91"/>
      <c r="F47" s="86"/>
      <c r="G47" s="41"/>
      <c r="H47" s="93"/>
      <c r="K47" s="94"/>
      <c r="L47" s="94"/>
    </row>
    <row r="48" spans="1:13" ht="15.75" x14ac:dyDescent="0.25">
      <c r="A48" s="52" t="s">
        <v>503</v>
      </c>
      <c r="B48" s="41">
        <v>12</v>
      </c>
      <c r="C48" s="53">
        <v>250</v>
      </c>
      <c r="D48" s="91"/>
      <c r="F48" s="86" t="s">
        <v>111</v>
      </c>
      <c r="G48" s="41"/>
      <c r="H48" s="906">
        <f>RH!P11</f>
        <v>753</v>
      </c>
      <c r="K48" s="96"/>
      <c r="L48" s="96"/>
    </row>
    <row r="49" spans="1:13" ht="15.75" x14ac:dyDescent="0.25">
      <c r="A49" s="52" t="s">
        <v>504</v>
      </c>
      <c r="B49" s="41">
        <v>5</v>
      </c>
      <c r="C49" s="53">
        <v>610</v>
      </c>
      <c r="D49" s="91"/>
      <c r="F49" s="86" t="s">
        <v>112</v>
      </c>
      <c r="G49" s="41"/>
      <c r="H49" s="93">
        <f>RH!O20</f>
        <v>613</v>
      </c>
      <c r="K49" s="97"/>
      <c r="L49" s="97"/>
    </row>
    <row r="50" spans="1:13" ht="15.75" x14ac:dyDescent="0.25">
      <c r="A50" s="52" t="s">
        <v>505</v>
      </c>
      <c r="B50" s="41">
        <v>4</v>
      </c>
      <c r="C50" s="53">
        <v>50</v>
      </c>
      <c r="D50" s="91"/>
      <c r="F50" s="95" t="s">
        <v>113</v>
      </c>
      <c r="H50" s="907">
        <f>RH!S18</f>
        <v>187</v>
      </c>
      <c r="K50" s="97"/>
      <c r="L50" s="97"/>
    </row>
    <row r="51" spans="1:13" ht="15.75" x14ac:dyDescent="0.25">
      <c r="A51" s="52" t="s">
        <v>506</v>
      </c>
      <c r="B51" s="41">
        <v>2</v>
      </c>
      <c r="C51" s="53">
        <v>150</v>
      </c>
      <c r="D51" s="91"/>
      <c r="F51" s="86"/>
      <c r="G51" s="41"/>
      <c r="H51" s="93"/>
      <c r="K51" s="97"/>
      <c r="L51" s="97"/>
    </row>
    <row r="52" spans="1:13" ht="15.75" x14ac:dyDescent="0.25">
      <c r="A52" s="52" t="s">
        <v>140</v>
      </c>
      <c r="B52" s="41">
        <v>2</v>
      </c>
      <c r="C52" s="53">
        <v>61</v>
      </c>
      <c r="D52" s="91"/>
      <c r="G52" s="41"/>
      <c r="H52" s="93"/>
      <c r="K52" s="97"/>
      <c r="L52" s="97"/>
    </row>
    <row r="53" spans="1:13" x14ac:dyDescent="0.25">
      <c r="A53" s="52" t="s">
        <v>507</v>
      </c>
      <c r="B53" s="41">
        <v>4</v>
      </c>
      <c r="C53" s="53">
        <v>154</v>
      </c>
      <c r="D53" s="91"/>
      <c r="F53" s="98"/>
      <c r="G53" s="99"/>
      <c r="H53" s="461">
        <f>SUM(H46:H51)</f>
        <v>2166</v>
      </c>
    </row>
    <row r="54" spans="1:13" x14ac:dyDescent="0.25">
      <c r="A54" s="52" t="s">
        <v>452</v>
      </c>
      <c r="B54" s="41">
        <v>1</v>
      </c>
      <c r="C54" s="53">
        <f>Angelo!D78</f>
        <v>1200</v>
      </c>
      <c r="D54" s="91"/>
      <c r="F54" s="401" t="s">
        <v>1011</v>
      </c>
      <c r="G54" s="402"/>
      <c r="H54" s="85"/>
    </row>
    <row r="55" spans="1:13" ht="18.75" x14ac:dyDescent="0.3">
      <c r="A55" s="52" t="s">
        <v>70</v>
      </c>
      <c r="B55" s="41">
        <v>2</v>
      </c>
      <c r="C55" s="53">
        <v>123</v>
      </c>
      <c r="D55" s="91"/>
      <c r="F55" s="95" t="s">
        <v>438</v>
      </c>
      <c r="H55" s="85">
        <v>0</v>
      </c>
      <c r="M55" s="94"/>
    </row>
    <row r="56" spans="1:13" ht="15.75" x14ac:dyDescent="0.25">
      <c r="A56" s="52" t="s">
        <v>71</v>
      </c>
      <c r="B56" s="41">
        <v>2</v>
      </c>
      <c r="C56" s="53">
        <v>197</v>
      </c>
      <c r="D56" s="91"/>
      <c r="F56" s="95" t="s">
        <v>439</v>
      </c>
      <c r="H56" s="85">
        <v>0</v>
      </c>
      <c r="M56" s="96"/>
    </row>
    <row r="57" spans="1:13" ht="15.75" x14ac:dyDescent="0.25">
      <c r="A57" s="52"/>
      <c r="B57" s="41"/>
      <c r="C57" s="53"/>
      <c r="D57" s="91"/>
      <c r="F57" s="95" t="s">
        <v>440</v>
      </c>
      <c r="G57" s="1">
        <v>1</v>
      </c>
      <c r="H57" s="85">
        <f>Angelo!D37</f>
        <v>24000</v>
      </c>
      <c r="I57" t="str">
        <f>Angelo!E35</f>
        <v>Com alteração da NR31 passou ser bianual renovação</v>
      </c>
      <c r="M57" s="100"/>
    </row>
    <row r="58" spans="1:13" ht="16.5" thickBot="1" x14ac:dyDescent="0.3">
      <c r="A58" s="70"/>
      <c r="B58" s="71"/>
      <c r="C58" s="117">
        <f>SUM(C11:C56)</f>
        <v>11527.75</v>
      </c>
      <c r="D58" s="91"/>
      <c r="F58" s="95"/>
      <c r="G58" s="1" t="s">
        <v>114</v>
      </c>
      <c r="H58" s="85"/>
      <c r="M58" s="100"/>
    </row>
    <row r="59" spans="1:13" ht="16.5" thickBot="1" x14ac:dyDescent="0.3">
      <c r="A59" s="50" t="s">
        <v>154</v>
      </c>
      <c r="B59" s="41"/>
      <c r="C59" s="470">
        <v>5000</v>
      </c>
      <c r="D59" s="91"/>
      <c r="F59" s="95"/>
      <c r="H59" s="85"/>
      <c r="M59" s="100"/>
    </row>
    <row r="60" spans="1:13" ht="15.75" x14ac:dyDescent="0.25">
      <c r="A60" s="47" t="s">
        <v>155</v>
      </c>
      <c r="B60" s="48"/>
      <c r="C60" s="49"/>
      <c r="D60" s="91"/>
      <c r="F60" s="95"/>
      <c r="H60" s="51">
        <f>SUM(H55:H59)</f>
        <v>24000</v>
      </c>
      <c r="M60" s="100"/>
    </row>
    <row r="61" spans="1:13" x14ac:dyDescent="0.25">
      <c r="A61" s="640" t="s">
        <v>156</v>
      </c>
      <c r="B61" s="41">
        <v>6</v>
      </c>
      <c r="C61" s="53">
        <f>Angelo!D42</f>
        <v>240</v>
      </c>
      <c r="D61" s="91"/>
      <c r="F61" s="24" t="s">
        <v>115</v>
      </c>
      <c r="G61" s="25"/>
      <c r="H61" s="87"/>
    </row>
    <row r="62" spans="1:13" x14ac:dyDescent="0.25">
      <c r="A62" s="640" t="s">
        <v>445</v>
      </c>
      <c r="B62" s="41">
        <v>1</v>
      </c>
      <c r="C62" s="53">
        <f>Angelo!D43</f>
        <v>140</v>
      </c>
      <c r="D62" s="91"/>
      <c r="F62" s="86" t="s">
        <v>116</v>
      </c>
      <c r="G62" s="41" t="s">
        <v>117</v>
      </c>
      <c r="H62" s="85">
        <v>0</v>
      </c>
      <c r="I62" s="69"/>
      <c r="M62" s="65"/>
    </row>
    <row r="63" spans="1:13" x14ac:dyDescent="0.25">
      <c r="A63" s="640" t="s">
        <v>157</v>
      </c>
      <c r="B63" s="41">
        <v>2</v>
      </c>
      <c r="C63" s="53">
        <f>Angelo!D44</f>
        <v>120</v>
      </c>
      <c r="D63" s="91"/>
      <c r="F63" s="86" t="s">
        <v>118</v>
      </c>
      <c r="G63" s="41" t="s">
        <v>117</v>
      </c>
      <c r="H63" s="85">
        <v>0</v>
      </c>
    </row>
    <row r="64" spans="1:13" x14ac:dyDescent="0.25">
      <c r="A64" s="640" t="s">
        <v>158</v>
      </c>
      <c r="B64" s="41">
        <v>7</v>
      </c>
      <c r="C64" s="53">
        <f>Angelo!D45</f>
        <v>560</v>
      </c>
      <c r="D64" s="91"/>
      <c r="F64" s="86"/>
      <c r="G64" s="41"/>
      <c r="H64" s="51">
        <f>SUM(H62:H63)</f>
        <v>0</v>
      </c>
      <c r="I64" s="65"/>
    </row>
    <row r="65" spans="1:24" x14ac:dyDescent="0.25">
      <c r="A65" s="640" t="s">
        <v>446</v>
      </c>
      <c r="B65" s="41">
        <v>1</v>
      </c>
      <c r="C65" s="53">
        <f>Angelo!D46</f>
        <v>85</v>
      </c>
      <c r="D65" s="91"/>
      <c r="F65" s="22" t="s">
        <v>119</v>
      </c>
      <c r="G65" s="101"/>
      <c r="H65" s="426">
        <v>841.33</v>
      </c>
    </row>
    <row r="66" spans="1:24" x14ac:dyDescent="0.25">
      <c r="A66" s="640" t="s">
        <v>159</v>
      </c>
      <c r="B66" s="57">
        <v>6</v>
      </c>
      <c r="C66" s="53">
        <f>Angelo!D47</f>
        <v>600</v>
      </c>
      <c r="D66" s="91"/>
      <c r="F66" s="50" t="s">
        <v>120</v>
      </c>
      <c r="G66" s="27"/>
    </row>
    <row r="67" spans="1:24" x14ac:dyDescent="0.25">
      <c r="A67" s="640" t="s">
        <v>160</v>
      </c>
      <c r="B67" s="57">
        <v>1</v>
      </c>
      <c r="C67" s="53">
        <f>Angelo!D48</f>
        <v>145</v>
      </c>
      <c r="D67" s="91"/>
      <c r="F67" s="95" t="s">
        <v>121</v>
      </c>
      <c r="G67" s="41">
        <v>0</v>
      </c>
      <c r="H67" s="51">
        <v>74937</v>
      </c>
      <c r="I67" s="69"/>
    </row>
    <row r="68" spans="1:24" x14ac:dyDescent="0.25">
      <c r="A68" s="640" t="s">
        <v>447</v>
      </c>
      <c r="B68" s="57">
        <v>1</v>
      </c>
      <c r="C68" s="53">
        <f>Angelo!D49</f>
        <v>95</v>
      </c>
      <c r="D68" s="91"/>
      <c r="F68" s="81" t="s">
        <v>827</v>
      </c>
      <c r="G68" s="681">
        <v>2.5499999999999998</v>
      </c>
      <c r="H68" s="418">
        <f>G68*2300</f>
        <v>5865</v>
      </c>
    </row>
    <row r="69" spans="1:24" x14ac:dyDescent="0.25">
      <c r="A69" s="640" t="s">
        <v>448</v>
      </c>
      <c r="B69" s="57">
        <v>4</v>
      </c>
      <c r="C69" s="53">
        <f>Angelo!D50</f>
        <v>14</v>
      </c>
      <c r="D69" s="91"/>
      <c r="F69" s="24" t="s">
        <v>637</v>
      </c>
      <c r="G69" s="25"/>
      <c r="H69" s="464"/>
    </row>
    <row r="70" spans="1:24" x14ac:dyDescent="0.25">
      <c r="A70" s="640" t="s">
        <v>161</v>
      </c>
      <c r="B70" s="57">
        <v>5</v>
      </c>
      <c r="C70" s="53">
        <f>Angelo!D51</f>
        <v>100</v>
      </c>
      <c r="D70" s="91"/>
      <c r="F70" s="86" t="s">
        <v>454</v>
      </c>
      <c r="G70" s="41">
        <v>1</v>
      </c>
      <c r="H70" s="462">
        <f>Angelo!D85</f>
        <v>7875</v>
      </c>
    </row>
    <row r="71" spans="1:24" x14ac:dyDescent="0.25">
      <c r="A71" s="640" t="s">
        <v>162</v>
      </c>
      <c r="B71" s="57">
        <v>1</v>
      </c>
      <c r="C71" s="53">
        <f>Angelo!D52</f>
        <v>17</v>
      </c>
      <c r="D71" s="91"/>
      <c r="F71" s="86" t="s">
        <v>455</v>
      </c>
      <c r="G71" s="41">
        <v>1</v>
      </c>
      <c r="H71" s="462">
        <f>Angelo!D86</f>
        <v>7000</v>
      </c>
    </row>
    <row r="72" spans="1:24" x14ac:dyDescent="0.25">
      <c r="A72" s="640" t="s">
        <v>163</v>
      </c>
      <c r="B72" s="57">
        <v>1</v>
      </c>
      <c r="C72" s="53">
        <f>Angelo!D53</f>
        <v>20</v>
      </c>
      <c r="D72" s="91"/>
      <c r="F72" s="86" t="s">
        <v>456</v>
      </c>
      <c r="G72" s="41">
        <v>2</v>
      </c>
      <c r="H72" s="462">
        <f>Angelo!D87</f>
        <v>1400</v>
      </c>
    </row>
    <row r="73" spans="1:24" x14ac:dyDescent="0.25">
      <c r="A73" s="640" t="s">
        <v>449</v>
      </c>
      <c r="B73" s="57">
        <v>1</v>
      </c>
      <c r="C73" s="53">
        <f>Angelo!D54</f>
        <v>28</v>
      </c>
      <c r="D73" s="91"/>
      <c r="F73" s="86" t="s">
        <v>457</v>
      </c>
      <c r="G73" s="41">
        <v>2</v>
      </c>
      <c r="H73" s="462">
        <f>Angelo!D88</f>
        <v>1900</v>
      </c>
    </row>
    <row r="74" spans="1:24" x14ac:dyDescent="0.25">
      <c r="A74" s="569"/>
      <c r="B74" s="57">
        <v>4</v>
      </c>
      <c r="C74" s="53">
        <f>Angelo!D55</f>
        <v>40</v>
      </c>
      <c r="D74" s="91"/>
      <c r="F74" s="86" t="s">
        <v>458</v>
      </c>
      <c r="G74" s="41">
        <v>2</v>
      </c>
      <c r="H74" s="462">
        <f>Angelo!D89</f>
        <v>2500</v>
      </c>
    </row>
    <row r="75" spans="1:24" x14ac:dyDescent="0.25">
      <c r="A75" s="56"/>
      <c r="B75" s="57"/>
      <c r="C75" s="58"/>
      <c r="D75" s="91"/>
      <c r="F75" s="86" t="s">
        <v>459</v>
      </c>
      <c r="G75" s="41">
        <v>2</v>
      </c>
      <c r="H75" s="462">
        <f>Angelo!D90</f>
        <v>3500</v>
      </c>
    </row>
    <row r="76" spans="1:24" ht="15.75" thickBot="1" x14ac:dyDescent="0.3">
      <c r="A76" s="77"/>
      <c r="B76" s="71"/>
      <c r="C76" s="117">
        <f>SUM(C61:C74)</f>
        <v>2204</v>
      </c>
      <c r="D76" s="91"/>
      <c r="F76" s="86" t="s">
        <v>460</v>
      </c>
      <c r="G76" s="41">
        <v>4</v>
      </c>
      <c r="H76" s="462">
        <f>Angelo!D91</f>
        <v>900</v>
      </c>
    </row>
    <row r="77" spans="1:24" ht="15.75" thickBot="1" x14ac:dyDescent="0.3">
      <c r="A77" s="47" t="s">
        <v>165</v>
      </c>
      <c r="B77" s="48"/>
      <c r="C77" s="469">
        <v>11013</v>
      </c>
      <c r="D77" s="91"/>
      <c r="F77" s="102"/>
      <c r="G77" s="103"/>
      <c r="H77" s="463">
        <f>SUM(H70:H76)</f>
        <v>25075</v>
      </c>
    </row>
    <row r="78" spans="1:24" x14ac:dyDescent="0.25">
      <c r="A78" s="1140" t="s">
        <v>166</v>
      </c>
      <c r="B78" s="1141"/>
      <c r="C78" s="1142"/>
      <c r="D78" s="91"/>
      <c r="F78" s="81" t="s">
        <v>122</v>
      </c>
      <c r="G78" s="104">
        <v>5</v>
      </c>
      <c r="H78" s="465"/>
      <c r="S78" s="106" t="s">
        <v>124</v>
      </c>
      <c r="T78" s="107" t="s">
        <v>125</v>
      </c>
      <c r="U78" s="107">
        <v>3</v>
      </c>
      <c r="V78" s="107"/>
      <c r="W78" s="107"/>
      <c r="X78" s="107"/>
    </row>
    <row r="79" spans="1:24" ht="15.75" thickBot="1" x14ac:dyDescent="0.3">
      <c r="A79" s="52" t="s">
        <v>167</v>
      </c>
      <c r="B79" s="41">
        <v>5</v>
      </c>
      <c r="C79" s="53">
        <f>Angelo!D61</f>
        <v>25</v>
      </c>
      <c r="D79" s="91"/>
      <c r="F79" s="43" t="s">
        <v>1012</v>
      </c>
      <c r="G79" s="44"/>
      <c r="H79" s="471">
        <v>3600</v>
      </c>
      <c r="S79" s="109" t="s">
        <v>126</v>
      </c>
      <c r="T79" s="3" t="s">
        <v>127</v>
      </c>
      <c r="U79" s="3">
        <v>3</v>
      </c>
      <c r="V79" s="3"/>
      <c r="W79" s="3"/>
      <c r="X79" s="3"/>
    </row>
    <row r="80" spans="1:24" x14ac:dyDescent="0.25">
      <c r="A80" s="56" t="s">
        <v>168</v>
      </c>
      <c r="B80" s="57">
        <v>15</v>
      </c>
      <c r="C80" s="53">
        <f>Angelo!D62</f>
        <v>65</v>
      </c>
      <c r="D80" s="91"/>
      <c r="F80" s="920" t="s">
        <v>638</v>
      </c>
      <c r="G80" s="921"/>
      <c r="H80" s="987"/>
      <c r="S80" s="106" t="s">
        <v>128</v>
      </c>
      <c r="T80" s="3" t="s">
        <v>129</v>
      </c>
      <c r="U80" s="3">
        <v>3</v>
      </c>
      <c r="V80" s="3"/>
      <c r="W80" s="3"/>
      <c r="X80" s="3"/>
    </row>
    <row r="81" spans="1:24" x14ac:dyDescent="0.25">
      <c r="A81" s="52" t="s">
        <v>169</v>
      </c>
      <c r="B81" s="41">
        <v>25</v>
      </c>
      <c r="C81" s="53">
        <f>Angelo!D63</f>
        <v>56.25</v>
      </c>
      <c r="D81" s="91"/>
      <c r="F81" s="765" t="s">
        <v>1111</v>
      </c>
      <c r="G81" s="122"/>
      <c r="H81" s="922">
        <f>'Orçam-Realiza'!D48*1.5%</f>
        <v>325620</v>
      </c>
      <c r="I81" s="491"/>
      <c r="S81" s="106" t="s">
        <v>130</v>
      </c>
      <c r="T81" s="3" t="s">
        <v>129</v>
      </c>
      <c r="U81" s="3">
        <v>8</v>
      </c>
      <c r="V81" s="3"/>
      <c r="W81" s="3"/>
      <c r="X81" s="3"/>
    </row>
    <row r="82" spans="1:24" x14ac:dyDescent="0.25">
      <c r="A82" s="52" t="s">
        <v>170</v>
      </c>
      <c r="B82" s="41">
        <v>7</v>
      </c>
      <c r="C82" s="53">
        <f>Angelo!D64</f>
        <v>27.3</v>
      </c>
      <c r="D82" s="91"/>
      <c r="F82" s="29"/>
      <c r="G82" s="193" t="s">
        <v>123</v>
      </c>
      <c r="H82" s="488">
        <f>SUM(H3,H4,H6,H7,H12:H14,H23,H24,H26,H30,H31,H32,H38,H39,H44,H53,H60,H64,H65,H67,H68,H77,H78,H79,H80:H81)</f>
        <v>754374.304</v>
      </c>
      <c r="S82" s="106" t="s">
        <v>131</v>
      </c>
      <c r="T82" s="3" t="s">
        <v>125</v>
      </c>
      <c r="U82" s="3">
        <v>8</v>
      </c>
      <c r="V82" s="3"/>
      <c r="W82" s="3"/>
      <c r="X82" s="3"/>
    </row>
    <row r="83" spans="1:24" x14ac:dyDescent="0.25">
      <c r="A83" s="52" t="s">
        <v>171</v>
      </c>
      <c r="B83" s="41">
        <v>7</v>
      </c>
      <c r="C83" s="53">
        <f>Angelo!D65</f>
        <v>56</v>
      </c>
      <c r="D83" s="91"/>
      <c r="F83" s="29"/>
      <c r="G83" s="193"/>
      <c r="H83" s="490"/>
      <c r="S83" s="106" t="s">
        <v>131</v>
      </c>
      <c r="T83" s="3" t="s">
        <v>127</v>
      </c>
      <c r="U83" s="3">
        <v>8</v>
      </c>
      <c r="V83" s="3"/>
      <c r="W83" s="3"/>
      <c r="X83" s="3"/>
    </row>
    <row r="84" spans="1:24" x14ac:dyDescent="0.25">
      <c r="A84" s="52" t="s">
        <v>172</v>
      </c>
      <c r="B84" s="41">
        <v>7</v>
      </c>
      <c r="C84" s="53">
        <f>Angelo!D66</f>
        <v>105</v>
      </c>
      <c r="F84" s="29"/>
      <c r="G84" s="29"/>
      <c r="H84" s="29"/>
      <c r="S84" s="106" t="s">
        <v>131</v>
      </c>
      <c r="T84" s="3" t="s">
        <v>132</v>
      </c>
      <c r="U84" s="3">
        <v>6</v>
      </c>
      <c r="V84" s="3"/>
      <c r="W84" s="3"/>
      <c r="X84" s="3"/>
    </row>
    <row r="85" spans="1:24" x14ac:dyDescent="0.25">
      <c r="A85" s="52" t="s">
        <v>173</v>
      </c>
      <c r="B85" s="41">
        <v>5</v>
      </c>
      <c r="C85" s="53">
        <f>Angelo!D67</f>
        <v>125</v>
      </c>
      <c r="D85" s="61"/>
      <c r="S85" s="106" t="s">
        <v>131</v>
      </c>
      <c r="T85" s="3" t="s">
        <v>129</v>
      </c>
      <c r="U85" s="3">
        <v>3</v>
      </c>
      <c r="V85" s="3"/>
      <c r="W85" s="3"/>
      <c r="X85" s="3"/>
    </row>
    <row r="86" spans="1:24" x14ac:dyDescent="0.25">
      <c r="A86" s="52" t="s">
        <v>174</v>
      </c>
      <c r="B86" s="41">
        <v>1</v>
      </c>
      <c r="C86" s="53">
        <f>Angelo!D68</f>
        <v>22</v>
      </c>
      <c r="G86" s="193"/>
      <c r="H86" s="4"/>
      <c r="S86" s="106" t="s">
        <v>133</v>
      </c>
      <c r="T86" s="3" t="s">
        <v>129</v>
      </c>
      <c r="U86" s="3">
        <v>3</v>
      </c>
      <c r="V86" s="3"/>
      <c r="W86" s="3"/>
      <c r="X86" s="3"/>
    </row>
    <row r="87" spans="1:24" x14ac:dyDescent="0.25">
      <c r="A87" s="52" t="s">
        <v>175</v>
      </c>
      <c r="B87" s="41">
        <v>7</v>
      </c>
      <c r="C87" s="53">
        <f>Angelo!D69</f>
        <v>96.88</v>
      </c>
      <c r="G87" s="193"/>
      <c r="H87" s="134"/>
      <c r="S87" s="106" t="s">
        <v>134</v>
      </c>
      <c r="T87" s="3" t="s">
        <v>129</v>
      </c>
      <c r="U87" s="3">
        <v>3</v>
      </c>
      <c r="V87" s="3"/>
      <c r="W87" s="3"/>
      <c r="X87" s="3"/>
    </row>
    <row r="88" spans="1:24" ht="14.45" customHeight="1" x14ac:dyDescent="0.25">
      <c r="A88" s="52" t="s">
        <v>176</v>
      </c>
      <c r="B88" s="41">
        <v>7</v>
      </c>
      <c r="C88" s="53">
        <f>Angelo!D70</f>
        <v>124.32000000000001</v>
      </c>
      <c r="G88"/>
      <c r="H88" s="519"/>
      <c r="S88" s="106"/>
      <c r="T88" s="3"/>
      <c r="U88" s="3"/>
      <c r="V88" s="3"/>
      <c r="W88" s="3"/>
      <c r="X88" s="3"/>
    </row>
    <row r="89" spans="1:24" x14ac:dyDescent="0.25">
      <c r="A89" s="52" t="s">
        <v>177</v>
      </c>
      <c r="B89" s="41">
        <v>8</v>
      </c>
      <c r="C89" s="53">
        <f>Angelo!D71</f>
        <v>20</v>
      </c>
      <c r="D89" s="32"/>
      <c r="G89" s="193"/>
      <c r="I89" s="978"/>
      <c r="S89" s="106" t="s">
        <v>135</v>
      </c>
      <c r="T89" s="3" t="s">
        <v>129</v>
      </c>
      <c r="U89" s="3">
        <v>3</v>
      </c>
      <c r="V89" s="3"/>
      <c r="W89" s="3"/>
      <c r="X89" s="3"/>
    </row>
    <row r="90" spans="1:24" x14ac:dyDescent="0.25">
      <c r="A90" s="52" t="s">
        <v>178</v>
      </c>
      <c r="B90" s="41">
        <v>4</v>
      </c>
      <c r="C90" s="53">
        <f>Angelo!D72</f>
        <v>28</v>
      </c>
      <c r="D90" s="105"/>
      <c r="G90"/>
      <c r="I90" s="61"/>
      <c r="J90" s="61"/>
      <c r="S90" s="106" t="s">
        <v>137</v>
      </c>
      <c r="T90" s="3" t="s">
        <v>129</v>
      </c>
      <c r="U90" s="3">
        <v>3</v>
      </c>
      <c r="V90" s="3"/>
      <c r="W90" s="3"/>
      <c r="X90" s="3"/>
    </row>
    <row r="91" spans="1:24" x14ac:dyDescent="0.25">
      <c r="A91" s="52" t="s">
        <v>179</v>
      </c>
      <c r="B91" s="41">
        <v>1</v>
      </c>
      <c r="C91" s="53">
        <f>Angelo!D73</f>
        <v>55</v>
      </c>
      <c r="G91"/>
      <c r="I91" s="61"/>
      <c r="S91" s="106" t="s">
        <v>138</v>
      </c>
      <c r="T91" s="3" t="s">
        <v>129</v>
      </c>
      <c r="U91" s="3">
        <v>3</v>
      </c>
      <c r="V91" s="3"/>
      <c r="W91" s="3"/>
      <c r="X91" s="3"/>
    </row>
    <row r="92" spans="1:24" ht="15.75" thickBot="1" x14ac:dyDescent="0.3">
      <c r="A92" s="13"/>
      <c r="B92" s="118"/>
      <c r="C92" s="645">
        <f>SUM(C79:C91)</f>
        <v>805.75000000000011</v>
      </c>
      <c r="G92"/>
      <c r="I92" s="61"/>
      <c r="J92" s="61"/>
      <c r="S92" s="106" t="s">
        <v>139</v>
      </c>
      <c r="T92" s="112"/>
      <c r="U92" s="113">
        <f>SUM(U78:U91)</f>
        <v>57</v>
      </c>
      <c r="V92" s="114">
        <v>64.5</v>
      </c>
      <c r="W92" s="114"/>
      <c r="X92" s="114">
        <f>(U92*V92)</f>
        <v>3676.5</v>
      </c>
    </row>
    <row r="93" spans="1:24" ht="15.75" thickBot="1" x14ac:dyDescent="0.3">
      <c r="A93" s="47" t="s">
        <v>807</v>
      </c>
      <c r="B93" s="48"/>
      <c r="C93" s="647"/>
      <c r="G93"/>
      <c r="S93" s="115" t="s">
        <v>35</v>
      </c>
    </row>
    <row r="94" spans="1:24" ht="15.75" thickBot="1" x14ac:dyDescent="0.3">
      <c r="A94" s="70" t="s">
        <v>1248</v>
      </c>
      <c r="B94" s="71"/>
      <c r="C94" s="692">
        <v>75000</v>
      </c>
      <c r="T94" s="116" t="s">
        <v>141</v>
      </c>
      <c r="U94" s="116" t="s">
        <v>73</v>
      </c>
      <c r="V94" s="116" t="s">
        <v>142</v>
      </c>
      <c r="W94" s="116" t="s">
        <v>143</v>
      </c>
      <c r="X94" s="116" t="s">
        <v>1</v>
      </c>
    </row>
    <row r="95" spans="1:24" ht="15.75" thickBot="1" x14ac:dyDescent="0.3">
      <c r="A95" s="472" t="s">
        <v>639</v>
      </c>
      <c r="B95" s="62"/>
      <c r="C95" s="468">
        <f>Pedro!E30</f>
        <v>3031.5</v>
      </c>
      <c r="D95" s="65"/>
      <c r="S95" s="116" t="s">
        <v>144</v>
      </c>
      <c r="T95" s="6" t="s">
        <v>145</v>
      </c>
      <c r="U95" s="6">
        <v>8</v>
      </c>
      <c r="V95" s="6" t="s">
        <v>127</v>
      </c>
      <c r="W95" s="6">
        <v>92</v>
      </c>
      <c r="X95" s="6">
        <f>(U95*W95)</f>
        <v>736</v>
      </c>
    </row>
    <row r="96" spans="1:24" x14ac:dyDescent="0.25">
      <c r="B96" s="80" t="s">
        <v>1</v>
      </c>
      <c r="C96" s="489">
        <f>SUM(C95,C94,C92,C77,C76,C59,C58,C9,C8,C3)</f>
        <v>127758.41</v>
      </c>
      <c r="S96" s="6" t="s">
        <v>146</v>
      </c>
      <c r="T96" s="6" t="s">
        <v>10</v>
      </c>
      <c r="U96" s="6">
        <v>6</v>
      </c>
      <c r="V96" s="6" t="s">
        <v>147</v>
      </c>
      <c r="W96" s="6">
        <v>92</v>
      </c>
      <c r="X96" s="6">
        <f>(U96*W96)</f>
        <v>552</v>
      </c>
    </row>
    <row r="97" spans="3:24" x14ac:dyDescent="0.25">
      <c r="C97" s="108"/>
      <c r="E97" s="110"/>
      <c r="S97" s="6" t="s">
        <v>148</v>
      </c>
      <c r="T97" s="6"/>
      <c r="U97" s="6"/>
      <c r="V97" s="6"/>
      <c r="W97" s="116" t="s">
        <v>1</v>
      </c>
      <c r="X97" s="116">
        <f>SUM(X95,X96)</f>
        <v>1288</v>
      </c>
    </row>
    <row r="98" spans="3:24" x14ac:dyDescent="0.25">
      <c r="C98" s="108"/>
      <c r="S98" s="6"/>
    </row>
    <row r="99" spans="3:24" x14ac:dyDescent="0.25">
      <c r="C99" s="108"/>
      <c r="E99" s="1"/>
      <c r="F99" s="11"/>
    </row>
    <row r="100" spans="3:24" x14ac:dyDescent="0.25">
      <c r="C100" s="108"/>
      <c r="G100" s="108"/>
    </row>
    <row r="101" spans="3:24" x14ac:dyDescent="0.25">
      <c r="C101" s="108"/>
      <c r="D101" s="69"/>
      <c r="G101" s="108"/>
    </row>
    <row r="102" spans="3:24" x14ac:dyDescent="0.25">
      <c r="C102" s="108"/>
      <c r="D102" s="69"/>
      <c r="G102" s="108"/>
    </row>
    <row r="103" spans="3:24" x14ac:dyDescent="0.25">
      <c r="C103" s="108"/>
      <c r="D103" s="69"/>
      <c r="G103" s="108"/>
    </row>
    <row r="104" spans="3:24" x14ac:dyDescent="0.25">
      <c r="C104" s="108"/>
      <c r="D104" s="69"/>
      <c r="E104" s="110"/>
      <c r="G104" s="108"/>
    </row>
    <row r="105" spans="3:24" x14ac:dyDescent="0.25">
      <c r="C105" s="108"/>
      <c r="D105" s="69"/>
      <c r="G105" s="108"/>
    </row>
    <row r="106" spans="3:24" x14ac:dyDescent="0.25">
      <c r="C106" s="108"/>
      <c r="D106" s="69"/>
      <c r="G106" s="108"/>
    </row>
    <row r="107" spans="3:24" x14ac:dyDescent="0.25">
      <c r="C107" s="108"/>
      <c r="D107" s="69"/>
      <c r="F107" s="111"/>
      <c r="G107" s="108"/>
    </row>
    <row r="108" spans="3:24" x14ac:dyDescent="0.25">
      <c r="C108" s="108"/>
      <c r="D108" s="69"/>
    </row>
    <row r="109" spans="3:24" x14ac:dyDescent="0.25">
      <c r="C109" s="108"/>
      <c r="D109" s="69"/>
      <c r="F109" s="1"/>
    </row>
    <row r="110" spans="3:24" x14ac:dyDescent="0.25">
      <c r="C110" s="108"/>
      <c r="D110" s="69"/>
      <c r="G110" s="108"/>
    </row>
    <row r="111" spans="3:24" x14ac:dyDescent="0.25">
      <c r="C111" s="108"/>
      <c r="G111" s="108"/>
    </row>
    <row r="112" spans="3:24" x14ac:dyDescent="0.25">
      <c r="C112" s="108"/>
      <c r="G112" s="108"/>
    </row>
    <row r="113" spans="1:7" x14ac:dyDescent="0.25">
      <c r="C113" s="108"/>
      <c r="F113" s="111"/>
      <c r="G113" s="108"/>
    </row>
    <row r="114" spans="1:7" x14ac:dyDescent="0.25">
      <c r="C114" s="108"/>
    </row>
    <row r="115" spans="1:7" x14ac:dyDescent="0.25">
      <c r="C115" s="69"/>
    </row>
    <row r="116" spans="1:7" x14ac:dyDescent="0.25">
      <c r="C116" s="69"/>
      <c r="D116" s="32"/>
    </row>
    <row r="117" spans="1:7" x14ac:dyDescent="0.25">
      <c r="A117" s="1132"/>
      <c r="B117" s="1132"/>
      <c r="C117" s="1132"/>
      <c r="D117" s="32"/>
    </row>
    <row r="118" spans="1:7" x14ac:dyDescent="0.25">
      <c r="C118" s="108"/>
    </row>
    <row r="119" spans="1:7" x14ac:dyDescent="0.25">
      <c r="C119" s="108"/>
    </row>
    <row r="120" spans="1:7" x14ac:dyDescent="0.25">
      <c r="C120" s="108"/>
    </row>
    <row r="121" spans="1:7" x14ac:dyDescent="0.25">
      <c r="C121" s="108"/>
      <c r="D121" s="32"/>
    </row>
    <row r="122" spans="1:7" x14ac:dyDescent="0.25">
      <c r="C122" s="108"/>
      <c r="D122" s="32"/>
    </row>
    <row r="123" spans="1:7" x14ac:dyDescent="0.25">
      <c r="C123" s="108"/>
      <c r="D123" s="32"/>
    </row>
    <row r="124" spans="1:7" x14ac:dyDescent="0.25">
      <c r="C124" s="108"/>
      <c r="D124" s="32"/>
    </row>
    <row r="125" spans="1:7" x14ac:dyDescent="0.25">
      <c r="C125" s="108"/>
      <c r="D125" s="32"/>
    </row>
    <row r="126" spans="1:7" x14ac:dyDescent="0.25">
      <c r="C126" s="108"/>
      <c r="D126" s="32"/>
    </row>
    <row r="127" spans="1:7" x14ac:dyDescent="0.25">
      <c r="A127" s="1132"/>
      <c r="B127" s="1132"/>
      <c r="C127" s="1132"/>
    </row>
    <row r="128" spans="1:7" x14ac:dyDescent="0.25">
      <c r="C128" s="108"/>
    </row>
    <row r="129" spans="3:7" x14ac:dyDescent="0.25">
      <c r="C129" s="108"/>
    </row>
    <row r="130" spans="3:7" x14ac:dyDescent="0.25">
      <c r="C130" s="108"/>
    </row>
    <row r="131" spans="3:7" x14ac:dyDescent="0.25">
      <c r="C131" s="108"/>
    </row>
    <row r="132" spans="3:7" x14ac:dyDescent="0.25">
      <c r="C132" s="108"/>
    </row>
    <row r="133" spans="3:7" x14ac:dyDescent="0.25">
      <c r="C133" s="108"/>
    </row>
    <row r="134" spans="3:7" x14ac:dyDescent="0.25">
      <c r="C134" s="108"/>
    </row>
    <row r="135" spans="3:7" x14ac:dyDescent="0.25">
      <c r="G135" s="16"/>
    </row>
    <row r="136" spans="3:7" x14ac:dyDescent="0.25">
      <c r="G136" s="61"/>
    </row>
    <row r="137" spans="3:7" x14ac:dyDescent="0.25">
      <c r="G137" s="61"/>
    </row>
    <row r="138" spans="3:7" x14ac:dyDescent="0.25">
      <c r="G138" s="61"/>
    </row>
    <row r="142" spans="3:7" x14ac:dyDescent="0.25">
      <c r="D142" s="105"/>
    </row>
    <row r="153" spans="4:4" x14ac:dyDescent="0.25">
      <c r="D153" s="105"/>
    </row>
    <row r="170" spans="4:4" x14ac:dyDescent="0.25">
      <c r="D170" s="105"/>
    </row>
    <row r="178" spans="4:4" x14ac:dyDescent="0.25">
      <c r="D178" s="105"/>
    </row>
    <row r="179" spans="4:4" x14ac:dyDescent="0.25">
      <c r="D179" s="105"/>
    </row>
  </sheetData>
  <mergeCells count="8">
    <mergeCell ref="A127:C127"/>
    <mergeCell ref="A1:C1"/>
    <mergeCell ref="F1:I1"/>
    <mergeCell ref="A4:C4"/>
    <mergeCell ref="J5:M5"/>
    <mergeCell ref="K15:M15"/>
    <mergeCell ref="A78:C78"/>
    <mergeCell ref="A117:C117"/>
  </mergeCells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03D7-5DDE-4D80-B10F-57442A561A11}">
  <sheetPr>
    <tabColor rgb="FFFFFF00"/>
  </sheetPr>
  <dimension ref="A1:AE96"/>
  <sheetViews>
    <sheetView topLeftCell="B5" zoomScale="80" zoomScaleNormal="80" workbookViewId="0">
      <selection activeCell="J15" sqref="J15"/>
    </sheetView>
  </sheetViews>
  <sheetFormatPr defaultRowHeight="15" x14ac:dyDescent="0.25"/>
  <cols>
    <col min="1" max="1" width="42.7109375" customWidth="1"/>
    <col min="2" max="2" width="18.7109375" bestFit="1" customWidth="1"/>
    <col min="3" max="3" width="18.7109375" customWidth="1"/>
    <col min="4" max="4" width="13.28515625" bestFit="1" customWidth="1"/>
    <col min="5" max="5" width="12.42578125" customWidth="1"/>
    <col min="6" max="7" width="13" bestFit="1" customWidth="1"/>
    <col min="8" max="8" width="12.28515625" bestFit="1" customWidth="1"/>
    <col min="9" max="10" width="13" bestFit="1" customWidth="1"/>
    <col min="11" max="11" width="12.7109375" customWidth="1"/>
    <col min="12" max="12" width="14.28515625" bestFit="1" customWidth="1"/>
    <col min="13" max="13" width="14.5703125" customWidth="1"/>
    <col min="14" max="14" width="16.7109375" bestFit="1" customWidth="1"/>
    <col min="15" max="15" width="6.7109375" customWidth="1"/>
    <col min="16" max="16" width="6.140625" customWidth="1"/>
    <col min="19" max="19" width="15.5703125" bestFit="1" customWidth="1"/>
    <col min="29" max="29" width="13.7109375" bestFit="1" customWidth="1"/>
    <col min="30" max="30" width="13.28515625" bestFit="1" customWidth="1"/>
    <col min="31" max="31" width="13.7109375" bestFit="1" customWidth="1"/>
  </cols>
  <sheetData>
    <row r="1" spans="1:31" x14ac:dyDescent="0.25">
      <c r="A1" s="429"/>
      <c r="B1" s="429" t="s">
        <v>183</v>
      </c>
      <c r="C1" s="429" t="s">
        <v>976</v>
      </c>
      <c r="D1" s="430" t="s">
        <v>184</v>
      </c>
      <c r="E1" s="430" t="s">
        <v>185</v>
      </c>
      <c r="F1" s="429" t="s">
        <v>186</v>
      </c>
      <c r="G1" s="429" t="s">
        <v>187</v>
      </c>
      <c r="H1" s="431" t="s">
        <v>188</v>
      </c>
      <c r="I1" s="432" t="s">
        <v>190</v>
      </c>
      <c r="J1" s="431" t="s">
        <v>189</v>
      </c>
      <c r="K1" s="429" t="s">
        <v>191</v>
      </c>
      <c r="L1" s="429" t="s">
        <v>192</v>
      </c>
      <c r="M1" s="429" t="s">
        <v>193</v>
      </c>
      <c r="N1" s="433" t="s">
        <v>977</v>
      </c>
      <c r="T1" t="s">
        <v>52</v>
      </c>
      <c r="U1" t="s">
        <v>689</v>
      </c>
      <c r="V1" t="s">
        <v>53</v>
      </c>
      <c r="W1" t="s">
        <v>54</v>
      </c>
      <c r="X1" t="s">
        <v>690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</row>
    <row r="2" spans="1:31" x14ac:dyDescent="0.25">
      <c r="A2" s="429" t="s">
        <v>628</v>
      </c>
      <c r="B2" s="429"/>
      <c r="C2" s="429"/>
      <c r="D2" s="430"/>
      <c r="E2" s="430"/>
      <c r="F2" s="429"/>
      <c r="G2" s="429"/>
      <c r="H2" s="431"/>
      <c r="I2" s="432"/>
      <c r="J2" s="429"/>
      <c r="K2" s="429"/>
      <c r="L2" s="431"/>
      <c r="M2" s="429"/>
      <c r="N2" s="433"/>
      <c r="S2" s="620" t="s">
        <v>691</v>
      </c>
      <c r="T2" s="808"/>
      <c r="U2" s="808"/>
      <c r="V2" s="808"/>
      <c r="W2" s="808"/>
      <c r="X2" s="808"/>
      <c r="Y2" s="808"/>
      <c r="Z2" s="808"/>
      <c r="AA2" s="808"/>
      <c r="AB2" s="179" t="s">
        <v>982</v>
      </c>
      <c r="AC2" s="808"/>
      <c r="AD2" s="808"/>
      <c r="AE2" s="808"/>
    </row>
    <row r="3" spans="1:31" x14ac:dyDescent="0.25">
      <c r="A3" s="620" t="s">
        <v>691</v>
      </c>
      <c r="B3" s="621">
        <v>15000</v>
      </c>
      <c r="C3" s="621">
        <f>B3*10%</f>
        <v>1500</v>
      </c>
      <c r="D3" s="621">
        <v>293</v>
      </c>
      <c r="E3" s="621">
        <v>0</v>
      </c>
      <c r="F3" s="622"/>
      <c r="G3" s="622"/>
      <c r="H3" s="621"/>
      <c r="I3" s="622">
        <f>(B3+C3+D3)*33%/12</f>
        <v>461.80750000000006</v>
      </c>
      <c r="J3" s="622">
        <f>SUM(A3:G3)/12</f>
        <v>1399.4166666666667</v>
      </c>
      <c r="K3" s="622">
        <f t="shared" ref="K3:K12" si="0">SUM(B3:J3)*2.7%</f>
        <v>503.66405250000008</v>
      </c>
      <c r="L3" s="621">
        <f>SUM(B3:J3)*8%</f>
        <v>1492.3379333333335</v>
      </c>
      <c r="M3" s="623">
        <f>SUM(B3:L3)</f>
        <v>20650.226152499999</v>
      </c>
      <c r="N3" s="624">
        <f>M3*12</f>
        <v>247802.71382999999</v>
      </c>
      <c r="S3" s="620" t="s">
        <v>692</v>
      </c>
      <c r="T3" s="808"/>
      <c r="U3" s="808"/>
      <c r="V3" s="808"/>
      <c r="W3" s="808"/>
      <c r="X3" s="808"/>
      <c r="Y3" s="808"/>
      <c r="Z3" s="808"/>
      <c r="AA3" s="808"/>
      <c r="AB3" s="179" t="s">
        <v>983</v>
      </c>
      <c r="AC3" s="808"/>
      <c r="AD3" s="808"/>
      <c r="AE3" s="808"/>
    </row>
    <row r="4" spans="1:31" x14ac:dyDescent="0.25">
      <c r="A4" s="620" t="s">
        <v>692</v>
      </c>
      <c r="B4" s="621">
        <v>3700</v>
      </c>
      <c r="C4" s="621"/>
      <c r="D4" s="621">
        <v>293</v>
      </c>
      <c r="E4" s="621">
        <v>0</v>
      </c>
      <c r="F4" s="622">
        <f>(B4+D4)/220*1.5*24</f>
        <v>653.4</v>
      </c>
      <c r="G4" s="622">
        <f>(B4+D4)/220*2*10</f>
        <v>363</v>
      </c>
      <c r="H4" s="621">
        <f t="shared" ref="H4:H12" si="1">(F4+G4)/26*4</f>
        <v>156.36923076923077</v>
      </c>
      <c r="I4" s="622">
        <f t="shared" ref="I4:I16" si="2">SUM(B4:H4)*33%/12</f>
        <v>142.05865384615385</v>
      </c>
      <c r="J4" s="622">
        <f t="shared" ref="J4:J16" si="3">SUM(A4:H4)*8%</f>
        <v>413.26153846153846</v>
      </c>
      <c r="K4" s="622">
        <f t="shared" si="0"/>
        <v>154.46941442307693</v>
      </c>
      <c r="L4" s="621">
        <f t="shared" ref="L4:L16" si="4">SUM(F4:K4)*8%</f>
        <v>150.60470699999999</v>
      </c>
      <c r="M4" s="623">
        <f>SUM(B4:L4)</f>
        <v>6026.1635445000002</v>
      </c>
      <c r="N4" s="624">
        <f>M4*12</f>
        <v>72313.962534000006</v>
      </c>
      <c r="S4" s="620" t="s">
        <v>972</v>
      </c>
      <c r="T4" s="808"/>
      <c r="U4" s="808"/>
      <c r="V4" s="808"/>
      <c r="W4" s="808"/>
      <c r="X4" s="808"/>
      <c r="Y4" s="808"/>
      <c r="Z4" s="808"/>
      <c r="AA4" s="808"/>
      <c r="AB4" s="808"/>
      <c r="AC4" s="179" t="s">
        <v>982</v>
      </c>
      <c r="AD4" s="808"/>
      <c r="AE4" s="808"/>
    </row>
    <row r="5" spans="1:31" x14ac:dyDescent="0.25">
      <c r="A5" s="620" t="s">
        <v>972</v>
      </c>
      <c r="B5" s="621">
        <v>2200</v>
      </c>
      <c r="C5" s="621"/>
      <c r="D5" s="621"/>
      <c r="E5" s="621">
        <f>B5*30%</f>
        <v>660</v>
      </c>
      <c r="F5" s="622">
        <f>(B5+E5)/220*1.5*20</f>
        <v>390</v>
      </c>
      <c r="G5" s="622">
        <f>(B5+E5)/220*2*10</f>
        <v>260</v>
      </c>
      <c r="H5" s="621">
        <f t="shared" si="1"/>
        <v>100</v>
      </c>
      <c r="I5" s="622">
        <f t="shared" si="2"/>
        <v>99.274999999999991</v>
      </c>
      <c r="J5" s="622">
        <f t="shared" si="3"/>
        <v>288.8</v>
      </c>
      <c r="K5" s="622">
        <f t="shared" si="0"/>
        <v>107.94802500000002</v>
      </c>
      <c r="L5" s="621">
        <f t="shared" si="4"/>
        <v>99.681842000000003</v>
      </c>
      <c r="M5" s="623">
        <f>SUM(B5:L5)</f>
        <v>4205.7048670000004</v>
      </c>
      <c r="N5" s="624">
        <f t="shared" ref="N5:N15" si="5">M5*12</f>
        <v>50468.458404000005</v>
      </c>
      <c r="S5" s="620" t="s">
        <v>715</v>
      </c>
      <c r="T5" s="808"/>
      <c r="U5" s="808"/>
      <c r="V5" s="808"/>
      <c r="W5" s="808"/>
      <c r="X5" s="808"/>
      <c r="Y5" s="808"/>
      <c r="Z5" s="808"/>
      <c r="AA5" s="808"/>
      <c r="AB5" s="808"/>
      <c r="AC5" s="808"/>
      <c r="AD5" s="179" t="s">
        <v>982</v>
      </c>
      <c r="AE5" s="808"/>
    </row>
    <row r="6" spans="1:31" x14ac:dyDescent="0.25">
      <c r="A6" s="620"/>
      <c r="B6" s="621"/>
      <c r="C6" s="621"/>
      <c r="D6" s="621"/>
      <c r="E6" s="621">
        <f>B6*30%</f>
        <v>0</v>
      </c>
      <c r="F6" s="622">
        <f>(B6+D6)/220*1.5*20</f>
        <v>0</v>
      </c>
      <c r="G6" s="622">
        <f>(B6+D6)/220*2*15</f>
        <v>0</v>
      </c>
      <c r="H6" s="621">
        <f>(F6+G6)/26*4</f>
        <v>0</v>
      </c>
      <c r="I6" s="622">
        <f>SUM(B6:H6)*33%/12</f>
        <v>0</v>
      </c>
      <c r="J6" s="622">
        <f>SUM(A6:H6)*8%</f>
        <v>0</v>
      </c>
      <c r="K6" s="622">
        <f t="shared" si="0"/>
        <v>0</v>
      </c>
      <c r="L6" s="621">
        <f>SUM(F6:K6)*8%</f>
        <v>0</v>
      </c>
      <c r="M6" s="623">
        <f>SUM(B6:L6)</f>
        <v>0</v>
      </c>
      <c r="N6" s="624">
        <f>M6*12</f>
        <v>0</v>
      </c>
      <c r="S6" s="620" t="s">
        <v>973</v>
      </c>
      <c r="T6" s="808"/>
      <c r="U6" s="808"/>
      <c r="V6" s="808"/>
      <c r="W6" s="808"/>
      <c r="X6" s="808"/>
      <c r="Y6" s="808"/>
      <c r="Z6" s="808"/>
      <c r="AA6" s="808"/>
      <c r="AB6" s="808"/>
      <c r="AC6" s="179" t="s">
        <v>644</v>
      </c>
      <c r="AD6" s="808"/>
      <c r="AE6" s="808"/>
    </row>
    <row r="7" spans="1:31" x14ac:dyDescent="0.25">
      <c r="A7" s="620" t="s">
        <v>715</v>
      </c>
      <c r="B7" s="621">
        <v>4000</v>
      </c>
      <c r="C7" s="621"/>
      <c r="D7" s="621">
        <v>293</v>
      </c>
      <c r="E7" s="621"/>
      <c r="F7" s="622">
        <f>(B7+D7)/220*1.5*20</f>
        <v>585.40909090909076</v>
      </c>
      <c r="G7" s="622">
        <f>(B7+D7)/220*2*10</f>
        <v>390.27272727272725</v>
      </c>
      <c r="H7" s="621">
        <f t="shared" si="1"/>
        <v>150.10489510489509</v>
      </c>
      <c r="I7" s="622">
        <f t="shared" si="2"/>
        <v>149.01663461538462</v>
      </c>
      <c r="J7" s="622">
        <f t="shared" si="3"/>
        <v>433.50293706293706</v>
      </c>
      <c r="K7" s="622">
        <f t="shared" si="0"/>
        <v>162.03526969405596</v>
      </c>
      <c r="L7" s="621">
        <f t="shared" si="4"/>
        <v>149.62732437272729</v>
      </c>
      <c r="M7" s="623">
        <f t="shared" ref="M7:M21" si="6">SUM(B7:L7)</f>
        <v>6312.9688790318187</v>
      </c>
      <c r="N7" s="624">
        <f t="shared" si="5"/>
        <v>75755.626548381828</v>
      </c>
      <c r="S7" s="620" t="s">
        <v>973</v>
      </c>
      <c r="T7" s="808"/>
      <c r="U7" s="808"/>
      <c r="V7" s="808"/>
      <c r="W7" s="808"/>
      <c r="X7" s="808"/>
      <c r="Y7" s="808"/>
      <c r="Z7" s="808"/>
      <c r="AA7" s="808"/>
      <c r="AB7" s="808"/>
      <c r="AC7" s="179" t="s">
        <v>644</v>
      </c>
      <c r="AD7" s="808"/>
      <c r="AE7" s="808"/>
    </row>
    <row r="8" spans="1:31" x14ac:dyDescent="0.25">
      <c r="A8" s="620" t="s">
        <v>973</v>
      </c>
      <c r="B8" s="621">
        <v>6500</v>
      </c>
      <c r="C8" s="621"/>
      <c r="D8" s="621">
        <v>293</v>
      </c>
      <c r="E8" s="621">
        <v>0</v>
      </c>
      <c r="F8" s="622"/>
      <c r="G8" s="622"/>
      <c r="H8" s="621"/>
      <c r="I8" s="622">
        <f>(B8+C8+D8)*33%/12</f>
        <v>186.8075</v>
      </c>
      <c r="J8" s="622">
        <f>SUM(A8:G8)/12</f>
        <v>566.08333333333337</v>
      </c>
      <c r="K8" s="622">
        <f t="shared" si="0"/>
        <v>203.73905250000001</v>
      </c>
      <c r="L8" s="621">
        <f>SUM(B8:J8)*8%</f>
        <v>603.67126666666661</v>
      </c>
      <c r="M8" s="623">
        <f t="shared" si="6"/>
        <v>8353.3011525000002</v>
      </c>
      <c r="N8" s="624">
        <f t="shared" si="5"/>
        <v>100239.61383</v>
      </c>
      <c r="S8" s="620" t="s">
        <v>714</v>
      </c>
      <c r="T8" s="808"/>
      <c r="U8" s="808"/>
      <c r="V8" s="808"/>
      <c r="W8" s="808"/>
      <c r="X8" s="808"/>
      <c r="Y8" s="808"/>
      <c r="Z8" s="808"/>
      <c r="AA8" s="808"/>
      <c r="AB8" s="179" t="s">
        <v>644</v>
      </c>
      <c r="AC8" s="808"/>
      <c r="AD8" s="808"/>
      <c r="AE8" s="808"/>
    </row>
    <row r="9" spans="1:31" x14ac:dyDescent="0.25">
      <c r="A9" s="620" t="s">
        <v>714</v>
      </c>
      <c r="B9" s="621">
        <v>3700</v>
      </c>
      <c r="C9" s="621"/>
      <c r="D9" s="621">
        <v>293</v>
      </c>
      <c r="E9" s="621">
        <v>0</v>
      </c>
      <c r="F9" s="622">
        <f>(B9+D9)/220*1.5*20</f>
        <v>544.5</v>
      </c>
      <c r="G9" s="622">
        <f>(B9+D9)/220*2*10</f>
        <v>363</v>
      </c>
      <c r="H9" s="621">
        <f t="shared" si="1"/>
        <v>139.61538461538461</v>
      </c>
      <c r="I9" s="622">
        <f t="shared" si="2"/>
        <v>138.60317307692307</v>
      </c>
      <c r="J9" s="622">
        <f t="shared" si="3"/>
        <v>403.20923076923077</v>
      </c>
      <c r="K9" s="622">
        <f t="shared" si="0"/>
        <v>150.71205028846157</v>
      </c>
      <c r="L9" s="621">
        <f t="shared" si="4"/>
        <v>139.1711871</v>
      </c>
      <c r="M9" s="623">
        <f t="shared" si="6"/>
        <v>5871.8110258500001</v>
      </c>
      <c r="N9" s="624">
        <f t="shared" si="5"/>
        <v>70461.732310199994</v>
      </c>
      <c r="S9" s="620" t="s">
        <v>975</v>
      </c>
      <c r="T9" s="808"/>
      <c r="U9" s="808"/>
      <c r="V9" s="808"/>
      <c r="W9" s="808"/>
      <c r="X9" s="808"/>
      <c r="Y9" s="808"/>
      <c r="Z9" s="808"/>
      <c r="AA9" s="808"/>
      <c r="AB9" s="179" t="s">
        <v>644</v>
      </c>
      <c r="AC9" s="808"/>
      <c r="AD9" s="808"/>
      <c r="AE9" s="808"/>
    </row>
    <row r="10" spans="1:31" x14ac:dyDescent="0.25">
      <c r="A10" s="620" t="s">
        <v>614</v>
      </c>
      <c r="B10" s="621">
        <v>3100</v>
      </c>
      <c r="C10" s="621"/>
      <c r="D10" s="621">
        <v>293</v>
      </c>
      <c r="E10" s="621">
        <v>0</v>
      </c>
      <c r="F10" s="622">
        <f>(B10+D10)/220*1.5*20</f>
        <v>462.68181818181813</v>
      </c>
      <c r="G10" s="622">
        <f>(B10+D10)/220*2*15</f>
        <v>462.68181818181813</v>
      </c>
      <c r="H10" s="621">
        <f>(F10+G10)/26*4</f>
        <v>142.36363636363635</v>
      </c>
      <c r="I10" s="622">
        <f>SUM(B10:H10)*33%/12</f>
        <v>122.67</v>
      </c>
      <c r="J10" s="622">
        <f>SUM(A10:H10)*8%</f>
        <v>356.85818181818178</v>
      </c>
      <c r="K10" s="622">
        <f t="shared" si="0"/>
        <v>133.38689727272728</v>
      </c>
      <c r="L10" s="621">
        <f>SUM(F10:K10)*8%</f>
        <v>134.45138814545453</v>
      </c>
      <c r="M10" s="623">
        <f>SUM(B10:L10)</f>
        <v>5208.093739963635</v>
      </c>
      <c r="N10" s="624">
        <f>M10*6</f>
        <v>31248.56243978181</v>
      </c>
      <c r="S10" s="620"/>
      <c r="T10" s="808"/>
      <c r="U10" s="808"/>
      <c r="V10" s="808"/>
      <c r="W10" s="808"/>
      <c r="X10" s="808"/>
      <c r="Y10" s="808"/>
      <c r="Z10" s="808"/>
      <c r="AA10" s="808"/>
      <c r="AB10" s="179"/>
      <c r="AC10" s="808"/>
      <c r="AD10" s="808"/>
      <c r="AE10" s="808"/>
    </row>
    <row r="11" spans="1:31" x14ac:dyDescent="0.25">
      <c r="A11" s="620" t="s">
        <v>1156</v>
      </c>
      <c r="B11" s="621">
        <v>2200</v>
      </c>
      <c r="C11" s="621"/>
      <c r="D11" s="621"/>
      <c r="E11" s="621"/>
      <c r="F11" s="622">
        <f>(B11+D11)/220*1.5*5</f>
        <v>75</v>
      </c>
      <c r="G11" s="622">
        <f>(B11+D11)/220*2*10</f>
        <v>200</v>
      </c>
      <c r="H11" s="621">
        <f>(F11+G11)/26*4</f>
        <v>42.307692307692307</v>
      </c>
      <c r="I11" s="622">
        <f>SUM(B11:H11)*33%/12</f>
        <v>69.225961538461547</v>
      </c>
      <c r="J11" s="622">
        <f>SUM(A11:H11)*8%</f>
        <v>201.38461538461539</v>
      </c>
      <c r="K11" s="622">
        <f t="shared" si="0"/>
        <v>75.273793269230779</v>
      </c>
      <c r="L11" s="621">
        <f>SUM(F11:K11)*8%</f>
        <v>53.055365000000002</v>
      </c>
      <c r="M11" s="623">
        <f t="shared" si="6"/>
        <v>2916.2474275</v>
      </c>
      <c r="N11" s="624">
        <f t="shared" si="5"/>
        <v>34994.969129999998</v>
      </c>
      <c r="S11" s="620"/>
      <c r="T11" s="808"/>
      <c r="U11" s="808"/>
      <c r="V11" s="808"/>
      <c r="W11" s="808"/>
      <c r="X11" s="808"/>
      <c r="Y11" s="808"/>
      <c r="Z11" s="808"/>
      <c r="AA11" s="808"/>
      <c r="AB11" s="179"/>
      <c r="AC11" s="808"/>
      <c r="AD11" s="808"/>
      <c r="AE11" s="808"/>
    </row>
    <row r="12" spans="1:31" x14ac:dyDescent="0.25">
      <c r="A12" s="620" t="s">
        <v>975</v>
      </c>
      <c r="B12" s="621">
        <v>2500</v>
      </c>
      <c r="C12" s="621"/>
      <c r="D12" s="621"/>
      <c r="E12" s="621"/>
      <c r="F12" s="622">
        <f>(B12+D12)/220*1.5*10</f>
        <v>170.45454545454547</v>
      </c>
      <c r="G12" s="622">
        <f>(B12+D12)/220*2*7</f>
        <v>159.09090909090909</v>
      </c>
      <c r="H12" s="621">
        <f t="shared" si="1"/>
        <v>50.6993006993007</v>
      </c>
      <c r="I12" s="622">
        <f t="shared" si="2"/>
        <v>79.206730769230774</v>
      </c>
      <c r="J12" s="622">
        <f t="shared" si="3"/>
        <v>230.41958041958043</v>
      </c>
      <c r="K12" s="622">
        <f t="shared" si="0"/>
        <v>86.12651879370631</v>
      </c>
      <c r="L12" s="621">
        <f t="shared" si="4"/>
        <v>62.079806818181822</v>
      </c>
      <c r="M12" s="623">
        <f t="shared" si="6"/>
        <v>3338.0773920454549</v>
      </c>
      <c r="N12" s="624">
        <f t="shared" si="5"/>
        <v>40056.928704545455</v>
      </c>
      <c r="S12" s="620" t="s">
        <v>974</v>
      </c>
      <c r="T12" s="808"/>
      <c r="U12" s="808"/>
      <c r="V12" s="808"/>
      <c r="W12" s="808"/>
      <c r="X12" s="808"/>
      <c r="Y12" s="808"/>
      <c r="Z12" s="808"/>
      <c r="AA12" s="808"/>
      <c r="AB12" s="808"/>
      <c r="AC12" s="808"/>
      <c r="AD12" s="808"/>
      <c r="AE12" s="808"/>
    </row>
    <row r="13" spans="1:31" x14ac:dyDescent="0.25">
      <c r="A13" s="620"/>
      <c r="B13" s="621"/>
      <c r="C13" s="621"/>
      <c r="D13" s="621"/>
      <c r="E13" s="621"/>
      <c r="F13" s="622"/>
      <c r="G13" s="622"/>
      <c r="H13" s="621"/>
      <c r="I13" s="622"/>
      <c r="J13" s="622"/>
      <c r="K13" s="622"/>
      <c r="L13" s="621"/>
      <c r="M13" s="623"/>
      <c r="N13" s="624"/>
    </row>
    <row r="14" spans="1:31" x14ac:dyDescent="0.25">
      <c r="A14" s="620" t="s">
        <v>1008</v>
      </c>
      <c r="B14" s="621">
        <v>2300</v>
      </c>
      <c r="C14" s="621"/>
      <c r="D14" s="621">
        <v>293</v>
      </c>
      <c r="E14" s="621"/>
      <c r="F14" s="622">
        <f>(B14+E14)/220*1.5*20</f>
        <v>313.63636363636368</v>
      </c>
      <c r="G14" s="622">
        <f>(B14+E14)/220*2*10</f>
        <v>209.09090909090909</v>
      </c>
      <c r="H14" s="621">
        <f>(F14+G14)/26*4</f>
        <v>80.419580419580427</v>
      </c>
      <c r="I14" s="622">
        <f t="shared" si="2"/>
        <v>87.894038461538457</v>
      </c>
      <c r="J14" s="622">
        <f t="shared" si="3"/>
        <v>255.69174825174827</v>
      </c>
      <c r="K14" s="622">
        <f>SUM(B14:J14)*2.7%</f>
        <v>95.572781276223793</v>
      </c>
      <c r="L14" s="621">
        <f t="shared" si="4"/>
        <v>83.384433690909106</v>
      </c>
      <c r="M14" s="623">
        <f t="shared" si="6"/>
        <v>3718.6898548272729</v>
      </c>
      <c r="N14" s="624">
        <f t="shared" si="5"/>
        <v>44624.278257927275</v>
      </c>
    </row>
    <row r="15" spans="1:31" x14ac:dyDescent="0.25">
      <c r="A15" s="620" t="s">
        <v>1009</v>
      </c>
      <c r="B15" s="621">
        <v>3300</v>
      </c>
      <c r="C15" s="621"/>
      <c r="D15" s="621">
        <v>293</v>
      </c>
      <c r="E15" s="621">
        <v>0</v>
      </c>
      <c r="F15" s="622">
        <f>(B15+D15)/220*1.5*20</f>
        <v>489.9545454545455</v>
      </c>
      <c r="G15" s="622">
        <f>(B15+D15)/220*2*8</f>
        <v>261.30909090909091</v>
      </c>
      <c r="H15" s="621">
        <f>(F15+G15)/26*4</f>
        <v>115.57902097902098</v>
      </c>
      <c r="I15" s="622">
        <f>SUM(B15:H15)*33%/12</f>
        <v>122.6456730769231</v>
      </c>
      <c r="J15" s="622">
        <f>SUM(A15:H15)*8%</f>
        <v>356.78741258741263</v>
      </c>
      <c r="K15" s="622">
        <f>SUM(B15:J15)*2.7%</f>
        <v>133.36044506118884</v>
      </c>
      <c r="L15" s="621">
        <f>SUM(F15:K15)*8%</f>
        <v>118.37089504545455</v>
      </c>
      <c r="M15" s="623">
        <f>SUM(B15:L15)</f>
        <v>5191.0070831136372</v>
      </c>
      <c r="N15" s="624">
        <f t="shared" si="5"/>
        <v>62292.08499736365</v>
      </c>
    </row>
    <row r="16" spans="1:31" x14ac:dyDescent="0.25">
      <c r="A16" s="620" t="s">
        <v>1157</v>
      </c>
      <c r="B16" s="621">
        <v>3500</v>
      </c>
      <c r="C16" s="621"/>
      <c r="D16" s="621">
        <v>293</v>
      </c>
      <c r="E16" s="621">
        <v>0</v>
      </c>
      <c r="F16" s="622">
        <f>(B16+D16)/220*1.5*40</f>
        <v>1034.4545454545455</v>
      </c>
      <c r="G16" s="622">
        <f>(B16+D16)/220*2*15</f>
        <v>517.22727272727275</v>
      </c>
      <c r="H16" s="621">
        <f>(F16+G16)/26*4</f>
        <v>238.72027972027973</v>
      </c>
      <c r="I16" s="622">
        <f t="shared" si="2"/>
        <v>153.54355769230773</v>
      </c>
      <c r="J16" s="622">
        <f t="shared" si="3"/>
        <v>446.67216783216793</v>
      </c>
      <c r="K16" s="622">
        <f>SUM(B16:J16)*2.7%</f>
        <v>166.95768123251753</v>
      </c>
      <c r="L16" s="621">
        <f t="shared" si="4"/>
        <v>204.60604037272731</v>
      </c>
      <c r="M16" s="623">
        <f t="shared" si="6"/>
        <v>6555.181545031819</v>
      </c>
      <c r="N16" s="624">
        <f>M16*12</f>
        <v>78662.178540381836</v>
      </c>
    </row>
    <row r="17" spans="1:17" x14ac:dyDescent="0.25">
      <c r="A17" s="620" t="s">
        <v>1069</v>
      </c>
      <c r="B17" s="621">
        <v>4254.95</v>
      </c>
      <c r="C17" s="621"/>
      <c r="D17" s="621"/>
      <c r="E17" s="621"/>
      <c r="F17" s="622"/>
      <c r="G17" s="622"/>
      <c r="H17" s="621"/>
      <c r="I17" s="622"/>
      <c r="J17" s="621"/>
      <c r="K17" s="622"/>
      <c r="L17" s="621"/>
      <c r="M17" s="623"/>
      <c r="N17" s="624">
        <f>B17*12</f>
        <v>51059.399999999994</v>
      </c>
    </row>
    <row r="18" spans="1:17" x14ac:dyDescent="0.25">
      <c r="A18" s="620" t="s">
        <v>978</v>
      </c>
      <c r="B18" s="621">
        <f>6300*0.3</f>
        <v>1890</v>
      </c>
      <c r="C18" s="621"/>
      <c r="D18" s="621"/>
      <c r="E18" s="621">
        <v>0</v>
      </c>
      <c r="F18" s="622"/>
      <c r="G18" s="622"/>
      <c r="H18" s="621"/>
      <c r="I18" s="622">
        <f>(B18+C18+F17)*33%/12</f>
        <v>51.975000000000001</v>
      </c>
      <c r="J18" s="622">
        <f>SUM(A18:G18)/12</f>
        <v>157.5</v>
      </c>
      <c r="K18" s="622">
        <f>SUM(B18:J18)*2.7%</f>
        <v>56.685825000000001</v>
      </c>
      <c r="L18" s="621">
        <f>SUM(B18:J18)*8%</f>
        <v>167.958</v>
      </c>
      <c r="M18" s="623">
        <f>SUM(B18:L18)</f>
        <v>2324.118825</v>
      </c>
      <c r="N18" s="624">
        <f>M18*12</f>
        <v>27889.425900000002</v>
      </c>
    </row>
    <row r="19" spans="1:17" x14ac:dyDescent="0.25">
      <c r="A19" s="620" t="s">
        <v>979</v>
      </c>
      <c r="B19" s="621">
        <v>1321</v>
      </c>
      <c r="C19" s="621"/>
      <c r="D19" s="621"/>
      <c r="E19" s="621"/>
      <c r="F19" s="622"/>
      <c r="G19" s="622"/>
      <c r="H19" s="621"/>
      <c r="I19" s="622">
        <f>(B19+C19+G19)*33%/12</f>
        <v>36.327500000000001</v>
      </c>
      <c r="J19" s="622">
        <f>SUM(A19:G19)/12</f>
        <v>110.08333333333333</v>
      </c>
      <c r="K19" s="622">
        <f>SUM(B19:J19)*2.7%</f>
        <v>39.620092500000005</v>
      </c>
      <c r="L19" s="621">
        <f>SUM(B19:J19)*8%</f>
        <v>117.39286666666668</v>
      </c>
      <c r="M19" s="623">
        <f t="shared" si="6"/>
        <v>1624.4237925</v>
      </c>
      <c r="N19" s="624">
        <f>M19*12</f>
        <v>19493.085510000001</v>
      </c>
    </row>
    <row r="20" spans="1:17" x14ac:dyDescent="0.25">
      <c r="A20" s="620" t="s">
        <v>981</v>
      </c>
      <c r="B20" s="985">
        <v>2778.8040000000001</v>
      </c>
      <c r="C20" s="621"/>
      <c r="D20" s="621"/>
      <c r="E20" s="621">
        <v>0</v>
      </c>
      <c r="F20" s="622"/>
      <c r="G20" s="622"/>
      <c r="H20" s="621"/>
      <c r="I20" s="622"/>
      <c r="J20" s="622"/>
      <c r="K20" s="622"/>
      <c r="L20" s="621"/>
      <c r="M20" s="623">
        <f>SUM(B20:L20)</f>
        <v>2778.8040000000001</v>
      </c>
      <c r="N20" s="624">
        <f>M20*12</f>
        <v>33345.648000000001</v>
      </c>
    </row>
    <row r="21" spans="1:17" x14ac:dyDescent="0.25">
      <c r="A21" s="620" t="s">
        <v>980</v>
      </c>
      <c r="B21" s="621">
        <v>3000</v>
      </c>
      <c r="C21" s="621">
        <f>B21*5%</f>
        <v>150</v>
      </c>
      <c r="D21" s="621">
        <v>293</v>
      </c>
      <c r="E21" s="621">
        <v>0</v>
      </c>
      <c r="F21" s="622"/>
      <c r="G21" s="622"/>
      <c r="H21" s="621"/>
      <c r="I21" s="622">
        <f>(B21+C21+F18)*33%/12</f>
        <v>86.625</v>
      </c>
      <c r="J21" s="622">
        <f>SUM(A21:G21)/12</f>
        <v>286.91666666666669</v>
      </c>
      <c r="K21" s="622">
        <f>SUM(B21:J21)*2.7%</f>
        <v>103.04662500000001</v>
      </c>
      <c r="L21" s="621">
        <f>SUM(B21:J21)*8%</f>
        <v>305.32333333333332</v>
      </c>
      <c r="M21" s="623">
        <f t="shared" si="6"/>
        <v>4224.9116249999997</v>
      </c>
      <c r="N21" s="624">
        <f>M21*3.6</f>
        <v>15209.681849999999</v>
      </c>
    </row>
    <row r="22" spans="1:17" x14ac:dyDescent="0.25">
      <c r="A22" s="620" t="s">
        <v>1007</v>
      </c>
      <c r="B22" s="621">
        <v>1500</v>
      </c>
      <c r="C22" s="621"/>
      <c r="D22" s="621"/>
      <c r="E22" s="621"/>
      <c r="F22" s="622"/>
      <c r="G22" s="622"/>
      <c r="H22" s="621"/>
      <c r="I22" s="622"/>
      <c r="J22" s="622"/>
      <c r="K22" s="622"/>
      <c r="L22" s="621"/>
      <c r="M22" s="623">
        <f>SUM(B22:L22)*2</f>
        <v>3000</v>
      </c>
      <c r="N22" s="624">
        <f>M22*12</f>
        <v>36000</v>
      </c>
    </row>
    <row r="23" spans="1:17" x14ac:dyDescent="0.25">
      <c r="A23" s="620" t="s">
        <v>1070</v>
      </c>
      <c r="B23" s="621" t="str">
        <f>RH!F1</f>
        <v>Quantidade</v>
      </c>
      <c r="C23" s="621"/>
      <c r="D23" s="621"/>
      <c r="E23" s="621"/>
      <c r="F23" s="622"/>
      <c r="G23" s="622"/>
      <c r="H23" s="621"/>
      <c r="I23" s="622"/>
      <c r="J23" s="622"/>
      <c r="K23" s="622"/>
      <c r="L23" s="621"/>
      <c r="M23" s="623"/>
      <c r="N23" s="624">
        <f>RH!I4</f>
        <v>33000</v>
      </c>
    </row>
    <row r="24" spans="1:17" x14ac:dyDescent="0.25">
      <c r="A24" s="438" t="s">
        <v>1</v>
      </c>
      <c r="B24" s="439">
        <f>SUM(B3:B22)</f>
        <v>66744.754000000001</v>
      </c>
      <c r="C24" s="439"/>
      <c r="D24" s="439">
        <f t="shared" ref="D24:M24" si="7">SUM(D3:D22)</f>
        <v>2930</v>
      </c>
      <c r="E24" s="439">
        <f t="shared" si="7"/>
        <v>660</v>
      </c>
      <c r="F24" s="439">
        <f t="shared" si="7"/>
        <v>4719.4909090909086</v>
      </c>
      <c r="G24" s="439">
        <f t="shared" si="7"/>
        <v>3185.6727272727276</v>
      </c>
      <c r="H24" s="439">
        <f t="shared" si="7"/>
        <v>1216.1790209790208</v>
      </c>
      <c r="I24" s="439">
        <f t="shared" si="7"/>
        <v>1987.6819230769231</v>
      </c>
      <c r="J24" s="439">
        <f t="shared" si="7"/>
        <v>5906.5874125874134</v>
      </c>
      <c r="K24" s="439">
        <f t="shared" si="7"/>
        <v>2172.5985238111889</v>
      </c>
      <c r="L24" s="439">
        <f t="shared" si="7"/>
        <v>3881.7163895454546</v>
      </c>
      <c r="M24" s="439">
        <f t="shared" si="7"/>
        <v>92299.730906363649</v>
      </c>
      <c r="N24" s="439">
        <f>SUM(N3:N23)</f>
        <v>1124918.3507865819</v>
      </c>
    </row>
    <row r="25" spans="1:17" x14ac:dyDescent="0.25">
      <c r="A25" s="437"/>
      <c r="B25" s="434"/>
      <c r="C25" s="434"/>
      <c r="D25" s="434"/>
      <c r="E25" s="434"/>
      <c r="F25" s="435"/>
      <c r="G25" s="435"/>
      <c r="H25" s="434"/>
      <c r="I25" s="435"/>
      <c r="J25" s="435"/>
      <c r="K25" s="435"/>
      <c r="L25" s="434"/>
      <c r="M25" s="436"/>
      <c r="N25" s="989">
        <f>N24-'Orçamento Resumo'!K8</f>
        <v>1004391.3846308766</v>
      </c>
      <c r="Q25" s="687"/>
    </row>
    <row r="26" spans="1:17" ht="15" customHeight="1" x14ac:dyDescent="0.25">
      <c r="N26" s="687"/>
      <c r="Q26" s="687"/>
    </row>
    <row r="27" spans="1:17" x14ac:dyDescent="0.25">
      <c r="N27" s="990">
        <f>N24/14</f>
        <v>80351.31077047014</v>
      </c>
      <c r="Q27" s="687"/>
    </row>
    <row r="28" spans="1:17" x14ac:dyDescent="0.25">
      <c r="L28" s="69"/>
      <c r="N28" s="990">
        <f>N27*2</f>
        <v>160702.62154094028</v>
      </c>
      <c r="Q28" s="687"/>
    </row>
    <row r="29" spans="1:17" x14ac:dyDescent="0.25">
      <c r="N29" s="990">
        <f>N28/4</f>
        <v>40175.65538523507</v>
      </c>
      <c r="Q29" s="687"/>
    </row>
    <row r="30" spans="1:17" x14ac:dyDescent="0.25">
      <c r="N30" s="990"/>
      <c r="Q30" s="687"/>
    </row>
    <row r="31" spans="1:17" x14ac:dyDescent="0.25">
      <c r="N31" s="990"/>
      <c r="Q31" s="687"/>
    </row>
    <row r="32" spans="1:17" x14ac:dyDescent="0.25">
      <c r="N32" s="990"/>
      <c r="Q32" s="687"/>
    </row>
    <row r="33" spans="14:14" x14ac:dyDescent="0.25">
      <c r="N33" s="990"/>
    </row>
    <row r="34" spans="14:14" x14ac:dyDescent="0.25">
      <c r="N34" s="990"/>
    </row>
    <row r="35" spans="14:14" x14ac:dyDescent="0.25">
      <c r="N35" s="990"/>
    </row>
    <row r="36" spans="14:14" x14ac:dyDescent="0.25">
      <c r="N36" s="990"/>
    </row>
    <row r="37" spans="14:14" x14ac:dyDescent="0.25">
      <c r="N37" s="990"/>
    </row>
    <row r="38" spans="14:14" x14ac:dyDescent="0.25">
      <c r="N38" s="990"/>
    </row>
    <row r="39" spans="14:14" x14ac:dyDescent="0.25">
      <c r="N39" s="990"/>
    </row>
    <row r="40" spans="14:14" x14ac:dyDescent="0.25">
      <c r="N40" s="69">
        <f>SUM(N27:N39)</f>
        <v>281229.58769664553</v>
      </c>
    </row>
    <row r="82" spans="15:17" x14ac:dyDescent="0.25">
      <c r="O82" s="1"/>
      <c r="P82" s="125"/>
      <c r="Q82" s="125"/>
    </row>
    <row r="83" spans="15:17" x14ac:dyDescent="0.25">
      <c r="O83" s="125"/>
      <c r="P83" s="125"/>
      <c r="Q83" s="126"/>
    </row>
    <row r="93" spans="15:17" ht="15" customHeight="1" x14ac:dyDescent="0.25"/>
    <row r="96" spans="15:17" ht="14.45" customHeight="1" x14ac:dyDescent="0.25"/>
  </sheetData>
  <pageMargins left="0.511811024" right="0.511811024" top="0.78740157499999996" bottom="0.78740157499999996" header="0.31496062000000002" footer="0.31496062000000002"/>
  <pageSetup paperSize="9" orientation="portrait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7A52-9630-490A-980C-E5DD63DACED1}">
  <sheetPr>
    <tabColor rgb="FFFFFF00"/>
  </sheetPr>
  <dimension ref="A1:Z49"/>
  <sheetViews>
    <sheetView topLeftCell="C7" workbookViewId="0">
      <selection activeCell="K17" sqref="K17"/>
    </sheetView>
  </sheetViews>
  <sheetFormatPr defaultRowHeight="15" x14ac:dyDescent="0.25"/>
  <cols>
    <col min="1" max="1" width="19.7109375" customWidth="1"/>
    <col min="2" max="2" width="10.42578125" bestFit="1" customWidth="1"/>
    <col min="3" max="3" width="17.5703125" customWidth="1"/>
    <col min="4" max="4" width="16" bestFit="1" customWidth="1"/>
    <col min="5" max="5" width="3.28515625" customWidth="1"/>
    <col min="6" max="6" width="17.85546875" bestFit="1" customWidth="1"/>
    <col min="7" max="7" width="18.28515625" bestFit="1" customWidth="1"/>
    <col min="8" max="8" width="15" customWidth="1"/>
    <col min="9" max="9" width="18" customWidth="1"/>
    <col min="10" max="10" width="16.5703125" bestFit="1" customWidth="1"/>
    <col min="11" max="11" width="10.5703125" bestFit="1" customWidth="1"/>
    <col min="12" max="12" width="18.28515625" bestFit="1" customWidth="1"/>
    <col min="13" max="13" width="15.28515625" customWidth="1"/>
    <col min="14" max="14" width="19.85546875" bestFit="1" customWidth="1"/>
    <col min="15" max="15" width="17" bestFit="1" customWidth="1"/>
    <col min="16" max="16" width="14.140625" bestFit="1" customWidth="1"/>
    <col min="17" max="17" width="15.42578125" bestFit="1" customWidth="1"/>
    <col min="18" max="18" width="15" customWidth="1"/>
    <col min="19" max="19" width="10.5703125" bestFit="1" customWidth="1"/>
    <col min="20" max="20" width="12" customWidth="1"/>
    <col min="23" max="23" width="15.140625" customWidth="1"/>
    <col min="24" max="24" width="10.140625" style="134" bestFit="1" customWidth="1"/>
    <col min="25" max="25" width="13.140625" customWidth="1"/>
    <col min="26" max="26" width="11" style="134" bestFit="1" customWidth="1"/>
    <col min="32" max="36" width="0" hidden="1" customWidth="1"/>
    <col min="37" max="37" width="24.28515625" bestFit="1" customWidth="1"/>
    <col min="42" max="42" width="21.85546875" bestFit="1" customWidth="1"/>
    <col min="47" max="47" width="18.28515625" bestFit="1" customWidth="1"/>
  </cols>
  <sheetData>
    <row r="1" spans="1:26" x14ac:dyDescent="0.25">
      <c r="K1" s="129"/>
      <c r="X1"/>
      <c r="Z1"/>
    </row>
    <row r="2" spans="1:26" x14ac:dyDescent="0.25">
      <c r="B2" s="130"/>
      <c r="D2" s="131"/>
      <c r="G2" s="132"/>
      <c r="K2" s="130"/>
      <c r="L2" s="130"/>
      <c r="X2"/>
      <c r="Z2"/>
    </row>
    <row r="3" spans="1:26" x14ac:dyDescent="0.25">
      <c r="A3" s="1143" t="s">
        <v>194</v>
      </c>
      <c r="B3" s="1143"/>
      <c r="C3" s="1143"/>
      <c r="D3" s="1143"/>
      <c r="E3" s="134"/>
      <c r="F3" s="1144" t="s">
        <v>195</v>
      </c>
      <c r="G3" s="1144"/>
      <c r="H3" s="1144"/>
      <c r="I3" s="1144"/>
      <c r="J3" s="134"/>
      <c r="K3" s="1145" t="s">
        <v>196</v>
      </c>
      <c r="L3" s="1145"/>
      <c r="M3" s="1145"/>
      <c r="N3" s="1145"/>
      <c r="X3"/>
      <c r="Z3"/>
    </row>
    <row r="4" spans="1:26" x14ac:dyDescent="0.25">
      <c r="A4" s="135" t="s">
        <v>410</v>
      </c>
      <c r="B4" s="502" t="s">
        <v>197</v>
      </c>
      <c r="C4" s="135" t="s">
        <v>198</v>
      </c>
      <c r="D4" s="135" t="s">
        <v>199</v>
      </c>
      <c r="E4" s="134"/>
      <c r="F4" s="173" t="s">
        <v>410</v>
      </c>
      <c r="G4" s="499" t="s">
        <v>197</v>
      </c>
      <c r="H4" s="173" t="s">
        <v>198</v>
      </c>
      <c r="I4" s="173" t="s">
        <v>1</v>
      </c>
      <c r="J4" s="134"/>
      <c r="K4" s="137" t="s">
        <v>672</v>
      </c>
      <c r="L4" s="506" t="s">
        <v>197</v>
      </c>
      <c r="M4" s="137" t="s">
        <v>198</v>
      </c>
      <c r="N4" s="137" t="s">
        <v>199</v>
      </c>
      <c r="X4"/>
      <c r="Z4"/>
    </row>
    <row r="5" spans="1:26" x14ac:dyDescent="0.25">
      <c r="A5" s="136" t="s">
        <v>200</v>
      </c>
      <c r="B5" s="495">
        <v>900</v>
      </c>
      <c r="C5" s="403">
        <v>83.57</v>
      </c>
      <c r="D5" s="403">
        <f>B5*C5</f>
        <v>75213</v>
      </c>
      <c r="E5" s="134"/>
      <c r="F5" s="174" t="s">
        <v>200</v>
      </c>
      <c r="G5" s="496">
        <f t="shared" ref="G5:G13" si="0">B5</f>
        <v>900</v>
      </c>
      <c r="H5" s="175">
        <v>154.15</v>
      </c>
      <c r="I5" s="176">
        <f>G5*H5</f>
        <v>138735</v>
      </c>
      <c r="J5" s="134"/>
      <c r="K5" s="138" t="s">
        <v>201</v>
      </c>
      <c r="L5" s="505">
        <f>SUM(G5:G6)</f>
        <v>900</v>
      </c>
      <c r="M5" s="923">
        <v>105</v>
      </c>
      <c r="N5" s="138">
        <f>L5*M5</f>
        <v>94500</v>
      </c>
      <c r="X5"/>
      <c r="Z5"/>
    </row>
    <row r="6" spans="1:26" x14ac:dyDescent="0.25">
      <c r="A6" s="136" t="s">
        <v>202</v>
      </c>
      <c r="B6" s="495">
        <v>0</v>
      </c>
      <c r="C6" s="136">
        <v>0</v>
      </c>
      <c r="D6" s="403">
        <f t="shared" ref="D6:D13" si="1">B6*C6</f>
        <v>0</v>
      </c>
      <c r="E6" s="134"/>
      <c r="F6" s="174" t="s">
        <v>202</v>
      </c>
      <c r="G6" s="496">
        <f t="shared" si="0"/>
        <v>0</v>
      </c>
      <c r="H6" s="174">
        <v>0</v>
      </c>
      <c r="I6" s="176">
        <f t="shared" ref="I6:I13" si="2">G6*H6</f>
        <v>0</v>
      </c>
      <c r="J6" s="134"/>
      <c r="K6" s="138" t="s">
        <v>203</v>
      </c>
      <c r="L6" s="505">
        <f>SUM(G7:G9)</f>
        <v>1380</v>
      </c>
      <c r="M6" s="138">
        <v>406</v>
      </c>
      <c r="N6" s="138">
        <f>L6*M6</f>
        <v>560280</v>
      </c>
      <c r="O6" s="134"/>
      <c r="X6"/>
      <c r="Z6"/>
    </row>
    <row r="7" spans="1:26" x14ac:dyDescent="0.25">
      <c r="A7" s="136" t="s">
        <v>204</v>
      </c>
      <c r="B7" s="495">
        <v>0</v>
      </c>
      <c r="C7" s="136">
        <v>0</v>
      </c>
      <c r="D7" s="403">
        <f t="shared" si="1"/>
        <v>0</v>
      </c>
      <c r="E7" s="134"/>
      <c r="F7" s="174" t="s">
        <v>204</v>
      </c>
      <c r="G7" s="496">
        <f t="shared" si="0"/>
        <v>0</v>
      </c>
      <c r="H7" s="174">
        <v>0</v>
      </c>
      <c r="I7" s="176">
        <f t="shared" si="2"/>
        <v>0</v>
      </c>
      <c r="J7" s="134"/>
      <c r="K7" s="138" t="s">
        <v>205</v>
      </c>
      <c r="L7" s="505">
        <f>SUM(G10:G13)</f>
        <v>0</v>
      </c>
      <c r="M7" s="138">
        <v>0</v>
      </c>
      <c r="N7" s="138">
        <f>L7*M7</f>
        <v>0</v>
      </c>
      <c r="X7"/>
      <c r="Z7"/>
    </row>
    <row r="8" spans="1:26" x14ac:dyDescent="0.25">
      <c r="A8" s="140" t="s">
        <v>206</v>
      </c>
      <c r="B8" s="495">
        <v>1380</v>
      </c>
      <c r="C8" s="136">
        <v>187</v>
      </c>
      <c r="D8" s="403">
        <f>B8*C8</f>
        <v>258060</v>
      </c>
      <c r="E8" s="134"/>
      <c r="F8" s="177" t="s">
        <v>206</v>
      </c>
      <c r="G8" s="496">
        <f t="shared" si="0"/>
        <v>1380</v>
      </c>
      <c r="H8" s="174">
        <v>138.61000000000001</v>
      </c>
      <c r="I8" s="176">
        <f>G8*H8</f>
        <v>191281.80000000002</v>
      </c>
      <c r="J8" s="134"/>
      <c r="K8" s="138"/>
      <c r="L8" s="505"/>
      <c r="M8" s="138"/>
      <c r="N8" s="141"/>
      <c r="X8"/>
      <c r="Z8"/>
    </row>
    <row r="9" spans="1:26" x14ac:dyDescent="0.25">
      <c r="A9" s="140" t="s">
        <v>207</v>
      </c>
      <c r="B9" s="495">
        <v>0</v>
      </c>
      <c r="C9" s="136">
        <v>0</v>
      </c>
      <c r="D9" s="403">
        <f t="shared" si="1"/>
        <v>0</v>
      </c>
      <c r="E9" s="134"/>
      <c r="F9" s="174" t="s">
        <v>207</v>
      </c>
      <c r="G9" s="496">
        <f t="shared" si="0"/>
        <v>0</v>
      </c>
      <c r="H9" s="174">
        <v>0</v>
      </c>
      <c r="I9" s="176">
        <f t="shared" si="2"/>
        <v>0</v>
      </c>
      <c r="J9" s="134"/>
      <c r="N9" s="134">
        <f>SUM(N5:N7)</f>
        <v>654780</v>
      </c>
      <c r="Q9" s="134"/>
      <c r="X9"/>
      <c r="Z9"/>
    </row>
    <row r="10" spans="1:26" x14ac:dyDescent="0.25">
      <c r="A10" s="136" t="s">
        <v>208</v>
      </c>
      <c r="B10" s="495">
        <v>0</v>
      </c>
      <c r="C10" s="136">
        <v>0</v>
      </c>
      <c r="D10" s="403">
        <f t="shared" si="1"/>
        <v>0</v>
      </c>
      <c r="E10" s="134"/>
      <c r="F10" s="174" t="s">
        <v>208</v>
      </c>
      <c r="G10" s="497">
        <f t="shared" si="0"/>
        <v>0</v>
      </c>
      <c r="H10" s="174">
        <v>0</v>
      </c>
      <c r="I10" s="176">
        <f t="shared" si="2"/>
        <v>0</v>
      </c>
      <c r="J10" s="134"/>
      <c r="N10" s="172">
        <f>N9*'Orçam-Realiza'!D29</f>
        <v>3535812</v>
      </c>
      <c r="Q10" s="134"/>
      <c r="X10"/>
      <c r="Z10"/>
    </row>
    <row r="11" spans="1:26" x14ac:dyDescent="0.25">
      <c r="A11" s="136" t="s">
        <v>209</v>
      </c>
      <c r="B11" s="495">
        <v>0</v>
      </c>
      <c r="C11" s="136">
        <v>0</v>
      </c>
      <c r="D11" s="403">
        <f t="shared" si="1"/>
        <v>0</v>
      </c>
      <c r="E11" s="134"/>
      <c r="F11" s="174" t="s">
        <v>209</v>
      </c>
      <c r="G11" s="497">
        <f t="shared" si="0"/>
        <v>0</v>
      </c>
      <c r="H11" s="174">
        <v>0</v>
      </c>
      <c r="I11" s="176">
        <f t="shared" si="2"/>
        <v>0</v>
      </c>
      <c r="J11" s="134"/>
      <c r="S11" s="134"/>
      <c r="U11" s="134"/>
      <c r="X11"/>
      <c r="Z11"/>
    </row>
    <row r="12" spans="1:26" x14ac:dyDescent="0.25">
      <c r="A12" s="136" t="s">
        <v>210</v>
      </c>
      <c r="B12" s="495">
        <v>0</v>
      </c>
      <c r="C12" s="136">
        <v>0</v>
      </c>
      <c r="D12" s="403">
        <f t="shared" si="1"/>
        <v>0</v>
      </c>
      <c r="E12" s="134"/>
      <c r="F12" s="174" t="s">
        <v>210</v>
      </c>
      <c r="G12" s="497">
        <f t="shared" si="0"/>
        <v>0</v>
      </c>
      <c r="H12" s="174">
        <v>0</v>
      </c>
      <c r="I12" s="176">
        <f t="shared" si="2"/>
        <v>0</v>
      </c>
      <c r="J12" s="134"/>
      <c r="S12" s="134"/>
      <c r="U12" s="134"/>
      <c r="X12"/>
      <c r="Z12"/>
    </row>
    <row r="13" spans="1:26" x14ac:dyDescent="0.25">
      <c r="A13" s="136" t="s">
        <v>211</v>
      </c>
      <c r="B13" s="495">
        <v>0</v>
      </c>
      <c r="C13" s="136">
        <v>0</v>
      </c>
      <c r="D13" s="403">
        <f t="shared" si="1"/>
        <v>0</v>
      </c>
      <c r="E13" s="134"/>
      <c r="F13" s="174" t="s">
        <v>211</v>
      </c>
      <c r="G13" s="497">
        <f t="shared" si="0"/>
        <v>0</v>
      </c>
      <c r="H13" s="174">
        <v>0</v>
      </c>
      <c r="I13" s="176">
        <f t="shared" si="2"/>
        <v>0</v>
      </c>
      <c r="J13" s="134"/>
      <c r="S13" s="134"/>
      <c r="U13" s="134"/>
      <c r="X13"/>
      <c r="Z13"/>
    </row>
    <row r="14" spans="1:26" x14ac:dyDescent="0.25">
      <c r="A14" s="143"/>
      <c r="B14" s="134"/>
      <c r="C14" s="134"/>
      <c r="D14" s="134">
        <f>SUM(D5:D13)</f>
        <v>333273</v>
      </c>
      <c r="E14" s="134"/>
      <c r="G14" s="144"/>
      <c r="I14" s="134">
        <f>SUM(I5:I13)</f>
        <v>330016.80000000005</v>
      </c>
      <c r="S14" s="134"/>
      <c r="U14" s="134"/>
      <c r="X14"/>
      <c r="Z14"/>
    </row>
    <row r="15" spans="1:26" x14ac:dyDescent="0.25">
      <c r="A15" s="143"/>
      <c r="D15" s="172">
        <f>D14*'Orçam-Realiza'!D29</f>
        <v>1799674.2000000002</v>
      </c>
      <c r="E15" s="134"/>
      <c r="I15" s="172">
        <f>I14*'Orçam-Realiza'!D29</f>
        <v>1782090.7200000004</v>
      </c>
      <c r="L15" s="142"/>
      <c r="S15" s="134"/>
      <c r="U15" s="134"/>
      <c r="X15"/>
      <c r="Z15"/>
    </row>
    <row r="16" spans="1:26" x14ac:dyDescent="0.25">
      <c r="A16" s="143"/>
      <c r="D16" s="172"/>
      <c r="E16" s="134"/>
      <c r="L16" s="134"/>
      <c r="S16" s="134"/>
      <c r="U16" s="134"/>
      <c r="X16"/>
      <c r="Z16"/>
    </row>
    <row r="17" spans="1:26" x14ac:dyDescent="0.25">
      <c r="A17" s="134"/>
      <c r="D17" s="61"/>
      <c r="E17" s="134"/>
      <c r="L17" s="134"/>
      <c r="S17" s="134"/>
      <c r="U17" s="134"/>
      <c r="X17"/>
      <c r="Z17"/>
    </row>
    <row r="18" spans="1:26" x14ac:dyDescent="0.25">
      <c r="A18" s="134"/>
      <c r="D18" s="61"/>
      <c r="E18" s="134"/>
      <c r="L18" s="134"/>
      <c r="S18" s="134"/>
      <c r="U18" s="134"/>
      <c r="X18"/>
      <c r="Z18"/>
    </row>
    <row r="19" spans="1:26" x14ac:dyDescent="0.25">
      <c r="A19" s="134"/>
      <c r="D19" s="61"/>
      <c r="E19" s="134"/>
      <c r="L19" s="134"/>
      <c r="S19" s="134"/>
      <c r="U19" s="134"/>
      <c r="X19"/>
      <c r="Z19"/>
    </row>
    <row r="20" spans="1:26" ht="15.75" thickBot="1" x14ac:dyDescent="0.3">
      <c r="A20" s="134"/>
      <c r="D20" s="61"/>
      <c r="E20" s="134"/>
      <c r="L20" s="134"/>
      <c r="S20" s="134"/>
      <c r="U20" s="134"/>
      <c r="X20"/>
      <c r="Z20"/>
    </row>
    <row r="21" spans="1:26" x14ac:dyDescent="0.25">
      <c r="A21" s="134"/>
      <c r="D21" s="61"/>
      <c r="E21" s="134"/>
      <c r="F21" s="1146" t="s">
        <v>1339</v>
      </c>
      <c r="G21" s="1147"/>
      <c r="H21" s="1147"/>
      <c r="I21" s="1147"/>
      <c r="J21" s="1148"/>
      <c r="L21" s="134"/>
      <c r="S21" s="134"/>
      <c r="U21" s="134"/>
      <c r="X21"/>
      <c r="Z21"/>
    </row>
    <row r="22" spans="1:26" x14ac:dyDescent="0.25">
      <c r="A22" s="134"/>
      <c r="D22" s="61"/>
      <c r="E22" s="134"/>
      <c r="F22" s="66" t="s">
        <v>212</v>
      </c>
      <c r="G22" s="405">
        <f>C5+H5+M5</f>
        <v>342.72</v>
      </c>
      <c r="H22">
        <v>900</v>
      </c>
      <c r="I22" s="406">
        <f>H22*G22</f>
        <v>308448</v>
      </c>
      <c r="J22" s="145">
        <f>I22*'Orçam-Realiza'!$D$29</f>
        <v>1665619.2000000002</v>
      </c>
      <c r="L22" s="134"/>
      <c r="S22" s="134"/>
      <c r="U22" s="134"/>
      <c r="X22"/>
      <c r="Z22"/>
    </row>
    <row r="23" spans="1:26" x14ac:dyDescent="0.25">
      <c r="A23" s="134"/>
      <c r="D23" s="61"/>
      <c r="E23" s="134"/>
      <c r="F23" s="66" t="s">
        <v>307</v>
      </c>
      <c r="G23" s="404">
        <f>C8+H8+M6</f>
        <v>731.61</v>
      </c>
      <c r="H23" s="144">
        <v>1380</v>
      </c>
      <c r="I23" s="406">
        <f>H23*G23</f>
        <v>1009621.8</v>
      </c>
      <c r="J23" s="145">
        <f>I23*'Orçam-Realiza'!$D$29</f>
        <v>5451957.7200000007</v>
      </c>
      <c r="L23" s="134"/>
      <c r="S23" s="134"/>
      <c r="U23" s="134"/>
      <c r="X23"/>
      <c r="Z23"/>
    </row>
    <row r="24" spans="1:26" ht="15.75" thickBot="1" x14ac:dyDescent="0.3">
      <c r="A24" s="134"/>
      <c r="F24" s="13"/>
      <c r="G24" s="118"/>
      <c r="H24" s="133"/>
      <c r="I24" s="407">
        <f>SUM(I22:I23)</f>
        <v>1318069.8</v>
      </c>
      <c r="J24" s="145">
        <f>I24*'Orçam-Realiza'!$D$29</f>
        <v>7117576.9200000009</v>
      </c>
      <c r="S24" s="134"/>
      <c r="U24" s="134"/>
      <c r="X24"/>
      <c r="Z24"/>
    </row>
    <row r="25" spans="1:26" ht="15.75" thickBot="1" x14ac:dyDescent="0.3">
      <c r="D25" s="1"/>
      <c r="S25" s="134"/>
      <c r="U25" s="134"/>
      <c r="X25"/>
      <c r="Z25"/>
    </row>
    <row r="26" spans="1:26" x14ac:dyDescent="0.25">
      <c r="A26" s="1"/>
      <c r="B26" s="1"/>
      <c r="D26" s="1"/>
      <c r="F26" s="1146" t="s">
        <v>1116</v>
      </c>
      <c r="G26" s="1147"/>
      <c r="H26" s="1147"/>
      <c r="I26" s="1147"/>
      <c r="J26" s="1148"/>
      <c r="S26" s="134"/>
      <c r="U26" s="134"/>
      <c r="X26"/>
      <c r="Z26"/>
    </row>
    <row r="27" spans="1:26" x14ac:dyDescent="0.25">
      <c r="A27" s="1"/>
      <c r="B27" s="1"/>
      <c r="D27" s="1"/>
      <c r="F27" s="66" t="s">
        <v>212</v>
      </c>
      <c r="G27" s="405">
        <v>358.68976997827667</v>
      </c>
      <c r="H27">
        <v>1380</v>
      </c>
      <c r="I27" s="406">
        <v>494991.88257002179</v>
      </c>
      <c r="J27" s="145">
        <v>2771954.5423921216</v>
      </c>
      <c r="S27" s="134"/>
      <c r="U27" s="134"/>
      <c r="X27"/>
      <c r="Z27"/>
    </row>
    <row r="28" spans="1:26" x14ac:dyDescent="0.25">
      <c r="A28" s="1"/>
      <c r="B28" s="1"/>
      <c r="D28" s="1"/>
      <c r="F28" s="66" t="s">
        <v>307</v>
      </c>
      <c r="G28" s="404">
        <v>694.25045601750548</v>
      </c>
      <c r="H28" s="144">
        <v>900</v>
      </c>
      <c r="I28" s="406">
        <v>624825.41041575489</v>
      </c>
      <c r="J28" s="145">
        <v>3499022.2983282274</v>
      </c>
      <c r="K28" s="134"/>
      <c r="S28" s="134"/>
      <c r="U28" s="134"/>
      <c r="X28"/>
      <c r="Z28"/>
    </row>
    <row r="29" spans="1:26" ht="15.75" thickBot="1" x14ac:dyDescent="0.3">
      <c r="A29" s="1"/>
      <c r="B29" s="1"/>
      <c r="D29" s="146"/>
      <c r="F29" s="13"/>
      <c r="G29" s="118"/>
      <c r="H29" s="133"/>
      <c r="I29" s="407">
        <v>1119817.2929857767</v>
      </c>
      <c r="J29" s="145">
        <v>6270976.840720349</v>
      </c>
      <c r="S29" s="134"/>
      <c r="U29" s="134"/>
      <c r="X29"/>
      <c r="Z29"/>
    </row>
    <row r="30" spans="1:26" ht="15.75" thickBot="1" x14ac:dyDescent="0.3">
      <c r="A30" s="146"/>
      <c r="B30" s="146"/>
      <c r="D30" s="1"/>
      <c r="E30" s="105"/>
      <c r="I30" s="61"/>
      <c r="S30" s="134"/>
      <c r="U30" s="134"/>
      <c r="X30"/>
      <c r="Z30"/>
    </row>
    <row r="31" spans="1:26" x14ac:dyDescent="0.25">
      <c r="A31" s="1"/>
      <c r="B31" s="1"/>
      <c r="D31" s="1"/>
      <c r="F31" s="1146" t="s">
        <v>1115</v>
      </c>
      <c r="G31" s="1147"/>
      <c r="H31" s="1147"/>
      <c r="I31" s="1147"/>
      <c r="J31" s="1148"/>
      <c r="K31" s="134"/>
      <c r="M31" s="134"/>
    </row>
    <row r="32" spans="1:26" x14ac:dyDescent="0.25">
      <c r="A32" s="1"/>
      <c r="B32" s="1"/>
      <c r="D32" s="1"/>
      <c r="F32" s="66" t="s">
        <v>212</v>
      </c>
      <c r="G32" s="405">
        <v>360.39000000000004</v>
      </c>
      <c r="H32">
        <v>1600</v>
      </c>
      <c r="I32" s="406">
        <f>H32*G32</f>
        <v>576624.00000000012</v>
      </c>
      <c r="J32" s="145">
        <f>I32*'Orçam-Realiza'!$D$29</f>
        <v>3113769.600000001</v>
      </c>
      <c r="O32" s="134"/>
    </row>
    <row r="33" spans="1:15" x14ac:dyDescent="0.25">
      <c r="A33" s="1"/>
      <c r="B33" s="1"/>
      <c r="C33" s="134"/>
      <c r="F33" s="66" t="s">
        <v>307</v>
      </c>
      <c r="G33" s="404">
        <v>823.43000000000006</v>
      </c>
      <c r="H33" s="144">
        <v>700</v>
      </c>
      <c r="I33" s="406">
        <f>H33*G33</f>
        <v>576401</v>
      </c>
      <c r="J33" s="145">
        <f>I33*'Orçam-Realiza'!$D$29</f>
        <v>3112565.4000000004</v>
      </c>
      <c r="O33" s="134"/>
    </row>
    <row r="34" spans="1:15" ht="15.75" thickBot="1" x14ac:dyDescent="0.3">
      <c r="F34" s="13"/>
      <c r="G34" s="118"/>
      <c r="H34" s="133"/>
      <c r="I34" s="407">
        <f>SUM(I32:I33)</f>
        <v>1153025</v>
      </c>
      <c r="J34" s="145">
        <f>I34*'Orçam-Realiza'!$D$29</f>
        <v>6226335</v>
      </c>
    </row>
    <row r="35" spans="1:15" ht="15.75" thickBot="1" x14ac:dyDescent="0.3">
      <c r="B35" s="146"/>
    </row>
    <row r="36" spans="1:15" x14ac:dyDescent="0.25">
      <c r="B36" s="11"/>
      <c r="C36" s="193"/>
      <c r="D36" s="134"/>
      <c r="E36" s="1"/>
      <c r="F36" s="1146" t="s">
        <v>830</v>
      </c>
      <c r="G36" s="1147"/>
      <c r="H36" s="1147"/>
      <c r="I36" s="1147"/>
      <c r="J36" s="1148"/>
    </row>
    <row r="37" spans="1:15" x14ac:dyDescent="0.25">
      <c r="B37" s="11"/>
      <c r="C37" s="193"/>
      <c r="D37" s="134"/>
      <c r="E37" s="1"/>
      <c r="F37" s="66" t="s">
        <v>212</v>
      </c>
      <c r="G37" s="405">
        <v>360.69</v>
      </c>
      <c r="H37">
        <v>1600</v>
      </c>
      <c r="I37" s="406">
        <f>H37*G37</f>
        <v>577104</v>
      </c>
      <c r="J37" s="145">
        <f>I37*'Orçam-Realiza'!$D$29</f>
        <v>3116361.6</v>
      </c>
    </row>
    <row r="38" spans="1:15" x14ac:dyDescent="0.25">
      <c r="B38" s="11"/>
      <c r="C38" s="193"/>
      <c r="D38" s="134"/>
      <c r="E38" s="1"/>
      <c r="F38" s="66" t="s">
        <v>307</v>
      </c>
      <c r="G38" s="404">
        <f>SUM(C8,H8,M6)</f>
        <v>731.61</v>
      </c>
      <c r="H38" s="144">
        <v>700</v>
      </c>
      <c r="I38" s="406">
        <f>H38*G38</f>
        <v>512127</v>
      </c>
      <c r="J38" s="145">
        <f>I38*'Orçam-Realiza'!$D$29</f>
        <v>2765485.8000000003</v>
      </c>
    </row>
    <row r="39" spans="1:15" ht="15.75" thickBot="1" x14ac:dyDescent="0.3">
      <c r="A39" s="1"/>
      <c r="B39" s="1"/>
      <c r="F39" s="13"/>
      <c r="G39" s="118"/>
      <c r="H39" s="133"/>
      <c r="I39" s="407">
        <f>SUM(I37:I38)</f>
        <v>1089231</v>
      </c>
      <c r="J39" s="145">
        <f>I39*'Orçam-Realiza'!$D$29</f>
        <v>5881847.4000000004</v>
      </c>
    </row>
    <row r="40" spans="1:15" x14ac:dyDescent="0.25">
      <c r="A40" s="1"/>
      <c r="B40" s="1"/>
      <c r="C40" s="1"/>
      <c r="D40" s="1"/>
      <c r="E40" s="1"/>
      <c r="F40" s="1146" t="s">
        <v>608</v>
      </c>
      <c r="G40" s="1147"/>
      <c r="H40" s="1147"/>
      <c r="I40" s="1147"/>
      <c r="J40" s="1148"/>
    </row>
    <row r="41" spans="1:15" x14ac:dyDescent="0.25">
      <c r="A41" s="1"/>
      <c r="B41" s="1"/>
      <c r="C41" s="1"/>
      <c r="D41" s="1"/>
      <c r="E41" s="1"/>
      <c r="F41" s="66" t="s">
        <v>212</v>
      </c>
      <c r="G41" s="405">
        <v>347.57000000000005</v>
      </c>
      <c r="H41">
        <v>4127</v>
      </c>
      <c r="I41" s="406">
        <f>H41*G41</f>
        <v>1434421.3900000001</v>
      </c>
      <c r="J41" s="145">
        <f>I41*5.15</f>
        <v>7387270.1585000008</v>
      </c>
    </row>
    <row r="42" spans="1:15" x14ac:dyDescent="0.25">
      <c r="A42" s="1"/>
      <c r="B42" s="1"/>
      <c r="C42" s="1"/>
      <c r="D42" s="1"/>
      <c r="E42" s="1"/>
      <c r="F42" s="66" t="s">
        <v>307</v>
      </c>
      <c r="G42" s="404">
        <v>667.19</v>
      </c>
      <c r="H42" s="144">
        <v>1642</v>
      </c>
      <c r="I42" s="406">
        <f>H42*G42</f>
        <v>1095525.98</v>
      </c>
      <c r="J42" s="145">
        <f>I42*5.15</f>
        <v>5641958.7970000003</v>
      </c>
    </row>
    <row r="43" spans="1:15" ht="15.75" thickBot="1" x14ac:dyDescent="0.3">
      <c r="A43" s="1"/>
      <c r="B43" s="1"/>
      <c r="C43" s="1"/>
      <c r="D43" s="1"/>
      <c r="E43" s="1"/>
      <c r="F43" s="13"/>
      <c r="G43" s="118"/>
      <c r="H43" s="133"/>
      <c r="I43" s="407">
        <f>SUM(I41:I42)</f>
        <v>2529947.37</v>
      </c>
      <c r="J43" s="408">
        <f>SUM(J41:J42)</f>
        <v>13029228.955500001</v>
      </c>
    </row>
    <row r="44" spans="1:15" x14ac:dyDescent="0.25">
      <c r="A44" s="1"/>
      <c r="B44" s="1"/>
      <c r="C44" s="1"/>
      <c r="D44" s="1"/>
      <c r="E44" s="1"/>
      <c r="F44" s="1146" t="s">
        <v>403</v>
      </c>
      <c r="G44" s="1147"/>
      <c r="H44" s="1147"/>
      <c r="I44" s="1147"/>
      <c r="J44" s="1148"/>
    </row>
    <row r="45" spans="1:15" x14ac:dyDescent="0.25">
      <c r="A45" s="1"/>
      <c r="B45" s="1"/>
      <c r="C45" s="1"/>
      <c r="D45" s="1"/>
      <c r="E45" s="1"/>
      <c r="F45" s="66" t="s">
        <v>212</v>
      </c>
      <c r="G45" s="405">
        <f>1221.02/5.4</f>
        <v>226.11481481481479</v>
      </c>
      <c r="H45">
        <v>5750</v>
      </c>
      <c r="I45" s="406">
        <f>H45*G45</f>
        <v>1300160.1851851852</v>
      </c>
      <c r="J45" s="145">
        <f>I45*5.15</f>
        <v>6695824.9537037043</v>
      </c>
    </row>
    <row r="46" spans="1:15" x14ac:dyDescent="0.25">
      <c r="A46" s="1"/>
      <c r="B46" s="1"/>
      <c r="C46" s="1"/>
      <c r="D46" s="1"/>
      <c r="E46" s="1"/>
      <c r="F46" s="66" t="s">
        <v>307</v>
      </c>
      <c r="G46" s="404">
        <v>0</v>
      </c>
      <c r="H46" s="144">
        <f>H9</f>
        <v>0</v>
      </c>
      <c r="I46" s="406">
        <f>H46*G46</f>
        <v>0</v>
      </c>
      <c r="J46" s="145">
        <f>I46*5.15</f>
        <v>0</v>
      </c>
    </row>
    <row r="47" spans="1:15" ht="15.75" thickBot="1" x14ac:dyDescent="0.3">
      <c r="F47" s="13"/>
      <c r="G47" s="118"/>
      <c r="H47" s="133"/>
      <c r="I47" s="407">
        <f>SUM(I45:I46)</f>
        <v>1300160.1851851852</v>
      </c>
      <c r="J47" s="408">
        <f>SUM(J45:J46)</f>
        <v>6695824.9537037043</v>
      </c>
    </row>
    <row r="48" spans="1:15" x14ac:dyDescent="0.25">
      <c r="F48" s="134"/>
      <c r="G48" s="61"/>
    </row>
    <row r="49" spans="6:7" x14ac:dyDescent="0.25">
      <c r="F49" s="134"/>
      <c r="G49" s="61"/>
    </row>
  </sheetData>
  <mergeCells count="9">
    <mergeCell ref="A3:D3"/>
    <mergeCell ref="F3:I3"/>
    <mergeCell ref="K3:N3"/>
    <mergeCell ref="F36:J36"/>
    <mergeCell ref="F44:J44"/>
    <mergeCell ref="F40:J40"/>
    <mergeCell ref="F31:J31"/>
    <mergeCell ref="F26:J26"/>
    <mergeCell ref="F21:J2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D2EA-5CD4-4C7F-8954-FE2C02B53B1B}">
  <sheetPr>
    <tabColor rgb="FFFFFF00"/>
  </sheetPr>
  <dimension ref="A2:I35"/>
  <sheetViews>
    <sheetView topLeftCell="A2" workbookViewId="0">
      <selection activeCell="B5" sqref="B5"/>
    </sheetView>
  </sheetViews>
  <sheetFormatPr defaultRowHeight="15" x14ac:dyDescent="0.25"/>
  <cols>
    <col min="1" max="1" width="24" customWidth="1"/>
    <col min="2" max="2" width="21.28515625" bestFit="1" customWidth="1"/>
    <col min="3" max="3" width="19.7109375" bestFit="1" customWidth="1"/>
    <col min="4" max="4" width="15.7109375" bestFit="1" customWidth="1"/>
    <col min="7" max="7" width="13.28515625" bestFit="1" customWidth="1"/>
    <col min="9" max="9" width="13.28515625" bestFit="1" customWidth="1"/>
  </cols>
  <sheetData>
    <row r="2" spans="1:9" x14ac:dyDescent="0.25">
      <c r="A2" s="147" t="s">
        <v>0</v>
      </c>
      <c r="B2" s="148" t="s">
        <v>213</v>
      </c>
      <c r="C2" s="149" t="s">
        <v>214</v>
      </c>
      <c r="D2" s="150"/>
    </row>
    <row r="3" spans="1:9" ht="15" customHeight="1" x14ac:dyDescent="0.25">
      <c r="A3" s="151" t="s">
        <v>687</v>
      </c>
      <c r="B3" s="152">
        <v>2300</v>
      </c>
      <c r="C3" s="152">
        <v>2.2000000000000002</v>
      </c>
      <c r="D3" s="153">
        <f>(C3*2300)*120</f>
        <v>607200</v>
      </c>
    </row>
    <row r="4" spans="1:9" ht="15.75" thickBot="1" x14ac:dyDescent="0.3">
      <c r="A4" s="151" t="s">
        <v>688</v>
      </c>
      <c r="B4" s="152">
        <v>300</v>
      </c>
      <c r="C4" s="508">
        <v>1.8</v>
      </c>
      <c r="D4" s="503">
        <f>(C4*B4)*55</f>
        <v>29700</v>
      </c>
    </row>
    <row r="5" spans="1:9" ht="15.75" thickBot="1" x14ac:dyDescent="0.3">
      <c r="A5" s="151"/>
      <c r="B5" s="152"/>
      <c r="C5" s="154"/>
      <c r="D5" s="155">
        <f>SUM(D3:D4)</f>
        <v>636900</v>
      </c>
    </row>
    <row r="6" spans="1:9" x14ac:dyDescent="0.25">
      <c r="A6" s="1146" t="s">
        <v>222</v>
      </c>
      <c r="B6" s="1147"/>
      <c r="C6" s="1147"/>
      <c r="D6" s="1148"/>
    </row>
    <row r="7" spans="1:9" x14ac:dyDescent="0.25">
      <c r="A7" s="66"/>
      <c r="B7" s="1" t="s">
        <v>404</v>
      </c>
      <c r="C7" s="1" t="s">
        <v>405</v>
      </c>
      <c r="D7" s="156" t="s">
        <v>215</v>
      </c>
    </row>
    <row r="8" spans="1:9" x14ac:dyDescent="0.25">
      <c r="A8" s="66" t="s">
        <v>1158</v>
      </c>
      <c r="B8" s="157">
        <v>1290</v>
      </c>
      <c r="C8" s="1"/>
      <c r="D8" s="67">
        <f>B8*15</f>
        <v>19350</v>
      </c>
    </row>
    <row r="9" spans="1:9" x14ac:dyDescent="0.25">
      <c r="A9" s="158" t="s">
        <v>1159</v>
      </c>
      <c r="B9" s="1">
        <v>1020</v>
      </c>
      <c r="C9" s="1"/>
      <c r="D9" s="67">
        <f>B9*50</f>
        <v>51000</v>
      </c>
    </row>
    <row r="10" spans="1:9" ht="15.75" thickBot="1" x14ac:dyDescent="0.3">
      <c r="A10" s="13" t="s">
        <v>1160</v>
      </c>
      <c r="B10" s="159">
        <v>1212</v>
      </c>
      <c r="C10" s="509"/>
      <c r="D10" s="160">
        <f>B10*38</f>
        <v>46056</v>
      </c>
    </row>
    <row r="11" spans="1:9" x14ac:dyDescent="0.25">
      <c r="A11" s="1146" t="s">
        <v>671</v>
      </c>
      <c r="B11" s="1147"/>
      <c r="C11" s="1147"/>
      <c r="D11" s="1148"/>
    </row>
    <row r="12" spans="1:9" x14ac:dyDescent="0.25">
      <c r="A12" s="161" t="s">
        <v>3</v>
      </c>
      <c r="B12" s="1" t="s">
        <v>216</v>
      </c>
      <c r="C12" s="1" t="s">
        <v>217</v>
      </c>
      <c r="D12" s="162" t="s">
        <v>218</v>
      </c>
    </row>
    <row r="13" spans="1:9" x14ac:dyDescent="0.25">
      <c r="A13" s="161"/>
      <c r="B13" s="1"/>
      <c r="C13" s="809"/>
      <c r="D13" s="162">
        <f>C13*B13</f>
        <v>0</v>
      </c>
    </row>
    <row r="14" spans="1:9" x14ac:dyDescent="0.25">
      <c r="A14" s="161" t="s">
        <v>212</v>
      </c>
      <c r="B14" s="1">
        <v>1200</v>
      </c>
      <c r="C14" s="163">
        <v>16</v>
      </c>
      <c r="D14" s="162">
        <f>C14*B14</f>
        <v>19200</v>
      </c>
    </row>
    <row r="15" spans="1:9" x14ac:dyDescent="0.25">
      <c r="A15" s="161" t="s">
        <v>307</v>
      </c>
      <c r="B15" s="1">
        <v>7000</v>
      </c>
      <c r="C15" s="163">
        <v>14</v>
      </c>
      <c r="D15" s="162">
        <f>C15*B15</f>
        <v>98000</v>
      </c>
    </row>
    <row r="16" spans="1:9" x14ac:dyDescent="0.25">
      <c r="A16" s="161"/>
      <c r="B16" s="1"/>
      <c r="C16" s="163"/>
      <c r="D16" s="162">
        <f>C16*B16</f>
        <v>0</v>
      </c>
      <c r="H16" s="982" t="s">
        <v>1154</v>
      </c>
      <c r="I16" s="983">
        <v>4</v>
      </c>
    </row>
    <row r="17" spans="1:9" ht="15.75" thickBot="1" x14ac:dyDescent="0.3">
      <c r="A17" s="164"/>
      <c r="B17" s="118"/>
      <c r="C17" s="163" t="s">
        <v>686</v>
      </c>
      <c r="D17" s="165"/>
      <c r="H17" s="982" t="s">
        <v>1155</v>
      </c>
      <c r="I17" s="984">
        <f>(I16*2600)*1.1</f>
        <v>11440.000000000002</v>
      </c>
    </row>
    <row r="18" spans="1:9" x14ac:dyDescent="0.25">
      <c r="C18" s="166" t="s">
        <v>219</v>
      </c>
      <c r="D18" s="167">
        <f>SUM(D13:D17,D10)</f>
        <v>163256</v>
      </c>
      <c r="F18" s="980" t="s">
        <v>221</v>
      </c>
      <c r="G18" s="981">
        <f>I17+I8</f>
        <v>11440.000000000002</v>
      </c>
    </row>
    <row r="19" spans="1:9" x14ac:dyDescent="0.25">
      <c r="A19" s="168" t="s">
        <v>220</v>
      </c>
      <c r="B19" s="169">
        <f>D5+D8+D9+D10+D18</f>
        <v>916562</v>
      </c>
    </row>
    <row r="21" spans="1:9" x14ac:dyDescent="0.25">
      <c r="B21" s="32"/>
    </row>
    <row r="23" spans="1:9" x14ac:dyDescent="0.25">
      <c r="A23" s="1149" t="s">
        <v>640</v>
      </c>
      <c r="B23" s="1150"/>
      <c r="C23" s="1151"/>
    </row>
    <row r="24" spans="1:9" x14ac:dyDescent="0.25">
      <c r="A24" s="95" t="s">
        <v>642</v>
      </c>
      <c r="B24" s="1" t="s">
        <v>643</v>
      </c>
      <c r="C24" s="474"/>
      <c r="D24" s="4"/>
    </row>
    <row r="25" spans="1:9" x14ac:dyDescent="0.25">
      <c r="A25" s="95" t="s">
        <v>1152</v>
      </c>
      <c r="B25">
        <v>800</v>
      </c>
      <c r="C25" s="475">
        <f>B25*8.5</f>
        <v>6800</v>
      </c>
    </row>
    <row r="26" spans="1:9" x14ac:dyDescent="0.25">
      <c r="A26" s="95" t="s">
        <v>615</v>
      </c>
      <c r="B26">
        <v>800</v>
      </c>
      <c r="C26" s="475">
        <f>B26*8.5</f>
        <v>6800</v>
      </c>
    </row>
    <row r="27" spans="1:9" x14ac:dyDescent="0.25">
      <c r="A27" s="95" t="s">
        <v>971</v>
      </c>
      <c r="C27" s="478">
        <f>B27*15</f>
        <v>0</v>
      </c>
    </row>
    <row r="28" spans="1:9" x14ac:dyDescent="0.25">
      <c r="A28" s="476" t="s">
        <v>641</v>
      </c>
      <c r="B28" s="477"/>
      <c r="C28" s="478">
        <f>B28*15</f>
        <v>0</v>
      </c>
    </row>
    <row r="29" spans="1:9" x14ac:dyDescent="0.25">
      <c r="C29" s="479">
        <f>SUM(C25:C28)</f>
        <v>13600</v>
      </c>
    </row>
    <row r="31" spans="1:9" x14ac:dyDescent="0.25">
      <c r="A31" s="120" t="s">
        <v>1014</v>
      </c>
      <c r="B31" s="178" t="s">
        <v>1013</v>
      </c>
      <c r="C31" s="120"/>
    </row>
    <row r="32" spans="1:9" x14ac:dyDescent="0.25">
      <c r="A32" s="120" t="s">
        <v>812</v>
      </c>
      <c r="B32" s="122">
        <v>1260</v>
      </c>
      <c r="C32" s="121">
        <f>B32*4</f>
        <v>5040</v>
      </c>
    </row>
    <row r="33" spans="1:3" x14ac:dyDescent="0.25">
      <c r="A33" s="120" t="s">
        <v>1015</v>
      </c>
      <c r="B33" s="120" t="s">
        <v>1017</v>
      </c>
      <c r="C33" s="121">
        <v>3000</v>
      </c>
    </row>
    <row r="34" spans="1:3" x14ac:dyDescent="0.25">
      <c r="A34" s="120" t="s">
        <v>1016</v>
      </c>
      <c r="B34" s="120" t="s">
        <v>1153</v>
      </c>
      <c r="C34" s="121">
        <v>5000</v>
      </c>
    </row>
    <row r="35" spans="1:3" x14ac:dyDescent="0.25">
      <c r="C35" s="424">
        <f>SUM(C32:C34)</f>
        <v>13040</v>
      </c>
    </row>
  </sheetData>
  <mergeCells count="3">
    <mergeCell ref="A6:D6"/>
    <mergeCell ref="A11:D11"/>
    <mergeCell ref="A23:C2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7811-E60C-4E7F-B383-02142120CDAA}">
  <sheetPr>
    <tabColor rgb="FFFFFF00"/>
  </sheetPr>
  <dimension ref="A1:AN99"/>
  <sheetViews>
    <sheetView topLeftCell="A74" zoomScale="70" zoomScaleNormal="70" workbookViewId="0">
      <selection activeCell="S95" sqref="S95"/>
    </sheetView>
  </sheetViews>
  <sheetFormatPr defaultColWidth="9.140625" defaultRowHeight="15" x14ac:dyDescent="0.25"/>
  <cols>
    <col min="1" max="1" width="20.7109375" style="1" customWidth="1"/>
    <col min="2" max="2" width="22.28515625" style="1" customWidth="1"/>
    <col min="3" max="3" width="13.7109375" style="1" bestFit="1" customWidth="1"/>
    <col min="4" max="4" width="17.7109375" style="1" bestFit="1" customWidth="1"/>
    <col min="5" max="5" width="11" style="1" bestFit="1" customWidth="1"/>
    <col min="6" max="6" width="9.140625" style="1"/>
    <col min="7" max="7" width="18.7109375" style="1" customWidth="1"/>
    <col min="8" max="15" width="9.140625" style="1"/>
    <col min="16" max="16" width="18.5703125" style="1" customWidth="1"/>
    <col min="17" max="17" width="24.28515625" style="1" customWidth="1"/>
    <col min="18" max="18" width="12.7109375" style="1" customWidth="1"/>
    <col min="19" max="20" width="9.140625" style="1"/>
    <col min="21" max="21" width="21.28515625" style="1" customWidth="1"/>
    <col min="22" max="23" width="9.140625" style="1"/>
    <col min="24" max="24" width="50.5703125" style="1" customWidth="1"/>
    <col min="25" max="25" width="9.140625" style="1"/>
    <col min="26" max="26" width="16.140625" style="1" customWidth="1"/>
    <col min="27" max="27" width="16.7109375" style="1" customWidth="1"/>
    <col min="28" max="29" width="9.140625" style="1"/>
    <col min="30" max="30" width="28.28515625" style="1" customWidth="1"/>
    <col min="31" max="31" width="14.7109375" style="1" customWidth="1"/>
    <col min="32" max="16384" width="9.140625" style="1"/>
  </cols>
  <sheetData>
    <row r="1" spans="1:40" x14ac:dyDescent="0.25">
      <c r="A1" s="1174" t="s">
        <v>1350</v>
      </c>
      <c r="B1" s="1174"/>
      <c r="C1" s="1174"/>
      <c r="D1" s="1174"/>
      <c r="E1" s="1174"/>
      <c r="F1" s="1174"/>
      <c r="G1" s="1174"/>
      <c r="H1" s="1174"/>
      <c r="I1" s="1174"/>
      <c r="J1" s="1174"/>
      <c r="K1" s="1174"/>
      <c r="L1" s="1174"/>
      <c r="M1" s="1174"/>
      <c r="N1" s="1174"/>
      <c r="O1" s="1174"/>
      <c r="P1" s="1174"/>
      <c r="Q1" s="1174"/>
      <c r="R1" t="s">
        <v>1126</v>
      </c>
    </row>
    <row r="2" spans="1:40" ht="105" customHeight="1" x14ac:dyDescent="0.25">
      <c r="A2" s="1174"/>
      <c r="B2" s="1174"/>
      <c r="C2" s="1174"/>
      <c r="D2" s="1174"/>
      <c r="E2" s="1174"/>
      <c r="F2" s="1174"/>
      <c r="G2" s="1174"/>
      <c r="H2" s="1174"/>
      <c r="I2" s="1174"/>
      <c r="J2" s="1174"/>
      <c r="K2" s="1174"/>
      <c r="L2" s="1174"/>
      <c r="M2" s="1174"/>
      <c r="N2" s="1174"/>
      <c r="O2" s="1174"/>
      <c r="P2" s="1174"/>
      <c r="Q2" s="1174"/>
      <c r="R2"/>
      <c r="X2" s="1171" t="s">
        <v>1127</v>
      </c>
      <c r="Y2" s="1171"/>
      <c r="Z2" s="1171"/>
      <c r="AA2" s="1171"/>
      <c r="AB2" s="1171"/>
      <c r="AC2" s="1171"/>
      <c r="AD2" s="1171"/>
      <c r="AE2" s="1171"/>
      <c r="AF2"/>
      <c r="AG2"/>
      <c r="AH2"/>
      <c r="AI2"/>
      <c r="AJ2"/>
      <c r="AK2"/>
      <c r="AL2"/>
      <c r="AM2"/>
      <c r="AN2"/>
    </row>
    <row r="3" spans="1:40" x14ac:dyDescent="0.25">
      <c r="A3" s="1174"/>
      <c r="B3" s="1174"/>
      <c r="C3" s="1174"/>
      <c r="D3" s="1174"/>
      <c r="E3" s="1174"/>
      <c r="F3" s="1174"/>
      <c r="G3" s="1174"/>
      <c r="H3" s="1174"/>
      <c r="I3" s="1174"/>
      <c r="J3" s="1174"/>
      <c r="K3" s="1174"/>
      <c r="L3" s="1174"/>
      <c r="M3" s="1174"/>
      <c r="N3" s="1174"/>
      <c r="O3" s="1174"/>
      <c r="P3" s="1174"/>
      <c r="Q3" s="1174"/>
      <c r="R3"/>
      <c r="X3" s="442" t="s">
        <v>442</v>
      </c>
      <c r="Y3" s="442" t="s">
        <v>632</v>
      </c>
      <c r="Z3" s="442"/>
      <c r="AA3" s="442" t="s">
        <v>633</v>
      </c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x14ac:dyDescent="0.25">
      <c r="A4" s="687"/>
      <c r="B4"/>
      <c r="C4"/>
      <c r="D4" t="s">
        <v>1121</v>
      </c>
      <c r="E4" t="s">
        <v>689</v>
      </c>
      <c r="F4" t="s">
        <v>53</v>
      </c>
      <c r="G4" t="s">
        <v>1122</v>
      </c>
      <c r="H4" t="s">
        <v>690</v>
      </c>
      <c r="I4" t="s">
        <v>56</v>
      </c>
      <c r="J4" t="s">
        <v>57</v>
      </c>
      <c r="K4" t="s">
        <v>58</v>
      </c>
      <c r="L4"/>
      <c r="M4" t="s">
        <v>1123</v>
      </c>
      <c r="N4"/>
      <c r="O4" t="s">
        <v>199</v>
      </c>
      <c r="P4" s="530" t="s">
        <v>1124</v>
      </c>
      <c r="Q4" s="530" t="s">
        <v>1125</v>
      </c>
      <c r="R4"/>
      <c r="X4" s="120" t="s">
        <v>232</v>
      </c>
      <c r="Y4" s="178">
        <v>1</v>
      </c>
      <c r="Z4" s="456">
        <v>767.88</v>
      </c>
      <c r="AA4" s="457">
        <f t="shared" ref="AA4:AA11" si="0">Z4*Y4</f>
        <v>767.88</v>
      </c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55" x14ac:dyDescent="0.25">
      <c r="A5" s="1022" t="s">
        <v>1351</v>
      </c>
      <c r="B5" s="178" t="s">
        <v>223</v>
      </c>
      <c r="C5" s="954"/>
      <c r="D5" s="1175" t="s">
        <v>1352</v>
      </c>
      <c r="E5" s="1176"/>
      <c r="F5" s="1177"/>
      <c r="G5" s="955" t="s">
        <v>1353</v>
      </c>
      <c r="H5" s="956" t="s">
        <v>1354</v>
      </c>
      <c r="I5" s="955" t="s">
        <v>1355</v>
      </c>
      <c r="J5" s="957"/>
      <c r="K5" s="957"/>
      <c r="L5" s="957" t="s">
        <v>1356</v>
      </c>
      <c r="M5" s="957"/>
      <c r="N5" s="957"/>
      <c r="O5" s="1023">
        <v>78429</v>
      </c>
      <c r="P5" s="958"/>
      <c r="Q5" s="958"/>
      <c r="R5"/>
      <c r="X5" s="120" t="s">
        <v>816</v>
      </c>
      <c r="Y5" s="178">
        <v>12</v>
      </c>
      <c r="Z5" s="456">
        <v>1500</v>
      </c>
      <c r="AA5" s="457">
        <f t="shared" si="0"/>
        <v>18000</v>
      </c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x14ac:dyDescent="0.25">
      <c r="A6" s="1178" t="s">
        <v>1357</v>
      </c>
      <c r="B6" s="416" t="s">
        <v>224</v>
      </c>
      <c r="C6" s="959" t="s">
        <v>225</v>
      </c>
      <c r="D6" s="1024">
        <v>9600</v>
      </c>
      <c r="E6" s="1024">
        <v>22548</v>
      </c>
      <c r="F6" s="1024">
        <v>29933</v>
      </c>
      <c r="G6" s="1024">
        <v>12608</v>
      </c>
      <c r="H6" s="959">
        <v>2240</v>
      </c>
      <c r="I6" s="959">
        <v>1500</v>
      </c>
      <c r="J6" s="959"/>
      <c r="K6" s="959"/>
      <c r="L6" s="959"/>
      <c r="M6" s="959"/>
      <c r="N6" s="959"/>
      <c r="O6" s="1025">
        <f>SUM(D6:N6)</f>
        <v>78429</v>
      </c>
      <c r="P6" s="683"/>
      <c r="Q6" s="684"/>
      <c r="R6"/>
      <c r="X6" s="120" t="s">
        <v>1129</v>
      </c>
      <c r="Y6" s="178">
        <v>1</v>
      </c>
      <c r="Z6" s="456">
        <v>6400</v>
      </c>
      <c r="AA6" s="457">
        <f t="shared" si="0"/>
        <v>6400</v>
      </c>
      <c r="AB6"/>
      <c r="AC6"/>
      <c r="AD6" t="s">
        <v>1130</v>
      </c>
      <c r="AE6" s="134">
        <v>3175000</v>
      </c>
      <c r="AF6"/>
      <c r="AG6"/>
      <c r="AH6"/>
      <c r="AI6"/>
      <c r="AJ6"/>
      <c r="AK6"/>
      <c r="AL6"/>
      <c r="AM6"/>
      <c r="AN6"/>
    </row>
    <row r="7" spans="1:40" x14ac:dyDescent="0.25">
      <c r="A7" s="1162"/>
      <c r="B7" s="120" t="s">
        <v>224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443"/>
      <c r="Q7" s="447"/>
      <c r="R7"/>
      <c r="X7" s="120" t="s">
        <v>817</v>
      </c>
      <c r="Y7" s="178">
        <v>1</v>
      </c>
      <c r="Z7" s="457">
        <v>40000</v>
      </c>
      <c r="AA7" s="457">
        <f t="shared" si="0"/>
        <v>40000</v>
      </c>
      <c r="AB7"/>
      <c r="AC7"/>
      <c r="AD7" s="88" t="s">
        <v>1131</v>
      </c>
      <c r="AE7" s="961">
        <f>AE6/2</f>
        <v>1587500</v>
      </c>
      <c r="AF7"/>
      <c r="AG7"/>
      <c r="AH7"/>
      <c r="AI7"/>
      <c r="AJ7"/>
      <c r="AK7"/>
      <c r="AL7"/>
      <c r="AM7"/>
      <c r="AN7"/>
    </row>
    <row r="8" spans="1:40" x14ac:dyDescent="0.25">
      <c r="A8" s="1162"/>
      <c r="B8" s="120" t="s">
        <v>224</v>
      </c>
      <c r="C8" s="124" t="s">
        <v>818</v>
      </c>
      <c r="D8" s="124"/>
      <c r="E8" s="124"/>
      <c r="F8" s="124"/>
      <c r="G8" s="124"/>
      <c r="H8" s="124">
        <v>3500</v>
      </c>
      <c r="I8" s="124"/>
      <c r="J8" s="124"/>
      <c r="K8" s="124"/>
      <c r="L8" s="124"/>
      <c r="M8" s="124" t="s">
        <v>1128</v>
      </c>
      <c r="N8" s="124"/>
      <c r="O8" s="124">
        <f>SUM(F8:J8)</f>
        <v>3500</v>
      </c>
      <c r="P8" s="443">
        <v>500</v>
      </c>
      <c r="Q8" s="960">
        <v>20000</v>
      </c>
      <c r="R8"/>
      <c r="X8" s="120" t="s">
        <v>634</v>
      </c>
      <c r="Y8" s="178">
        <v>12</v>
      </c>
      <c r="Z8" s="457">
        <v>850</v>
      </c>
      <c r="AA8" s="457">
        <f t="shared" si="0"/>
        <v>10200</v>
      </c>
      <c r="AB8"/>
      <c r="AC8" s="1132"/>
      <c r="AD8" s="1132"/>
      <c r="AE8" s="1132"/>
      <c r="AF8" s="1132"/>
      <c r="AG8" s="1132"/>
      <c r="AH8" s="1132"/>
      <c r="AI8" s="1132"/>
      <c r="AJ8" s="1132"/>
      <c r="AK8" s="1132"/>
      <c r="AL8" s="1132"/>
      <c r="AM8" s="1132"/>
      <c r="AN8" s="1132"/>
    </row>
    <row r="9" spans="1:40" x14ac:dyDescent="0.25">
      <c r="A9" s="1162"/>
      <c r="B9" s="120" t="s">
        <v>226</v>
      </c>
      <c r="C9" s="124" t="s">
        <v>227</v>
      </c>
      <c r="D9" s="124">
        <f t="shared" ref="D9:I9" si="1">SUM(D6:D7)/185</f>
        <v>51.891891891891895</v>
      </c>
      <c r="E9" s="124">
        <f t="shared" si="1"/>
        <v>121.88108108108108</v>
      </c>
      <c r="F9" s="124">
        <f t="shared" si="1"/>
        <v>161.80000000000001</v>
      </c>
      <c r="G9" s="124">
        <f t="shared" si="1"/>
        <v>68.151351351351352</v>
      </c>
      <c r="H9" s="124">
        <f>SUM(H6:H7)/185</f>
        <v>12.108108108108109</v>
      </c>
      <c r="I9" s="124">
        <f t="shared" si="1"/>
        <v>8.1081081081081088</v>
      </c>
      <c r="J9" s="124">
        <f>J6/175</f>
        <v>0</v>
      </c>
      <c r="K9" s="124"/>
      <c r="L9" s="124"/>
      <c r="M9" s="124"/>
      <c r="N9" s="124"/>
      <c r="O9" s="124">
        <f>SUM(D9:J9)</f>
        <v>423.94054054054061</v>
      </c>
      <c r="P9" s="738"/>
      <c r="Q9" s="960"/>
      <c r="R9"/>
      <c r="X9" s="120" t="s">
        <v>635</v>
      </c>
      <c r="Y9" s="178">
        <v>13</v>
      </c>
      <c r="Z9" s="457">
        <v>9000</v>
      </c>
      <c r="AA9" s="457">
        <f t="shared" si="0"/>
        <v>117000</v>
      </c>
      <c r="AB9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x14ac:dyDescent="0.25">
      <c r="A10" s="1162"/>
      <c r="B10" s="179" t="s">
        <v>228</v>
      </c>
      <c r="C10" s="179" t="s">
        <v>229</v>
      </c>
      <c r="D10" s="179">
        <f t="shared" ref="D10:I10" si="2">220*D9</f>
        <v>11416.216216216217</v>
      </c>
      <c r="E10" s="179">
        <f t="shared" si="2"/>
        <v>26813.837837837837</v>
      </c>
      <c r="F10" s="179">
        <f t="shared" si="2"/>
        <v>35596</v>
      </c>
      <c r="G10" s="179">
        <f t="shared" si="2"/>
        <v>14993.297297297297</v>
      </c>
      <c r="H10" s="179">
        <f t="shared" si="2"/>
        <v>2663.7837837837837</v>
      </c>
      <c r="I10" s="179">
        <f t="shared" si="2"/>
        <v>1783.783783783784</v>
      </c>
      <c r="J10" s="179"/>
      <c r="K10" s="179"/>
      <c r="L10" s="179"/>
      <c r="M10" s="179"/>
      <c r="N10" s="179"/>
      <c r="O10" s="179">
        <f>SUM(D10:J10)</f>
        <v>93266.91891891892</v>
      </c>
      <c r="P10" s="1026">
        <v>6</v>
      </c>
      <c r="Q10" s="963">
        <f t="shared" ref="Q10:Q19" si="3">P10*O10</f>
        <v>559601.51351351349</v>
      </c>
      <c r="R10"/>
      <c r="X10" s="120" t="s">
        <v>1134</v>
      </c>
      <c r="Y10" s="178">
        <v>12</v>
      </c>
      <c r="Z10" s="457">
        <v>5625</v>
      </c>
      <c r="AA10" s="457">
        <f>Z10*Y10</f>
        <v>67500</v>
      </c>
      <c r="AB10"/>
      <c r="AC10" s="962"/>
      <c r="AD10" s="962"/>
      <c r="AE10" s="962"/>
      <c r="AF10" s="962"/>
      <c r="AG10" s="962"/>
      <c r="AH10" s="962"/>
      <c r="AI10" s="962"/>
      <c r="AJ10" s="962"/>
      <c r="AK10" s="962"/>
      <c r="AL10" s="962"/>
      <c r="AM10" s="962"/>
      <c r="AN10" s="962"/>
    </row>
    <row r="11" spans="1:40" x14ac:dyDescent="0.25">
      <c r="A11" s="1162"/>
      <c r="B11" s="120" t="s">
        <v>1358</v>
      </c>
      <c r="C11" s="124" t="s">
        <v>229</v>
      </c>
      <c r="D11" s="124">
        <f t="shared" ref="D11:H11" si="4">D9/20</f>
        <v>2.5945945945945947</v>
      </c>
      <c r="E11" s="124">
        <f t="shared" si="4"/>
        <v>6.0940540540540535</v>
      </c>
      <c r="F11" s="124">
        <f t="shared" si="4"/>
        <v>8.09</v>
      </c>
      <c r="G11" s="124">
        <f t="shared" si="4"/>
        <v>3.4075675675675674</v>
      </c>
      <c r="H11" s="124">
        <f t="shared" si="4"/>
        <v>0.60540540540540544</v>
      </c>
      <c r="I11" s="124">
        <v>0</v>
      </c>
      <c r="J11" s="124"/>
      <c r="K11" s="124"/>
      <c r="L11" s="124"/>
      <c r="M11" s="124"/>
      <c r="N11" s="124"/>
      <c r="O11" s="124">
        <f>SUM(D11:J11)</f>
        <v>20.791621621621623</v>
      </c>
      <c r="P11" s="738">
        <v>60</v>
      </c>
      <c r="Q11" s="960">
        <f t="shared" si="3"/>
        <v>1247.4972972972973</v>
      </c>
      <c r="R11"/>
      <c r="X11" s="120" t="s">
        <v>1136</v>
      </c>
      <c r="Y11" s="178">
        <v>12</v>
      </c>
      <c r="Z11" s="457">
        <v>920.84</v>
      </c>
      <c r="AA11" s="457">
        <f t="shared" si="0"/>
        <v>11050.08</v>
      </c>
      <c r="AB11"/>
      <c r="AC11" s="962"/>
      <c r="AD11" s="962"/>
      <c r="AE11" s="962"/>
      <c r="AF11" s="962"/>
      <c r="AG11" s="962"/>
      <c r="AH11" s="962"/>
      <c r="AI11" s="962"/>
      <c r="AJ11" s="962"/>
      <c r="AK11" s="962"/>
      <c r="AL11" s="962"/>
      <c r="AM11" s="962"/>
      <c r="AN11" s="962"/>
    </row>
    <row r="12" spans="1:40" x14ac:dyDescent="0.25">
      <c r="A12" s="1162"/>
      <c r="B12" s="120" t="s">
        <v>1132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>
        <v>1</v>
      </c>
      <c r="P12" s="738">
        <v>6380</v>
      </c>
      <c r="Q12" s="738">
        <v>6380</v>
      </c>
      <c r="R12"/>
      <c r="X12"/>
      <c r="Y12" s="88" t="s">
        <v>1</v>
      </c>
      <c r="Z12" s="88"/>
      <c r="AA12" s="172">
        <f>SUM(AA4:AA11)</f>
        <v>270917.96000000002</v>
      </c>
      <c r="AB12"/>
      <c r="AC12" s="962"/>
      <c r="AD12" s="962"/>
      <c r="AE12" s="962"/>
      <c r="AF12" s="962"/>
      <c r="AG12" s="962"/>
      <c r="AH12" s="962"/>
      <c r="AI12" s="962"/>
      <c r="AJ12" s="962"/>
      <c r="AK12" s="962"/>
      <c r="AL12" s="962"/>
      <c r="AM12" s="962"/>
      <c r="AN12" s="962"/>
    </row>
    <row r="13" spans="1:40" x14ac:dyDescent="0.25">
      <c r="A13" s="1162"/>
      <c r="B13" s="120" t="s">
        <v>1133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>
        <v>1</v>
      </c>
      <c r="P13" s="738">
        <v>1540</v>
      </c>
      <c r="Q13" s="738">
        <v>1540</v>
      </c>
      <c r="R13"/>
      <c r="X13"/>
      <c r="Y13"/>
      <c r="Z13"/>
      <c r="AA13"/>
      <c r="AB13"/>
      <c r="AC13" s="962"/>
      <c r="AD13" s="962"/>
      <c r="AE13" s="962"/>
      <c r="AF13" s="962"/>
      <c r="AG13" s="962"/>
      <c r="AH13" s="962"/>
      <c r="AI13" s="962"/>
      <c r="AJ13" s="962"/>
      <c r="AK13" s="962"/>
      <c r="AL13" s="962"/>
      <c r="AM13" s="962"/>
      <c r="AN13" s="962"/>
    </row>
    <row r="14" spans="1:40" x14ac:dyDescent="0.25">
      <c r="A14" s="1162"/>
      <c r="B14" s="120" t="s">
        <v>1135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>
        <v>1</v>
      </c>
      <c r="P14" s="738">
        <v>9350</v>
      </c>
      <c r="Q14" s="738">
        <v>9350</v>
      </c>
      <c r="R14"/>
    </row>
    <row r="15" spans="1:40" x14ac:dyDescent="0.25">
      <c r="A15" s="1162"/>
      <c r="B15" s="1027" t="s">
        <v>230</v>
      </c>
      <c r="C15" s="1027" t="s">
        <v>231</v>
      </c>
      <c r="D15" s="1027"/>
      <c r="E15" s="1027"/>
      <c r="F15" s="1027"/>
      <c r="G15" s="1027"/>
      <c r="H15" s="1027"/>
      <c r="I15" s="1027"/>
      <c r="J15" s="1027">
        <v>1</v>
      </c>
      <c r="K15" s="1027"/>
      <c r="L15" s="1027"/>
      <c r="M15" s="1027"/>
      <c r="N15" s="1027"/>
      <c r="O15" s="1027">
        <v>1</v>
      </c>
      <c r="P15" s="1028">
        <v>1070000</v>
      </c>
      <c r="Q15" s="1029">
        <f>P15*O15/10</f>
        <v>107000</v>
      </c>
      <c r="R15"/>
    </row>
    <row r="16" spans="1:40" x14ac:dyDescent="0.25">
      <c r="A16" s="1162"/>
      <c r="B16" s="120" t="s">
        <v>819</v>
      </c>
      <c r="C16" s="124" t="s">
        <v>21</v>
      </c>
      <c r="D16" s="124"/>
      <c r="E16" s="124"/>
      <c r="F16" s="124"/>
      <c r="G16" s="124"/>
      <c r="H16" s="124"/>
      <c r="I16" s="124"/>
      <c r="J16" s="124">
        <v>1</v>
      </c>
      <c r="K16" s="124"/>
      <c r="L16" s="124"/>
      <c r="M16" s="124"/>
      <c r="N16" s="124"/>
      <c r="O16" s="124">
        <f t="shared" ref="O16:O25" si="5">SUM(D16:J16)</f>
        <v>1</v>
      </c>
      <c r="P16" s="738">
        <v>25000</v>
      </c>
      <c r="Q16" s="960">
        <f t="shared" si="3"/>
        <v>25000</v>
      </c>
      <c r="R16" s="964" t="s">
        <v>1137</v>
      </c>
    </row>
    <row r="17" spans="1:20" x14ac:dyDescent="0.25">
      <c r="A17" s="1162"/>
      <c r="B17" s="120" t="s">
        <v>232</v>
      </c>
      <c r="C17" s="124" t="s">
        <v>21</v>
      </c>
      <c r="D17" s="124"/>
      <c r="E17" s="124"/>
      <c r="F17" s="124"/>
      <c r="G17" s="124"/>
      <c r="H17" s="124"/>
      <c r="I17" s="124"/>
      <c r="J17" s="124">
        <v>1</v>
      </c>
      <c r="K17" s="124"/>
      <c r="L17" s="124"/>
      <c r="M17" s="124"/>
      <c r="N17" s="124"/>
      <c r="O17" s="124">
        <f t="shared" si="5"/>
        <v>1</v>
      </c>
      <c r="P17" s="738">
        <v>600</v>
      </c>
      <c r="Q17" s="960">
        <f t="shared" si="3"/>
        <v>600</v>
      </c>
      <c r="R17"/>
    </row>
    <row r="18" spans="1:20" x14ac:dyDescent="0.25">
      <c r="A18" s="1162"/>
      <c r="B18" s="120" t="s">
        <v>1359</v>
      </c>
      <c r="C18" s="124" t="s">
        <v>21</v>
      </c>
      <c r="D18" s="124"/>
      <c r="E18" s="124"/>
      <c r="F18" s="124"/>
      <c r="G18" s="124"/>
      <c r="H18" s="124"/>
      <c r="I18" s="124"/>
      <c r="J18" s="124">
        <v>1</v>
      </c>
      <c r="K18" s="124"/>
      <c r="L18" s="124"/>
      <c r="M18" s="124"/>
      <c r="N18" s="124"/>
      <c r="O18" s="124">
        <f t="shared" si="5"/>
        <v>1</v>
      </c>
      <c r="P18" s="738">
        <v>80000</v>
      </c>
      <c r="Q18" s="960">
        <f t="shared" si="3"/>
        <v>80000</v>
      </c>
      <c r="R18"/>
    </row>
    <row r="19" spans="1:20" x14ac:dyDescent="0.25">
      <c r="A19" s="1162"/>
      <c r="B19" s="120" t="s">
        <v>1360</v>
      </c>
      <c r="C19" s="124" t="s">
        <v>21</v>
      </c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>
        <v>1</v>
      </c>
      <c r="P19" s="738">
        <v>50000</v>
      </c>
      <c r="Q19" s="960">
        <f t="shared" si="3"/>
        <v>50000</v>
      </c>
      <c r="R19"/>
    </row>
    <row r="20" spans="1:20" x14ac:dyDescent="0.25">
      <c r="A20" s="1162"/>
      <c r="B20" s="120" t="s">
        <v>233</v>
      </c>
      <c r="C20" s="124" t="s">
        <v>231</v>
      </c>
      <c r="D20" s="124">
        <v>2</v>
      </c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>
        <f t="shared" si="5"/>
        <v>2</v>
      </c>
      <c r="P20" s="738">
        <v>7000</v>
      </c>
      <c r="Q20" s="960">
        <f>P20*O20</f>
        <v>14000</v>
      </c>
      <c r="R20"/>
    </row>
    <row r="21" spans="1:20" x14ac:dyDescent="0.25">
      <c r="A21" s="1162"/>
      <c r="B21" s="120" t="s">
        <v>234</v>
      </c>
      <c r="C21" s="124" t="s">
        <v>231</v>
      </c>
      <c r="D21" s="124">
        <v>2</v>
      </c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>
        <f t="shared" si="5"/>
        <v>2</v>
      </c>
      <c r="P21" s="738">
        <v>1600</v>
      </c>
      <c r="Q21" s="960">
        <f t="shared" ref="Q21:Q52" si="6">P21*O21</f>
        <v>3200</v>
      </c>
      <c r="R21" s="1172" t="s">
        <v>1139</v>
      </c>
      <c r="S21" s="1173"/>
      <c r="T21" s="1173"/>
    </row>
    <row r="22" spans="1:20" x14ac:dyDescent="0.25">
      <c r="A22" s="1162"/>
      <c r="B22" s="120" t="s">
        <v>235</v>
      </c>
      <c r="C22" s="124" t="s">
        <v>231</v>
      </c>
      <c r="D22" s="124">
        <v>1</v>
      </c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>
        <f t="shared" si="5"/>
        <v>1</v>
      </c>
      <c r="P22" s="738">
        <v>1200</v>
      </c>
      <c r="Q22" s="960">
        <f t="shared" si="6"/>
        <v>1200</v>
      </c>
      <c r="R22"/>
    </row>
    <row r="23" spans="1:20" x14ac:dyDescent="0.25">
      <c r="A23" s="1162"/>
      <c r="B23" s="120" t="s">
        <v>236</v>
      </c>
      <c r="C23" s="124" t="s">
        <v>231</v>
      </c>
      <c r="D23" s="124">
        <v>1</v>
      </c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>
        <f t="shared" si="5"/>
        <v>1</v>
      </c>
      <c r="P23" s="738">
        <v>550</v>
      </c>
      <c r="Q23" s="960">
        <f t="shared" si="6"/>
        <v>550</v>
      </c>
      <c r="R23"/>
    </row>
    <row r="24" spans="1:20" x14ac:dyDescent="0.25">
      <c r="A24" s="1162"/>
      <c r="B24" s="1030" t="s">
        <v>1138</v>
      </c>
      <c r="C24" s="1031"/>
      <c r="D24" s="1031"/>
      <c r="E24" s="1031"/>
      <c r="F24" s="1031"/>
      <c r="G24" s="1031"/>
      <c r="H24" s="1031"/>
      <c r="I24" s="1031"/>
      <c r="J24" s="1031"/>
      <c r="K24" s="1031"/>
      <c r="L24" s="1031"/>
      <c r="M24" s="1031"/>
      <c r="N24" s="1031"/>
      <c r="O24" s="1031">
        <v>1</v>
      </c>
      <c r="P24" s="1032">
        <v>150000</v>
      </c>
      <c r="Q24" s="1033">
        <f>O24*P24</f>
        <v>150000</v>
      </c>
      <c r="R24"/>
    </row>
    <row r="25" spans="1:20" x14ac:dyDescent="0.25">
      <c r="A25" s="1162"/>
      <c r="B25" s="120" t="s">
        <v>237</v>
      </c>
      <c r="C25" s="120" t="s">
        <v>231</v>
      </c>
      <c r="D25" s="120"/>
      <c r="E25" s="120"/>
      <c r="F25" s="120">
        <v>12</v>
      </c>
      <c r="G25" s="120"/>
      <c r="H25" s="120"/>
      <c r="I25" s="120"/>
      <c r="J25" s="120">
        <v>24</v>
      </c>
      <c r="K25" s="120"/>
      <c r="L25" s="120"/>
      <c r="M25" s="120"/>
      <c r="N25" s="120"/>
      <c r="O25" s="120">
        <f t="shared" si="5"/>
        <v>36</v>
      </c>
      <c r="P25" s="443">
        <v>75</v>
      </c>
      <c r="Q25" s="447">
        <f t="shared" si="6"/>
        <v>2700</v>
      </c>
      <c r="R25"/>
    </row>
    <row r="26" spans="1:20" x14ac:dyDescent="0.25">
      <c r="A26" s="1162"/>
      <c r="B26" s="120" t="s">
        <v>1140</v>
      </c>
      <c r="C26" s="120" t="s">
        <v>231</v>
      </c>
      <c r="D26" s="120"/>
      <c r="E26" s="120">
        <v>1</v>
      </c>
      <c r="F26" s="120"/>
      <c r="G26" s="120">
        <v>1</v>
      </c>
      <c r="H26" s="120"/>
      <c r="I26" s="120"/>
      <c r="J26" s="120"/>
      <c r="K26" s="120"/>
      <c r="L26" s="120"/>
      <c r="M26" s="120"/>
      <c r="N26" s="120"/>
      <c r="O26" s="120">
        <v>3</v>
      </c>
      <c r="P26" s="443">
        <v>30</v>
      </c>
      <c r="Q26" s="443">
        <v>90</v>
      </c>
      <c r="R26"/>
    </row>
    <row r="27" spans="1:20" x14ac:dyDescent="0.25">
      <c r="A27" s="1162"/>
      <c r="B27" s="1034" t="s">
        <v>1361</v>
      </c>
      <c r="C27" s="1034" t="s">
        <v>231</v>
      </c>
      <c r="D27" s="1034"/>
      <c r="E27" s="1034">
        <v>2</v>
      </c>
      <c r="F27" s="1034">
        <v>2</v>
      </c>
      <c r="G27" s="1034">
        <v>2</v>
      </c>
      <c r="H27" s="1034"/>
      <c r="I27" s="1034"/>
      <c r="J27" s="1034"/>
      <c r="K27" s="1034"/>
      <c r="L27" s="1034"/>
      <c r="M27" s="1034"/>
      <c r="N27" s="1034"/>
      <c r="O27" s="1034">
        <v>6</v>
      </c>
      <c r="P27" s="1035">
        <v>380</v>
      </c>
      <c r="Q27" s="1036">
        <f t="shared" si="6"/>
        <v>2280</v>
      </c>
      <c r="R27"/>
    </row>
    <row r="28" spans="1:20" x14ac:dyDescent="0.25">
      <c r="A28" s="1162"/>
      <c r="B28" s="120" t="s">
        <v>238</v>
      </c>
      <c r="C28" s="120" t="s">
        <v>231</v>
      </c>
      <c r="D28" s="120">
        <v>1</v>
      </c>
      <c r="E28" s="120"/>
      <c r="F28" s="120">
        <v>1</v>
      </c>
      <c r="G28" s="120"/>
      <c r="H28" s="120"/>
      <c r="I28" s="120">
        <v>1</v>
      </c>
      <c r="J28" s="120"/>
      <c r="K28" s="120"/>
      <c r="L28" s="120"/>
      <c r="M28" s="120"/>
      <c r="N28" s="120"/>
      <c r="O28" s="120">
        <f>SUM(D28:J28)</f>
        <v>3</v>
      </c>
      <c r="P28" s="443">
        <v>65</v>
      </c>
      <c r="Q28" s="447">
        <f t="shared" si="6"/>
        <v>195</v>
      </c>
      <c r="R28"/>
    </row>
    <row r="29" spans="1:20" x14ac:dyDescent="0.25">
      <c r="A29" s="1162"/>
      <c r="B29" s="120" t="s">
        <v>239</v>
      </c>
      <c r="C29" s="120" t="s">
        <v>231</v>
      </c>
      <c r="D29" s="120">
        <v>1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>
        <f>SUM(D29:J29)</f>
        <v>1</v>
      </c>
      <c r="P29" s="443">
        <v>120</v>
      </c>
      <c r="Q29" s="447">
        <f t="shared" si="6"/>
        <v>120</v>
      </c>
      <c r="R29"/>
    </row>
    <row r="30" spans="1:20" x14ac:dyDescent="0.25">
      <c r="A30" s="1162"/>
      <c r="B30" s="120" t="s">
        <v>240</v>
      </c>
      <c r="C30" s="120" t="s">
        <v>231</v>
      </c>
      <c r="D30" s="120">
        <v>1</v>
      </c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>
        <f>SUM(D30:J30)</f>
        <v>1</v>
      </c>
      <c r="P30" s="443">
        <v>230</v>
      </c>
      <c r="Q30" s="447">
        <f t="shared" si="6"/>
        <v>230</v>
      </c>
      <c r="R30"/>
    </row>
    <row r="31" spans="1:20" x14ac:dyDescent="0.25">
      <c r="A31" s="1163"/>
      <c r="B31" s="425" t="s">
        <v>630</v>
      </c>
      <c r="C31" s="425" t="s">
        <v>631</v>
      </c>
      <c r="D31" s="425">
        <v>2</v>
      </c>
      <c r="E31" s="425"/>
      <c r="F31" s="425"/>
      <c r="G31" s="425"/>
      <c r="H31" s="425"/>
      <c r="I31" s="425"/>
      <c r="J31" s="425"/>
      <c r="K31" s="425"/>
      <c r="L31" s="425"/>
      <c r="M31" s="425"/>
      <c r="N31" s="425"/>
      <c r="O31" s="425">
        <v>2</v>
      </c>
      <c r="P31" s="444">
        <v>375</v>
      </c>
      <c r="Q31" s="448">
        <f t="shared" si="6"/>
        <v>750</v>
      </c>
      <c r="R31"/>
    </row>
    <row r="32" spans="1:20" x14ac:dyDescent="0.25">
      <c r="A32" s="1163"/>
      <c r="B32" s="529" t="s">
        <v>1362</v>
      </c>
      <c r="C32" s="529" t="s">
        <v>631</v>
      </c>
      <c r="D32" s="529">
        <v>42</v>
      </c>
      <c r="E32" s="529"/>
      <c r="F32" s="529"/>
      <c r="G32" s="529"/>
      <c r="H32" s="529"/>
      <c r="I32" s="529"/>
      <c r="J32" s="529"/>
      <c r="K32" s="529"/>
      <c r="L32" s="529"/>
      <c r="M32" s="529"/>
      <c r="N32" s="529"/>
      <c r="O32" s="529">
        <v>42</v>
      </c>
      <c r="P32" s="965">
        <v>521.38</v>
      </c>
      <c r="Q32" s="966">
        <f t="shared" si="6"/>
        <v>21897.96</v>
      </c>
      <c r="R32"/>
    </row>
    <row r="33" spans="1:18" x14ac:dyDescent="0.25">
      <c r="A33" s="1163"/>
      <c r="B33" s="425" t="s">
        <v>1363</v>
      </c>
      <c r="C33" s="425" t="s">
        <v>631</v>
      </c>
      <c r="D33" s="425">
        <v>1</v>
      </c>
      <c r="E33" s="425"/>
      <c r="F33" s="425"/>
      <c r="G33" s="425"/>
      <c r="H33" s="425"/>
      <c r="I33" s="425"/>
      <c r="J33" s="425"/>
      <c r="K33" s="425"/>
      <c r="L33" s="425"/>
      <c r="M33" s="425"/>
      <c r="N33" s="425"/>
      <c r="O33" s="425">
        <v>1</v>
      </c>
      <c r="P33" s="444">
        <v>7156.59</v>
      </c>
      <c r="Q33" s="448">
        <f t="shared" si="6"/>
        <v>7156.59</v>
      </c>
      <c r="R33"/>
    </row>
    <row r="34" spans="1:18" x14ac:dyDescent="0.25">
      <c r="A34" s="1163"/>
      <c r="B34" s="425" t="s">
        <v>1364</v>
      </c>
      <c r="C34" s="425" t="s">
        <v>631</v>
      </c>
      <c r="D34" s="425">
        <v>1</v>
      </c>
      <c r="E34" s="425"/>
      <c r="F34" s="425"/>
      <c r="G34" s="425"/>
      <c r="H34" s="425"/>
      <c r="I34" s="425"/>
      <c r="J34" s="425"/>
      <c r="K34" s="425"/>
      <c r="L34" s="425"/>
      <c r="M34" s="425"/>
      <c r="N34" s="425"/>
      <c r="O34" s="425">
        <f>SUM(D34:N34)</f>
        <v>1</v>
      </c>
      <c r="P34" s="444">
        <v>65</v>
      </c>
      <c r="Q34" s="448">
        <f t="shared" si="6"/>
        <v>65</v>
      </c>
      <c r="R34"/>
    </row>
    <row r="35" spans="1:18" ht="15.75" thickBot="1" x14ac:dyDescent="0.3">
      <c r="A35" s="1164"/>
      <c r="B35" s="528" t="s">
        <v>241</v>
      </c>
      <c r="C35" s="528" t="s">
        <v>231</v>
      </c>
      <c r="D35" s="528">
        <v>36</v>
      </c>
      <c r="E35" s="445"/>
      <c r="F35" s="445"/>
      <c r="G35" s="445"/>
      <c r="H35" s="445"/>
      <c r="I35" s="445"/>
      <c r="J35" s="445"/>
      <c r="K35" s="445"/>
      <c r="L35" s="445"/>
      <c r="M35" s="445"/>
      <c r="N35" s="445"/>
      <c r="O35" s="445">
        <f>SUM(D35:J35)</f>
        <v>36</v>
      </c>
      <c r="P35" s="446">
        <v>4</v>
      </c>
      <c r="Q35" s="449">
        <f t="shared" si="6"/>
        <v>144</v>
      </c>
      <c r="R35"/>
    </row>
    <row r="36" spans="1:18" x14ac:dyDescent="0.25">
      <c r="A36" s="1162" t="s">
        <v>1365</v>
      </c>
      <c r="B36" s="179" t="s">
        <v>243</v>
      </c>
      <c r="C36" s="179" t="s">
        <v>244</v>
      </c>
      <c r="D36" s="179">
        <v>20</v>
      </c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>
        <f t="shared" ref="O36:O52" si="7">SUM(D36:J36)</f>
        <v>20</v>
      </c>
      <c r="P36" s="443">
        <v>75</v>
      </c>
      <c r="Q36" s="447">
        <f t="shared" si="6"/>
        <v>1500</v>
      </c>
      <c r="R36"/>
    </row>
    <row r="37" spans="1:18" x14ac:dyDescent="0.25">
      <c r="A37" s="1162"/>
      <c r="B37" s="179" t="s">
        <v>245</v>
      </c>
      <c r="C37" s="179" t="s">
        <v>231</v>
      </c>
      <c r="D37" s="179">
        <v>4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>
        <f t="shared" si="7"/>
        <v>4</v>
      </c>
      <c r="P37" s="443">
        <v>160</v>
      </c>
      <c r="Q37" s="447">
        <f t="shared" si="6"/>
        <v>640</v>
      </c>
      <c r="R37"/>
    </row>
    <row r="38" spans="1:18" x14ac:dyDescent="0.25">
      <c r="A38" s="1162"/>
      <c r="B38" s="179" t="s">
        <v>1141</v>
      </c>
      <c r="C38" s="179" t="s">
        <v>231</v>
      </c>
      <c r="D38" s="179">
        <v>1</v>
      </c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>
        <v>1</v>
      </c>
      <c r="P38" s="443">
        <v>45</v>
      </c>
      <c r="Q38" s="443">
        <v>45</v>
      </c>
      <c r="R38"/>
    </row>
    <row r="39" spans="1:18" x14ac:dyDescent="0.25">
      <c r="A39" s="1162"/>
      <c r="B39" s="179" t="s">
        <v>246</v>
      </c>
      <c r="C39" s="179" t="s">
        <v>231</v>
      </c>
      <c r="D39" s="179">
        <v>2</v>
      </c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>
        <f t="shared" si="7"/>
        <v>2</v>
      </c>
      <c r="P39" s="443">
        <v>600</v>
      </c>
      <c r="Q39" s="447">
        <f t="shared" si="6"/>
        <v>1200</v>
      </c>
      <c r="R39"/>
    </row>
    <row r="40" spans="1:18" x14ac:dyDescent="0.25">
      <c r="A40" s="1162"/>
      <c r="B40" s="179" t="s">
        <v>247</v>
      </c>
      <c r="C40" s="179" t="s">
        <v>242</v>
      </c>
      <c r="D40" s="179">
        <v>30</v>
      </c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>
        <f t="shared" si="7"/>
        <v>30</v>
      </c>
      <c r="P40" s="443">
        <v>60</v>
      </c>
      <c r="Q40" s="447">
        <f t="shared" si="6"/>
        <v>1800</v>
      </c>
      <c r="R40"/>
    </row>
    <row r="41" spans="1:18" x14ac:dyDescent="0.25">
      <c r="A41" s="1162"/>
      <c r="B41" s="179" t="s">
        <v>1142</v>
      </c>
      <c r="C41" s="179" t="s">
        <v>231</v>
      </c>
      <c r="D41" s="179">
        <v>2</v>
      </c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>
        <f t="shared" si="7"/>
        <v>2</v>
      </c>
      <c r="P41" s="443">
        <v>60</v>
      </c>
      <c r="Q41" s="447">
        <f t="shared" si="6"/>
        <v>120</v>
      </c>
      <c r="R41"/>
    </row>
    <row r="42" spans="1:18" x14ac:dyDescent="0.25">
      <c r="A42" s="1162"/>
      <c r="B42" s="179" t="s">
        <v>248</v>
      </c>
      <c r="C42" s="179" t="s">
        <v>231</v>
      </c>
      <c r="D42" s="179">
        <v>4</v>
      </c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>
        <f t="shared" si="7"/>
        <v>4</v>
      </c>
      <c r="P42" s="443">
        <v>175</v>
      </c>
      <c r="Q42" s="447">
        <f t="shared" si="6"/>
        <v>700</v>
      </c>
      <c r="R42"/>
    </row>
    <row r="43" spans="1:18" x14ac:dyDescent="0.25">
      <c r="A43" s="1162"/>
      <c r="B43" s="179" t="s">
        <v>249</v>
      </c>
      <c r="C43" s="179" t="s">
        <v>231</v>
      </c>
      <c r="D43" s="179">
        <v>2</v>
      </c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>
        <f t="shared" si="7"/>
        <v>2</v>
      </c>
      <c r="P43" s="443">
        <v>75</v>
      </c>
      <c r="Q43" s="447">
        <f t="shared" si="6"/>
        <v>150</v>
      </c>
      <c r="R43"/>
    </row>
    <row r="44" spans="1:18" x14ac:dyDescent="0.25">
      <c r="A44" s="1162"/>
      <c r="B44" s="179" t="s">
        <v>250</v>
      </c>
      <c r="C44" s="179" t="s">
        <v>231</v>
      </c>
      <c r="D44" s="179">
        <v>4</v>
      </c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>
        <f t="shared" si="7"/>
        <v>4</v>
      </c>
      <c r="P44" s="443">
        <v>230</v>
      </c>
      <c r="Q44" s="447">
        <f t="shared" si="6"/>
        <v>920</v>
      </c>
      <c r="R44"/>
    </row>
    <row r="45" spans="1:18" x14ac:dyDescent="0.25">
      <c r="A45" s="1162"/>
      <c r="B45" s="179" t="s">
        <v>251</v>
      </c>
      <c r="C45" s="179" t="s">
        <v>242</v>
      </c>
      <c r="D45" s="179">
        <v>10</v>
      </c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>
        <f t="shared" si="7"/>
        <v>10</v>
      </c>
      <c r="P45" s="443">
        <v>25</v>
      </c>
      <c r="Q45" s="447">
        <f t="shared" si="6"/>
        <v>250</v>
      </c>
      <c r="R45"/>
    </row>
    <row r="46" spans="1:18" x14ac:dyDescent="0.25">
      <c r="A46" s="1162"/>
      <c r="B46" s="179" t="s">
        <v>252</v>
      </c>
      <c r="C46" s="179" t="s">
        <v>242</v>
      </c>
      <c r="D46" s="179">
        <v>15</v>
      </c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>
        <f t="shared" si="7"/>
        <v>15</v>
      </c>
      <c r="P46" s="443">
        <v>25</v>
      </c>
      <c r="Q46" s="447">
        <f t="shared" si="6"/>
        <v>375</v>
      </c>
      <c r="R46"/>
    </row>
    <row r="47" spans="1:18" x14ac:dyDescent="0.25">
      <c r="A47" s="1162"/>
      <c r="B47" s="179" t="s">
        <v>253</v>
      </c>
      <c r="C47" s="179" t="s">
        <v>231</v>
      </c>
      <c r="D47" s="179">
        <v>4</v>
      </c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>
        <f t="shared" si="7"/>
        <v>4</v>
      </c>
      <c r="P47" s="443">
        <v>120</v>
      </c>
      <c r="Q47" s="447">
        <f t="shared" si="6"/>
        <v>480</v>
      </c>
      <c r="R47"/>
    </row>
    <row r="48" spans="1:18" x14ac:dyDescent="0.25">
      <c r="A48" s="1162"/>
      <c r="B48" s="179" t="s">
        <v>1366</v>
      </c>
      <c r="C48" s="179" t="s">
        <v>1367</v>
      </c>
      <c r="D48" s="179">
        <v>8</v>
      </c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>
        <f t="shared" si="7"/>
        <v>8</v>
      </c>
      <c r="P48" s="443">
        <v>8.9</v>
      </c>
      <c r="Q48" s="447">
        <f t="shared" si="6"/>
        <v>71.2</v>
      </c>
      <c r="R48"/>
    </row>
    <row r="49" spans="1:18" x14ac:dyDescent="0.25">
      <c r="A49" s="1162"/>
      <c r="B49" s="179" t="s">
        <v>1368</v>
      </c>
      <c r="C49" s="179" t="s">
        <v>1367</v>
      </c>
      <c r="D49" s="179">
        <v>1</v>
      </c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>
        <f t="shared" si="7"/>
        <v>1</v>
      </c>
      <c r="P49" s="443">
        <v>32</v>
      </c>
      <c r="Q49" s="447">
        <f t="shared" si="6"/>
        <v>32</v>
      </c>
      <c r="R49"/>
    </row>
    <row r="50" spans="1:18" x14ac:dyDescent="0.25">
      <c r="A50" s="1162"/>
      <c r="B50" s="179" t="s">
        <v>1143</v>
      </c>
      <c r="C50" s="179" t="s">
        <v>231</v>
      </c>
      <c r="D50" s="179">
        <v>3</v>
      </c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>
        <f t="shared" si="7"/>
        <v>3</v>
      </c>
      <c r="P50" s="443">
        <v>20</v>
      </c>
      <c r="Q50" s="447">
        <f t="shared" si="6"/>
        <v>60</v>
      </c>
      <c r="R50"/>
    </row>
    <row r="51" spans="1:18" x14ac:dyDescent="0.25">
      <c r="A51" s="1162"/>
      <c r="B51" s="179" t="s">
        <v>254</v>
      </c>
      <c r="C51" s="179" t="s">
        <v>231</v>
      </c>
      <c r="D51" s="179">
        <v>2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>
        <v>2</v>
      </c>
      <c r="P51" s="443">
        <v>1000</v>
      </c>
      <c r="Q51" s="447">
        <f t="shared" si="6"/>
        <v>2000</v>
      </c>
      <c r="R51"/>
    </row>
    <row r="52" spans="1:18" x14ac:dyDescent="0.25">
      <c r="A52" s="1163"/>
      <c r="B52" s="529" t="s">
        <v>820</v>
      </c>
      <c r="C52" s="529" t="s">
        <v>1144</v>
      </c>
      <c r="D52" s="529">
        <v>1</v>
      </c>
      <c r="E52" s="425"/>
      <c r="F52" s="425"/>
      <c r="G52" s="425"/>
      <c r="H52" s="425"/>
      <c r="I52" s="425"/>
      <c r="J52" s="425"/>
      <c r="K52" s="425"/>
      <c r="L52" s="425"/>
      <c r="M52" s="425"/>
      <c r="N52" s="425"/>
      <c r="O52" s="425">
        <f t="shared" si="7"/>
        <v>1</v>
      </c>
      <c r="P52" s="444">
        <v>12000</v>
      </c>
      <c r="Q52" s="448">
        <f t="shared" si="6"/>
        <v>12000</v>
      </c>
      <c r="R52"/>
    </row>
    <row r="53" spans="1:18" x14ac:dyDescent="0.25">
      <c r="A53" s="1163"/>
      <c r="B53" s="529" t="s">
        <v>1145</v>
      </c>
      <c r="C53" s="529" t="s">
        <v>1144</v>
      </c>
      <c r="D53" s="529">
        <v>1</v>
      </c>
      <c r="E53" s="425"/>
      <c r="F53" s="425"/>
      <c r="G53" s="425"/>
      <c r="H53" s="425"/>
      <c r="I53" s="425"/>
      <c r="J53" s="425"/>
      <c r="K53" s="425"/>
      <c r="L53" s="425"/>
      <c r="M53" s="425"/>
      <c r="N53" s="425"/>
      <c r="O53" s="425">
        <v>1</v>
      </c>
      <c r="P53" s="444">
        <v>1400</v>
      </c>
      <c r="Q53" s="444">
        <f>O53*P53</f>
        <v>1400</v>
      </c>
      <c r="R53"/>
    </row>
    <row r="54" spans="1:18" ht="15.75" thickBot="1" x14ac:dyDescent="0.3">
      <c r="A54" s="1164"/>
      <c r="B54" s="528" t="s">
        <v>255</v>
      </c>
      <c r="C54" s="528" t="s">
        <v>231</v>
      </c>
      <c r="D54" s="528">
        <v>1</v>
      </c>
      <c r="E54" s="445"/>
      <c r="F54" s="445"/>
      <c r="G54" s="445"/>
      <c r="H54" s="445"/>
      <c r="I54" s="445"/>
      <c r="J54" s="445"/>
      <c r="K54" s="445"/>
      <c r="L54" s="445"/>
      <c r="M54" s="445"/>
      <c r="N54" s="445"/>
      <c r="O54" s="445">
        <v>1</v>
      </c>
      <c r="P54" s="446">
        <v>4000</v>
      </c>
      <c r="Q54" s="449">
        <v>4000</v>
      </c>
      <c r="R54"/>
    </row>
    <row r="55" spans="1:18" x14ac:dyDescent="0.25">
      <c r="A55" s="1165" t="s">
        <v>678</v>
      </c>
      <c r="B55" s="1037" t="s">
        <v>224</v>
      </c>
      <c r="C55" s="1037" t="s">
        <v>256</v>
      </c>
      <c r="D55" s="1037">
        <v>5000</v>
      </c>
      <c r="E55" s="450">
        <v>6000</v>
      </c>
      <c r="F55" s="450">
        <v>6000</v>
      </c>
      <c r="G55" s="450">
        <v>6000</v>
      </c>
      <c r="H55" s="450">
        <v>6000</v>
      </c>
      <c r="I55" s="450">
        <v>4000</v>
      </c>
      <c r="J55" s="450"/>
      <c r="K55" s="450"/>
      <c r="L55" s="450"/>
      <c r="M55" s="450"/>
      <c r="N55" s="450"/>
      <c r="O55" s="450">
        <f>SUM(D55:J55)</f>
        <v>33000</v>
      </c>
      <c r="P55" s="451"/>
      <c r="Q55" s="452"/>
      <c r="R55"/>
    </row>
    <row r="56" spans="1:18" x14ac:dyDescent="0.25">
      <c r="A56" s="1166"/>
      <c r="B56" s="179" t="s">
        <v>257</v>
      </c>
      <c r="C56" s="179" t="s">
        <v>229</v>
      </c>
      <c r="D56" s="179">
        <f t="shared" ref="D56:J56" si="8">D55/8</f>
        <v>625</v>
      </c>
      <c r="E56" s="120">
        <f t="shared" si="8"/>
        <v>750</v>
      </c>
      <c r="F56" s="120">
        <f t="shared" si="8"/>
        <v>750</v>
      </c>
      <c r="G56" s="120">
        <f t="shared" si="8"/>
        <v>750</v>
      </c>
      <c r="H56" s="120">
        <f t="shared" si="8"/>
        <v>750</v>
      </c>
      <c r="I56" s="120">
        <f t="shared" si="8"/>
        <v>500</v>
      </c>
      <c r="J56" s="120">
        <f t="shared" si="8"/>
        <v>0</v>
      </c>
      <c r="K56" s="120"/>
      <c r="L56" s="120"/>
      <c r="M56" s="120"/>
      <c r="N56" s="120"/>
      <c r="O56" s="179">
        <f>SUM(D56:J56)</f>
        <v>4125</v>
      </c>
      <c r="P56" s="443">
        <v>5.8</v>
      </c>
      <c r="Q56" s="447">
        <f t="shared" ref="Q56:Q64" si="9">P56*O56</f>
        <v>23925</v>
      </c>
      <c r="R56"/>
    </row>
    <row r="57" spans="1:18" x14ac:dyDescent="0.25">
      <c r="A57" s="1166"/>
      <c r="B57" s="179" t="s">
        <v>258</v>
      </c>
      <c r="C57" s="179" t="s">
        <v>229</v>
      </c>
      <c r="D57" s="179">
        <v>10</v>
      </c>
      <c r="E57" s="120">
        <v>3</v>
      </c>
      <c r="F57" s="120">
        <v>10</v>
      </c>
      <c r="G57" s="120">
        <v>3</v>
      </c>
      <c r="H57" s="120">
        <v>10</v>
      </c>
      <c r="I57" s="120"/>
      <c r="J57" s="120"/>
      <c r="K57" s="120"/>
      <c r="L57" s="120"/>
      <c r="M57" s="120"/>
      <c r="N57" s="120"/>
      <c r="O57" s="120">
        <f>SUM(D57:J57)</f>
        <v>36</v>
      </c>
      <c r="P57" s="443">
        <v>25</v>
      </c>
      <c r="Q57" s="447">
        <f t="shared" si="9"/>
        <v>900</v>
      </c>
      <c r="R57"/>
    </row>
    <row r="58" spans="1:18" x14ac:dyDescent="0.25">
      <c r="A58" s="1166"/>
      <c r="B58" s="179" t="s">
        <v>259</v>
      </c>
      <c r="C58" s="179" t="s">
        <v>229</v>
      </c>
      <c r="D58" s="179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443"/>
      <c r="Q58" s="447">
        <f t="shared" si="9"/>
        <v>0</v>
      </c>
      <c r="R58"/>
    </row>
    <row r="59" spans="1:18" x14ac:dyDescent="0.25">
      <c r="A59" s="1166"/>
      <c r="B59" s="179" t="s">
        <v>5</v>
      </c>
      <c r="C59" s="179" t="s">
        <v>260</v>
      </c>
      <c r="D59" s="179">
        <v>5</v>
      </c>
      <c r="E59" s="120">
        <v>5</v>
      </c>
      <c r="F59" s="120">
        <v>5</v>
      </c>
      <c r="G59" s="120">
        <v>5</v>
      </c>
      <c r="H59" s="120">
        <v>5</v>
      </c>
      <c r="I59" s="120">
        <v>5</v>
      </c>
      <c r="J59" s="120"/>
      <c r="K59" s="120"/>
      <c r="L59" s="120"/>
      <c r="M59" s="120"/>
      <c r="N59" s="120"/>
      <c r="O59" s="120">
        <f t="shared" ref="O59:O64" si="10">SUM(D59:J59)</f>
        <v>30</v>
      </c>
      <c r="P59" s="443">
        <v>40</v>
      </c>
      <c r="Q59" s="447">
        <f t="shared" si="9"/>
        <v>1200</v>
      </c>
      <c r="R59"/>
    </row>
    <row r="60" spans="1:18" x14ac:dyDescent="0.25">
      <c r="A60" s="1166"/>
      <c r="B60" s="179" t="s">
        <v>821</v>
      </c>
      <c r="C60" s="179" t="s">
        <v>242</v>
      </c>
      <c r="D60" s="179">
        <v>10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>
        <f t="shared" si="10"/>
        <v>10</v>
      </c>
      <c r="P60" s="443">
        <v>70</v>
      </c>
      <c r="Q60" s="447">
        <f t="shared" si="9"/>
        <v>700</v>
      </c>
      <c r="R60"/>
    </row>
    <row r="61" spans="1:18" x14ac:dyDescent="0.25">
      <c r="A61" s="1166"/>
      <c r="B61" s="179" t="s">
        <v>261</v>
      </c>
      <c r="C61" s="179" t="s">
        <v>231</v>
      </c>
      <c r="D61" s="179">
        <v>1</v>
      </c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>
        <f t="shared" si="10"/>
        <v>1</v>
      </c>
      <c r="P61" s="443">
        <v>1500</v>
      </c>
      <c r="Q61" s="447">
        <f t="shared" si="9"/>
        <v>1500</v>
      </c>
      <c r="R61"/>
    </row>
    <row r="62" spans="1:18" x14ac:dyDescent="0.25">
      <c r="A62" s="1166"/>
      <c r="B62" s="179" t="s">
        <v>262</v>
      </c>
      <c r="C62" s="179" t="s">
        <v>231</v>
      </c>
      <c r="D62" s="179">
        <v>1</v>
      </c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>
        <f t="shared" si="10"/>
        <v>1</v>
      </c>
      <c r="P62" s="443">
        <v>160</v>
      </c>
      <c r="Q62" s="447">
        <f t="shared" si="9"/>
        <v>160</v>
      </c>
      <c r="R62"/>
    </row>
    <row r="63" spans="1:18" x14ac:dyDescent="0.25">
      <c r="A63" s="1166"/>
      <c r="B63" s="179" t="s">
        <v>254</v>
      </c>
      <c r="C63" s="179" t="s">
        <v>231</v>
      </c>
      <c r="D63" s="179">
        <v>2</v>
      </c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>
        <f t="shared" si="10"/>
        <v>2</v>
      </c>
      <c r="P63" s="443">
        <v>1500</v>
      </c>
      <c r="Q63" s="447">
        <f t="shared" si="9"/>
        <v>3000</v>
      </c>
      <c r="R63"/>
    </row>
    <row r="64" spans="1:18" x14ac:dyDescent="0.25">
      <c r="A64" s="1166"/>
      <c r="B64" s="529" t="s">
        <v>1369</v>
      </c>
      <c r="C64" s="529" t="s">
        <v>1370</v>
      </c>
      <c r="D64" s="529">
        <v>2</v>
      </c>
      <c r="E64" s="425">
        <v>2</v>
      </c>
      <c r="F64" s="425">
        <v>2</v>
      </c>
      <c r="G64" s="425">
        <v>2</v>
      </c>
      <c r="H64" s="425"/>
      <c r="I64" s="425"/>
      <c r="J64" s="425"/>
      <c r="K64" s="425"/>
      <c r="L64" s="425"/>
      <c r="M64" s="425"/>
      <c r="N64" s="425"/>
      <c r="O64" s="425">
        <f t="shared" si="10"/>
        <v>8</v>
      </c>
      <c r="P64" s="444">
        <v>25</v>
      </c>
      <c r="Q64" s="448">
        <f t="shared" si="9"/>
        <v>200</v>
      </c>
      <c r="R64"/>
    </row>
    <row r="65" spans="1:18" ht="15.75" thickBot="1" x14ac:dyDescent="0.3">
      <c r="A65" s="1167"/>
      <c r="B65" s="528" t="s">
        <v>1371</v>
      </c>
      <c r="C65" s="528" t="s">
        <v>21</v>
      </c>
      <c r="D65" s="528">
        <v>1</v>
      </c>
      <c r="E65" s="445"/>
      <c r="F65" s="445"/>
      <c r="G65" s="445"/>
      <c r="H65" s="445"/>
      <c r="I65" s="445"/>
      <c r="J65" s="445"/>
      <c r="K65" s="445"/>
      <c r="L65" s="445"/>
      <c r="M65" s="445"/>
      <c r="N65" s="445"/>
      <c r="O65" s="445">
        <v>1</v>
      </c>
      <c r="P65" s="446">
        <v>499</v>
      </c>
      <c r="Q65" s="449">
        <v>499</v>
      </c>
      <c r="R65"/>
    </row>
    <row r="66" spans="1:18" ht="15.75" thickBot="1" x14ac:dyDescent="0.3">
      <c r="A66" s="685" t="s">
        <v>679</v>
      </c>
      <c r="B66" s="1038" t="s">
        <v>263</v>
      </c>
      <c r="C66" s="1038" t="s">
        <v>231</v>
      </c>
      <c r="D66" s="1038">
        <v>1</v>
      </c>
      <c r="E66" s="453">
        <v>2</v>
      </c>
      <c r="F66" s="453">
        <v>1</v>
      </c>
      <c r="G66" s="453">
        <v>1</v>
      </c>
      <c r="H66" s="453"/>
      <c r="I66" s="453"/>
      <c r="J66" s="453"/>
      <c r="K66" s="453"/>
      <c r="L66" s="453"/>
      <c r="M66" s="453"/>
      <c r="N66" s="453"/>
      <c r="O66" s="453">
        <f>SUM(D66:N66)</f>
        <v>5</v>
      </c>
      <c r="P66" s="454">
        <v>250</v>
      </c>
      <c r="Q66" s="455">
        <f>P66*O66</f>
        <v>1250</v>
      </c>
      <c r="R66"/>
    </row>
    <row r="67" spans="1:18" ht="15.75" thickBot="1" x14ac:dyDescent="0.3">
      <c r="A67" s="1168" t="s">
        <v>680</v>
      </c>
      <c r="B67" s="1037" t="s">
        <v>264</v>
      </c>
      <c r="C67" s="1037" t="s">
        <v>265</v>
      </c>
      <c r="D67" s="1037">
        <v>1</v>
      </c>
      <c r="E67" s="450"/>
      <c r="F67" s="450"/>
      <c r="G67" s="450"/>
      <c r="H67" s="450"/>
      <c r="I67" s="450"/>
      <c r="J67" s="450"/>
      <c r="K67" s="450"/>
      <c r="L67" s="450"/>
      <c r="M67" s="450"/>
      <c r="N67" s="450"/>
      <c r="O67" s="450">
        <f>SUM(D67:N67)</f>
        <v>1</v>
      </c>
      <c r="P67" s="451">
        <v>280</v>
      </c>
      <c r="Q67" s="452">
        <f>P67*O67</f>
        <v>280</v>
      </c>
      <c r="R67"/>
    </row>
    <row r="68" spans="1:18" x14ac:dyDescent="0.25">
      <c r="A68" s="1166"/>
      <c r="B68" s="1039" t="s">
        <v>822</v>
      </c>
      <c r="C68" s="1039" t="s">
        <v>631</v>
      </c>
      <c r="D68" s="1039">
        <v>2</v>
      </c>
      <c r="E68" s="417"/>
      <c r="F68" s="417"/>
      <c r="G68" s="417"/>
      <c r="H68" s="417"/>
      <c r="I68" s="417"/>
      <c r="J68" s="417"/>
      <c r="K68" s="417"/>
      <c r="L68" s="417"/>
      <c r="M68" s="417"/>
      <c r="N68" s="417"/>
      <c r="O68" s="417">
        <v>2</v>
      </c>
      <c r="P68" s="686">
        <v>45</v>
      </c>
      <c r="Q68" s="452">
        <f>P68*O68</f>
        <v>90</v>
      </c>
      <c r="R68"/>
    </row>
    <row r="69" spans="1:18" ht="15.75" thickBot="1" x14ac:dyDescent="0.3">
      <c r="A69" s="1164"/>
      <c r="B69" s="528" t="s">
        <v>266</v>
      </c>
      <c r="C69" s="528" t="s">
        <v>265</v>
      </c>
      <c r="D69" s="528">
        <v>2</v>
      </c>
      <c r="E69" s="445"/>
      <c r="F69" s="445"/>
      <c r="G69" s="445"/>
      <c r="H69" s="445"/>
      <c r="I69" s="445"/>
      <c r="J69" s="445"/>
      <c r="K69" s="445"/>
      <c r="L69" s="445"/>
      <c r="M69" s="445"/>
      <c r="N69" s="445"/>
      <c r="O69" s="445">
        <f>SUM(D69:N69)</f>
        <v>2</v>
      </c>
      <c r="P69" s="446">
        <v>100</v>
      </c>
      <c r="Q69" s="449">
        <f>P69*O69</f>
        <v>200</v>
      </c>
      <c r="R69"/>
    </row>
    <row r="70" spans="1:18" x14ac:dyDescent="0.25">
      <c r="A70" s="1168" t="s">
        <v>681</v>
      </c>
      <c r="B70" s="1037" t="s">
        <v>267</v>
      </c>
      <c r="C70" s="1037" t="s">
        <v>21</v>
      </c>
      <c r="D70" s="1037"/>
      <c r="E70" s="967"/>
      <c r="F70" s="967"/>
      <c r="G70" s="967"/>
      <c r="H70" s="967"/>
      <c r="I70" s="967"/>
      <c r="J70" s="967"/>
      <c r="K70" s="967"/>
      <c r="L70" s="967"/>
      <c r="M70" s="967"/>
      <c r="N70" s="967"/>
      <c r="O70" s="1040">
        <v>87736</v>
      </c>
      <c r="P70" s="968">
        <v>4.2</v>
      </c>
      <c r="Q70" s="452">
        <f>O70*P70</f>
        <v>368491.2</v>
      </c>
      <c r="R70"/>
    </row>
    <row r="71" spans="1:18" x14ac:dyDescent="0.25">
      <c r="A71" s="1162"/>
      <c r="B71" s="179" t="s">
        <v>268</v>
      </c>
      <c r="C71" s="179" t="s">
        <v>21</v>
      </c>
      <c r="D71" s="179"/>
      <c r="E71" s="120"/>
      <c r="F71" s="120">
        <f>3.75*F7</f>
        <v>0</v>
      </c>
      <c r="G71" s="120">
        <f>3.75*G7</f>
        <v>0</v>
      </c>
      <c r="H71" s="120"/>
      <c r="I71" s="120"/>
      <c r="J71" s="120"/>
      <c r="K71" s="120"/>
      <c r="L71" s="120"/>
      <c r="M71" s="120"/>
      <c r="N71" s="120"/>
      <c r="O71" s="120"/>
      <c r="P71" s="443"/>
      <c r="Q71" s="447">
        <f>SUM(F71:P71)</f>
        <v>0</v>
      </c>
      <c r="R71"/>
    </row>
    <row r="72" spans="1:18" x14ac:dyDescent="0.25">
      <c r="A72" s="1162"/>
      <c r="B72" s="179" t="s">
        <v>269</v>
      </c>
      <c r="C72" s="179" t="s">
        <v>21</v>
      </c>
      <c r="D72" s="179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 t="s">
        <v>1372</v>
      </c>
      <c r="P72" s="443">
        <v>500</v>
      </c>
      <c r="Q72" s="447">
        <v>20000</v>
      </c>
      <c r="R72"/>
    </row>
    <row r="73" spans="1:18" x14ac:dyDescent="0.25">
      <c r="A73" s="1162"/>
      <c r="B73" s="179" t="s">
        <v>1373</v>
      </c>
      <c r="C73" s="179" t="s">
        <v>21</v>
      </c>
      <c r="D73" s="179">
        <v>1</v>
      </c>
      <c r="E73" s="120">
        <v>1</v>
      </c>
      <c r="F73" s="120">
        <v>1</v>
      </c>
      <c r="G73" s="120">
        <v>1</v>
      </c>
      <c r="H73" s="120">
        <v>1</v>
      </c>
      <c r="I73" s="120">
        <v>1</v>
      </c>
      <c r="J73" s="120">
        <v>1</v>
      </c>
      <c r="K73" s="120">
        <v>1</v>
      </c>
      <c r="L73" s="120"/>
      <c r="M73" s="120"/>
      <c r="N73" s="120"/>
      <c r="O73" s="120">
        <f>SUM(D73:N73)</f>
        <v>8</v>
      </c>
      <c r="P73" s="443">
        <v>3000</v>
      </c>
      <c r="Q73" s="447">
        <f t="shared" ref="Q73:Q79" si="11">(P73*O73)</f>
        <v>24000</v>
      </c>
      <c r="R73"/>
    </row>
    <row r="74" spans="1:18" ht="15.75" thickBot="1" x14ac:dyDescent="0.3">
      <c r="A74" s="1164"/>
      <c r="B74" s="528" t="s">
        <v>1374</v>
      </c>
      <c r="C74" s="528" t="s">
        <v>21</v>
      </c>
      <c r="D74" s="528">
        <v>1</v>
      </c>
      <c r="E74" s="445">
        <v>1</v>
      </c>
      <c r="F74" s="445">
        <v>1</v>
      </c>
      <c r="G74" s="445">
        <v>1</v>
      </c>
      <c r="H74" s="445">
        <v>1</v>
      </c>
      <c r="I74" s="445">
        <v>1</v>
      </c>
      <c r="J74" s="445">
        <v>1</v>
      </c>
      <c r="K74" s="445"/>
      <c r="L74" s="445"/>
      <c r="M74" s="445"/>
      <c r="N74" s="445"/>
      <c r="O74" s="445">
        <f>SUM(D74:N74)</f>
        <v>7</v>
      </c>
      <c r="P74" s="446">
        <v>2500</v>
      </c>
      <c r="Q74" s="447">
        <f t="shared" si="11"/>
        <v>17500</v>
      </c>
      <c r="R74"/>
    </row>
    <row r="75" spans="1:18" x14ac:dyDescent="0.25">
      <c r="A75" s="1169" t="s">
        <v>1375</v>
      </c>
      <c r="B75" s="1037" t="s">
        <v>1376</v>
      </c>
      <c r="C75" s="1037" t="s">
        <v>21</v>
      </c>
      <c r="D75" s="1037">
        <v>0</v>
      </c>
      <c r="E75" s="1037">
        <v>48</v>
      </c>
      <c r="F75" s="1037">
        <v>48</v>
      </c>
      <c r="G75" s="1037">
        <v>48</v>
      </c>
      <c r="H75" s="1037">
        <v>30</v>
      </c>
      <c r="I75" s="1037">
        <v>20</v>
      </c>
      <c r="J75" s="1037">
        <v>10</v>
      </c>
      <c r="K75" s="1037"/>
      <c r="L75" s="1037"/>
      <c r="M75" s="1037"/>
      <c r="N75" s="1037"/>
      <c r="O75" s="1037">
        <f>SUM(D75:J75)</f>
        <v>204</v>
      </c>
      <c r="P75" s="1041">
        <v>20.45</v>
      </c>
      <c r="Q75" s="963">
        <f t="shared" si="11"/>
        <v>4171.8</v>
      </c>
      <c r="R75"/>
    </row>
    <row r="76" spans="1:18" ht="15" customHeight="1" thickBot="1" x14ac:dyDescent="0.3">
      <c r="A76" s="1170"/>
      <c r="B76" s="528" t="s">
        <v>1377</v>
      </c>
      <c r="C76" s="528" t="s">
        <v>21</v>
      </c>
      <c r="D76" s="528"/>
      <c r="E76" s="528">
        <v>48</v>
      </c>
      <c r="F76" s="528">
        <v>48</v>
      </c>
      <c r="G76" s="528">
        <v>48</v>
      </c>
      <c r="H76" s="528">
        <v>30</v>
      </c>
      <c r="I76" s="528">
        <v>20</v>
      </c>
      <c r="J76" s="528">
        <v>10</v>
      </c>
      <c r="K76" s="528"/>
      <c r="L76" s="528"/>
      <c r="M76" s="528"/>
      <c r="N76" s="528"/>
      <c r="O76" s="528">
        <f>SUM(D76:J76)</f>
        <v>204</v>
      </c>
      <c r="P76" s="979">
        <v>17</v>
      </c>
      <c r="Q76" s="963">
        <f t="shared" si="11"/>
        <v>3468</v>
      </c>
      <c r="R76"/>
    </row>
    <row r="77" spans="1:18" x14ac:dyDescent="0.25">
      <c r="A77" s="1152" t="s">
        <v>823</v>
      </c>
      <c r="B77" s="1042" t="s">
        <v>1376</v>
      </c>
      <c r="C77" s="1043"/>
      <c r="D77" s="1043"/>
      <c r="E77" s="1043">
        <v>40</v>
      </c>
      <c r="F77" s="1043">
        <v>40</v>
      </c>
      <c r="G77" s="1043">
        <v>20</v>
      </c>
      <c r="H77" s="1043"/>
      <c r="I77" s="1043"/>
      <c r="J77" s="1043"/>
      <c r="K77" s="1043"/>
      <c r="L77" s="1043"/>
      <c r="M77" s="1043"/>
      <c r="N77" s="1043"/>
      <c r="O77" s="1043">
        <f>SUM(C77:N77)</f>
        <v>100</v>
      </c>
      <c r="P77" s="1044">
        <v>27.27</v>
      </c>
      <c r="Q77" s="1045">
        <f t="shared" si="11"/>
        <v>2727</v>
      </c>
      <c r="R77"/>
    </row>
    <row r="78" spans="1:18" ht="15.75" thickBot="1" x14ac:dyDescent="0.3">
      <c r="A78" s="1153"/>
      <c r="B78" s="1046" t="s">
        <v>1377</v>
      </c>
      <c r="C78" s="1047"/>
      <c r="D78" s="1047"/>
      <c r="E78" s="1047">
        <v>40</v>
      </c>
      <c r="F78" s="1047">
        <v>40</v>
      </c>
      <c r="G78" s="1047">
        <v>20</v>
      </c>
      <c r="H78" s="1047"/>
      <c r="I78" s="1047"/>
      <c r="J78" s="1047"/>
      <c r="K78" s="1047"/>
      <c r="L78" s="1047"/>
      <c r="M78" s="1047"/>
      <c r="N78" s="1047"/>
      <c r="O78" s="1047">
        <f>SUM(D78:N78)</f>
        <v>100</v>
      </c>
      <c r="P78" s="1048">
        <v>22.72</v>
      </c>
      <c r="Q78" s="1045">
        <f t="shared" si="11"/>
        <v>2272</v>
      </c>
      <c r="R78"/>
    </row>
    <row r="79" spans="1:18" x14ac:dyDescent="0.25">
      <c r="A79" s="1154" t="s">
        <v>185</v>
      </c>
      <c r="B79" s="88" t="s">
        <v>1376</v>
      </c>
      <c r="C79" s="1039"/>
      <c r="D79" s="1039">
        <v>1</v>
      </c>
      <c r="E79" s="1039">
        <v>1</v>
      </c>
      <c r="F79" s="1039">
        <v>1</v>
      </c>
      <c r="G79" s="1039">
        <v>1</v>
      </c>
      <c r="H79" s="1039">
        <v>1</v>
      </c>
      <c r="I79" s="1039">
        <v>1</v>
      </c>
      <c r="J79" s="1039">
        <v>1</v>
      </c>
      <c r="K79" s="1039">
        <v>1</v>
      </c>
      <c r="L79" s="1039"/>
      <c r="M79" s="1039"/>
      <c r="N79" s="1039"/>
      <c r="O79" s="1039">
        <f>SUM(D79:N79)</f>
        <v>8</v>
      </c>
      <c r="P79" s="1049">
        <v>900</v>
      </c>
      <c r="Q79" s="1050">
        <f t="shared" si="11"/>
        <v>7200</v>
      </c>
      <c r="R79"/>
    </row>
    <row r="80" spans="1:18" ht="15.75" thickBot="1" x14ac:dyDescent="0.3">
      <c r="A80" s="1155"/>
      <c r="B80" s="88" t="s">
        <v>1377</v>
      </c>
      <c r="C80" s="1039"/>
      <c r="D80" s="1039">
        <v>1</v>
      </c>
      <c r="E80" s="1039">
        <v>1</v>
      </c>
      <c r="F80" s="1039">
        <v>1</v>
      </c>
      <c r="G80" s="1039">
        <v>1</v>
      </c>
      <c r="H80" s="1039">
        <v>1</v>
      </c>
      <c r="I80" s="1039">
        <v>1</v>
      </c>
      <c r="J80" s="1039">
        <v>1</v>
      </c>
      <c r="K80" s="1039"/>
      <c r="L80" s="1039"/>
      <c r="M80" s="1039"/>
      <c r="N80" s="1039"/>
      <c r="O80" s="1039">
        <f>SUM(D80:N80)</f>
        <v>7</v>
      </c>
      <c r="P80" s="1049">
        <v>720</v>
      </c>
      <c r="Q80" s="1050">
        <f>O80*P80</f>
        <v>5040</v>
      </c>
      <c r="R80"/>
    </row>
    <row r="81" spans="1:18" x14ac:dyDescent="0.25">
      <c r="A81" s="1156" t="s">
        <v>682</v>
      </c>
      <c r="B81" s="1051" t="s">
        <v>1146</v>
      </c>
      <c r="C81" s="1052" t="s">
        <v>270</v>
      </c>
      <c r="D81" s="1052" t="s">
        <v>271</v>
      </c>
      <c r="E81" s="1052" t="s">
        <v>272</v>
      </c>
      <c r="F81" s="1052" t="s">
        <v>273</v>
      </c>
      <c r="G81" s="1052" t="s">
        <v>274</v>
      </c>
      <c r="H81" s="1052" t="s">
        <v>275</v>
      </c>
      <c r="I81" s="1052" t="s">
        <v>276</v>
      </c>
      <c r="J81" s="1052" t="s">
        <v>277</v>
      </c>
      <c r="K81" s="1052" t="s">
        <v>278</v>
      </c>
      <c r="L81" s="1052" t="s">
        <v>279</v>
      </c>
      <c r="M81" s="1052" t="s">
        <v>280</v>
      </c>
      <c r="N81" s="1052" t="s">
        <v>281</v>
      </c>
      <c r="O81" s="1052" t="s">
        <v>282</v>
      </c>
      <c r="P81" s="1053"/>
      <c r="Q81" s="1054"/>
      <c r="R81"/>
    </row>
    <row r="82" spans="1:18" x14ac:dyDescent="0.25">
      <c r="A82" s="1157"/>
      <c r="B82" s="1055" t="s">
        <v>283</v>
      </c>
      <c r="C82" s="1056" t="s">
        <v>231</v>
      </c>
      <c r="D82" s="1056">
        <v>3</v>
      </c>
      <c r="E82" s="1056">
        <v>0</v>
      </c>
      <c r="F82" s="1056">
        <v>0</v>
      </c>
      <c r="G82" s="1056">
        <v>1</v>
      </c>
      <c r="H82" s="1056">
        <v>2</v>
      </c>
      <c r="I82" s="1056">
        <v>0</v>
      </c>
      <c r="J82" s="1056">
        <v>0</v>
      </c>
      <c r="K82" s="1056">
        <v>3</v>
      </c>
      <c r="L82" s="1056">
        <v>1</v>
      </c>
      <c r="M82" s="1056"/>
      <c r="N82" s="1056">
        <v>5</v>
      </c>
      <c r="O82" s="1056"/>
      <c r="P82" s="1057"/>
      <c r="Q82" s="1058"/>
      <c r="R82"/>
    </row>
    <row r="83" spans="1:18" x14ac:dyDescent="0.25">
      <c r="A83" s="1157"/>
      <c r="B83" s="1055" t="s">
        <v>1147</v>
      </c>
      <c r="C83" s="1056" t="s">
        <v>231</v>
      </c>
      <c r="D83" s="1056">
        <v>10</v>
      </c>
      <c r="E83" s="1056">
        <v>5</v>
      </c>
      <c r="F83" s="1056">
        <v>15</v>
      </c>
      <c r="G83" s="1056">
        <v>1</v>
      </c>
      <c r="H83" s="1056">
        <v>5</v>
      </c>
      <c r="I83" s="1056">
        <v>2</v>
      </c>
      <c r="J83" s="1056">
        <v>1</v>
      </c>
      <c r="K83" s="1056">
        <v>3</v>
      </c>
      <c r="L83" s="1056">
        <v>1</v>
      </c>
      <c r="M83" s="1056">
        <v>2</v>
      </c>
      <c r="N83" s="1056">
        <v>5</v>
      </c>
      <c r="O83" s="1056">
        <v>3</v>
      </c>
      <c r="P83" s="1057"/>
      <c r="Q83" s="1058"/>
      <c r="R83"/>
    </row>
    <row r="84" spans="1:18" x14ac:dyDescent="0.25">
      <c r="A84" s="1157"/>
      <c r="B84" s="1055" t="s">
        <v>1147</v>
      </c>
      <c r="C84" s="1056" t="s">
        <v>231</v>
      </c>
      <c r="D84" s="1056">
        <v>10</v>
      </c>
      <c r="E84" s="1056">
        <v>5</v>
      </c>
      <c r="F84" s="1056">
        <v>15</v>
      </c>
      <c r="G84" s="1056">
        <v>2</v>
      </c>
      <c r="H84" s="1056">
        <v>5</v>
      </c>
      <c r="I84" s="1056">
        <v>2</v>
      </c>
      <c r="J84" s="1056">
        <v>1</v>
      </c>
      <c r="K84" s="1056">
        <v>3</v>
      </c>
      <c r="L84" s="1056">
        <v>1</v>
      </c>
      <c r="M84" s="1056">
        <v>2</v>
      </c>
      <c r="N84" s="1056">
        <v>5</v>
      </c>
      <c r="O84" s="1056">
        <v>3</v>
      </c>
      <c r="P84" s="1057"/>
      <c r="Q84" s="1058"/>
      <c r="R84"/>
    </row>
    <row r="85" spans="1:18" x14ac:dyDescent="0.25">
      <c r="A85" s="1157"/>
      <c r="B85" s="1055" t="s">
        <v>1</v>
      </c>
      <c r="C85" s="1056" t="s">
        <v>231</v>
      </c>
      <c r="D85" s="1056">
        <f t="shared" ref="D85:O85" si="12">SUM(D82:D84)</f>
        <v>23</v>
      </c>
      <c r="E85" s="1056">
        <f t="shared" si="12"/>
        <v>10</v>
      </c>
      <c r="F85" s="1056">
        <f t="shared" si="12"/>
        <v>30</v>
      </c>
      <c r="G85" s="1056">
        <f t="shared" si="12"/>
        <v>4</v>
      </c>
      <c r="H85" s="1056">
        <f t="shared" si="12"/>
        <v>12</v>
      </c>
      <c r="I85" s="1056">
        <f t="shared" si="12"/>
        <v>4</v>
      </c>
      <c r="J85" s="1056">
        <f t="shared" si="12"/>
        <v>2</v>
      </c>
      <c r="K85" s="1056">
        <f t="shared" si="12"/>
        <v>9</v>
      </c>
      <c r="L85" s="1056">
        <f t="shared" si="12"/>
        <v>3</v>
      </c>
      <c r="M85" s="1056">
        <f t="shared" si="12"/>
        <v>4</v>
      </c>
      <c r="N85" s="1056">
        <f t="shared" si="12"/>
        <v>15</v>
      </c>
      <c r="O85" s="1056">
        <f t="shared" si="12"/>
        <v>6</v>
      </c>
      <c r="P85" s="1057"/>
      <c r="Q85" s="1058"/>
      <c r="R85"/>
    </row>
    <row r="86" spans="1:18" ht="15.75" thickBot="1" x14ac:dyDescent="0.3">
      <c r="A86" s="1158"/>
      <c r="B86" s="1059" t="s">
        <v>1125</v>
      </c>
      <c r="C86" s="1060" t="s">
        <v>21</v>
      </c>
      <c r="D86" s="1060">
        <f>80*D85</f>
        <v>1840</v>
      </c>
      <c r="E86" s="1060">
        <f>10*E85</f>
        <v>100</v>
      </c>
      <c r="F86" s="1060">
        <f>50*F85</f>
        <v>1500</v>
      </c>
      <c r="G86" s="1060">
        <f>140*G85</f>
        <v>560</v>
      </c>
      <c r="H86" s="1060">
        <f>95*H85</f>
        <v>1140</v>
      </c>
      <c r="I86" s="1060">
        <f>8*I85</f>
        <v>32</v>
      </c>
      <c r="J86" s="1060">
        <f>55*J85</f>
        <v>110</v>
      </c>
      <c r="K86" s="1060">
        <f>60*K85</f>
        <v>540</v>
      </c>
      <c r="L86" s="1060">
        <f>15*L85</f>
        <v>45</v>
      </c>
      <c r="M86" s="1060">
        <f>15*M85</f>
        <v>60</v>
      </c>
      <c r="N86" s="1060">
        <f>2*N85</f>
        <v>30</v>
      </c>
      <c r="O86" s="1060">
        <f>12*O85</f>
        <v>72</v>
      </c>
      <c r="P86" s="1061"/>
      <c r="Q86" s="1062">
        <f>SUM(D86:P86)</f>
        <v>6029</v>
      </c>
      <c r="R86"/>
    </row>
    <row r="87" spans="1:18" x14ac:dyDescent="0.25">
      <c r="A87" s="1159" t="s">
        <v>683</v>
      </c>
      <c r="B87" s="1063" t="s">
        <v>1146</v>
      </c>
      <c r="C87" s="1064" t="s">
        <v>270</v>
      </c>
      <c r="D87" s="1064" t="s">
        <v>284</v>
      </c>
      <c r="E87" s="1064" t="s">
        <v>285</v>
      </c>
      <c r="F87" s="1064" t="s">
        <v>286</v>
      </c>
      <c r="G87" s="1064" t="s">
        <v>287</v>
      </c>
      <c r="H87" s="1064" t="s">
        <v>288</v>
      </c>
      <c r="I87" s="1064" t="s">
        <v>289</v>
      </c>
      <c r="J87" s="1064" t="s">
        <v>290</v>
      </c>
      <c r="K87" s="1064" t="s">
        <v>291</v>
      </c>
      <c r="L87" s="1064" t="s">
        <v>292</v>
      </c>
      <c r="M87" s="1064"/>
      <c r="N87" s="1064"/>
      <c r="O87" s="1064"/>
      <c r="P87" s="1065"/>
      <c r="Q87" s="1066"/>
      <c r="R87"/>
    </row>
    <row r="88" spans="1:18" x14ac:dyDescent="0.25">
      <c r="A88" s="1160"/>
      <c r="B88" s="139" t="s">
        <v>1148</v>
      </c>
      <c r="C88" s="1067" t="s">
        <v>293</v>
      </c>
      <c r="D88" s="1067">
        <v>3</v>
      </c>
      <c r="E88" s="1067">
        <v>0</v>
      </c>
      <c r="F88" s="1067">
        <v>0</v>
      </c>
      <c r="G88" s="1067">
        <v>4</v>
      </c>
      <c r="H88" s="1067">
        <v>1</v>
      </c>
      <c r="I88" s="1067">
        <v>20</v>
      </c>
      <c r="J88" s="1067">
        <v>2</v>
      </c>
      <c r="K88" s="1067">
        <v>1</v>
      </c>
      <c r="L88" s="1067">
        <v>1</v>
      </c>
      <c r="M88" s="1067"/>
      <c r="N88" s="1067">
        <v>5</v>
      </c>
      <c r="O88" s="1067"/>
      <c r="P88" s="1068"/>
      <c r="Q88" s="1069"/>
      <c r="R88"/>
    </row>
    <row r="89" spans="1:18" x14ac:dyDescent="0.25">
      <c r="A89" s="1160"/>
      <c r="B89" s="139" t="s">
        <v>1149</v>
      </c>
      <c r="C89" s="1067" t="s">
        <v>293</v>
      </c>
      <c r="D89" s="1067">
        <v>3</v>
      </c>
      <c r="E89" s="1067">
        <v>3</v>
      </c>
      <c r="F89" s="1067">
        <v>1</v>
      </c>
      <c r="G89" s="1067">
        <v>2</v>
      </c>
      <c r="H89" s="1067">
        <v>1</v>
      </c>
      <c r="I89" s="1067">
        <v>10</v>
      </c>
      <c r="J89" s="1067">
        <v>2</v>
      </c>
      <c r="K89" s="1067">
        <v>2</v>
      </c>
      <c r="L89" s="1067">
        <v>1</v>
      </c>
      <c r="M89" s="1067"/>
      <c r="N89" s="1067"/>
      <c r="O89" s="1067"/>
      <c r="P89" s="1068"/>
      <c r="Q89" s="1069"/>
      <c r="R89"/>
    </row>
    <row r="90" spans="1:18" x14ac:dyDescent="0.25">
      <c r="A90" s="1160"/>
      <c r="B90" s="139" t="s">
        <v>1147</v>
      </c>
      <c r="C90" s="1067" t="s">
        <v>293</v>
      </c>
      <c r="D90" s="1067">
        <v>3</v>
      </c>
      <c r="E90" s="1067">
        <v>3</v>
      </c>
      <c r="F90" s="1067">
        <v>1</v>
      </c>
      <c r="G90" s="1067">
        <v>2</v>
      </c>
      <c r="H90" s="1067">
        <v>1</v>
      </c>
      <c r="I90" s="1067">
        <v>10</v>
      </c>
      <c r="J90" s="1067">
        <v>2</v>
      </c>
      <c r="K90" s="1067">
        <v>2</v>
      </c>
      <c r="L90" s="1067">
        <v>1</v>
      </c>
      <c r="M90" s="1067"/>
      <c r="N90" s="1067"/>
      <c r="O90" s="1067"/>
      <c r="P90" s="1068"/>
      <c r="Q90" s="1069"/>
      <c r="R90"/>
    </row>
    <row r="91" spans="1:18" x14ac:dyDescent="0.25">
      <c r="A91" s="1160"/>
      <c r="B91" s="139" t="s">
        <v>1</v>
      </c>
      <c r="C91" s="1067" t="s">
        <v>293</v>
      </c>
      <c r="D91" s="1067">
        <f t="shared" ref="D91:L91" si="13">SUM(D88:D90)</f>
        <v>9</v>
      </c>
      <c r="E91" s="1067">
        <f t="shared" si="13"/>
        <v>6</v>
      </c>
      <c r="F91" s="1067">
        <f t="shared" si="13"/>
        <v>2</v>
      </c>
      <c r="G91" s="1067">
        <f t="shared" si="13"/>
        <v>8</v>
      </c>
      <c r="H91" s="1067">
        <f t="shared" si="13"/>
        <v>3</v>
      </c>
      <c r="I91" s="1067">
        <f t="shared" si="13"/>
        <v>40</v>
      </c>
      <c r="J91" s="1067">
        <f t="shared" si="13"/>
        <v>6</v>
      </c>
      <c r="K91" s="1067">
        <f t="shared" si="13"/>
        <v>5</v>
      </c>
      <c r="L91" s="1067">
        <f t="shared" si="13"/>
        <v>3</v>
      </c>
      <c r="M91" s="1067"/>
      <c r="N91" s="1067">
        <v>5</v>
      </c>
      <c r="O91" s="1067"/>
      <c r="P91" s="1068"/>
      <c r="Q91" s="1069"/>
      <c r="R91"/>
    </row>
    <row r="92" spans="1:18" ht="15.75" thickBot="1" x14ac:dyDescent="0.3">
      <c r="A92" s="1161"/>
      <c r="B92" s="1070" t="s">
        <v>1125</v>
      </c>
      <c r="C92" s="1071" t="s">
        <v>21</v>
      </c>
      <c r="D92" s="1071">
        <f>85*D91</f>
        <v>765</v>
      </c>
      <c r="E92" s="1071">
        <f>5*E91</f>
        <v>30</v>
      </c>
      <c r="F92" s="1071">
        <f>5*F91</f>
        <v>10</v>
      </c>
      <c r="G92" s="1071">
        <f>2*G91</f>
        <v>16</v>
      </c>
      <c r="H92" s="1071">
        <f>35*H91</f>
        <v>105</v>
      </c>
      <c r="I92" s="1071">
        <f>5*I91</f>
        <v>200</v>
      </c>
      <c r="J92" s="1071">
        <f>70*J91</f>
        <v>420</v>
      </c>
      <c r="K92" s="1071">
        <f>10*K91</f>
        <v>50</v>
      </c>
      <c r="L92" s="1071">
        <f>45*L91</f>
        <v>135</v>
      </c>
      <c r="M92" s="1071"/>
      <c r="N92" s="1071">
        <v>10</v>
      </c>
      <c r="O92" s="1071"/>
      <c r="P92" s="1072"/>
      <c r="Q92" s="1073">
        <f>SUM(D92:P92)</f>
        <v>1741</v>
      </c>
      <c r="R92"/>
    </row>
    <row r="93" spans="1:18" x14ac:dyDescent="0.25">
      <c r="A93" s="687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530"/>
      <c r="Q93" s="530"/>
      <c r="R93"/>
    </row>
    <row r="94" spans="1:18" x14ac:dyDescent="0.25">
      <c r="A94" s="688" t="s">
        <v>1</v>
      </c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1" t="s">
        <v>1150</v>
      </c>
      <c r="Q94" s="181">
        <f>SUM(Q10:Q35)</f>
        <v>1045297.5608108108</v>
      </c>
      <c r="R94"/>
    </row>
    <row r="95" spans="1:18" x14ac:dyDescent="0.25">
      <c r="A95" s="687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R95"/>
    </row>
    <row r="96" spans="1:18" s="973" customFormat="1" ht="18.75" x14ac:dyDescent="0.3">
      <c r="A96" s="969"/>
      <c r="B96" s="970"/>
      <c r="C96" s="970"/>
      <c r="D96" s="970"/>
      <c r="E96" s="970"/>
      <c r="F96" s="970"/>
      <c r="G96" s="970"/>
      <c r="H96" s="970"/>
      <c r="I96" s="970"/>
      <c r="J96" s="970"/>
      <c r="K96" s="970"/>
      <c r="L96" s="970"/>
      <c r="M96" s="970"/>
      <c r="N96" s="970"/>
      <c r="O96" s="970"/>
      <c r="P96" s="971" t="s">
        <v>123</v>
      </c>
      <c r="Q96" s="971">
        <f>SUM(Q94:Q95)+Q70</f>
        <v>1413788.7608108108</v>
      </c>
      <c r="R96" s="972"/>
    </row>
    <row r="97" spans="1:18" x14ac:dyDescent="0.25">
      <c r="A97" s="68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530" t="s">
        <v>1151</v>
      </c>
      <c r="Q97" s="530">
        <f>8*2500</f>
        <v>20000</v>
      </c>
      <c r="R97" s="192"/>
    </row>
    <row r="98" spans="1:18" ht="15.75" x14ac:dyDescent="0.25">
      <c r="A98" s="687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974" t="s">
        <v>824</v>
      </c>
      <c r="Q98" s="975">
        <f>(Q96*0.85)+Q97</f>
        <v>1221720.4466891892</v>
      </c>
      <c r="R98" s="192"/>
    </row>
    <row r="99" spans="1:18" ht="15.75" x14ac:dyDescent="0.25">
      <c r="P99" s="976" t="s">
        <v>410</v>
      </c>
      <c r="Q99" s="975">
        <f>(Q96*0.15)</f>
        <v>212068.31412162163</v>
      </c>
    </row>
  </sheetData>
  <mergeCells count="15">
    <mergeCell ref="X2:AE2"/>
    <mergeCell ref="AC8:AN8"/>
    <mergeCell ref="R21:T21"/>
    <mergeCell ref="A1:Q3"/>
    <mergeCell ref="D5:F5"/>
    <mergeCell ref="A6:A35"/>
    <mergeCell ref="A77:A78"/>
    <mergeCell ref="A79:A80"/>
    <mergeCell ref="A81:A86"/>
    <mergeCell ref="A87:A92"/>
    <mergeCell ref="A36:A54"/>
    <mergeCell ref="A55:A65"/>
    <mergeCell ref="A67:A69"/>
    <mergeCell ref="A70:A74"/>
    <mergeCell ref="A75:A7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D459-9B31-48A7-9F3A-697FDD94E1CA}">
  <sheetPr>
    <tabColor rgb="FFFFFF00"/>
  </sheetPr>
  <dimension ref="A1:U184"/>
  <sheetViews>
    <sheetView topLeftCell="A167" zoomScaleNormal="100" workbookViewId="0">
      <pane xSplit="1" topLeftCell="F1" activePane="topRight" state="frozen"/>
      <selection pane="topRight" activeCell="R180" sqref="R180"/>
    </sheetView>
  </sheetViews>
  <sheetFormatPr defaultRowHeight="15" x14ac:dyDescent="0.25"/>
  <cols>
    <col min="1" max="3" width="3.85546875" style="992" customWidth="1"/>
    <col min="4" max="4" width="2.28515625" style="992" customWidth="1"/>
    <col min="5" max="5" width="9.42578125" style="992" customWidth="1"/>
    <col min="6" max="8" width="13.7109375" style="992" customWidth="1"/>
    <col min="9" max="10" width="12.28515625" style="992" customWidth="1"/>
    <col min="11" max="11" width="0.28515625" style="992" customWidth="1"/>
    <col min="12" max="12" width="12.140625" style="992" customWidth="1"/>
    <col min="13" max="13" width="1.5703125" style="992" customWidth="1"/>
    <col min="14" max="14" width="0" style="992" hidden="1" customWidth="1"/>
    <col min="15" max="15" width="9.140625" style="992"/>
    <col min="16" max="17" width="24.42578125" style="993" bestFit="1" customWidth="1"/>
    <col min="18" max="18" width="24.42578125" style="993" customWidth="1"/>
    <col min="19" max="19" width="28" style="992" bestFit="1" customWidth="1"/>
    <col min="20" max="16384" width="9.140625" style="992"/>
  </cols>
  <sheetData>
    <row r="1" spans="1:19" ht="12" customHeight="1" x14ac:dyDescent="0.25">
      <c r="A1" s="1179" t="s">
        <v>1385</v>
      </c>
      <c r="B1" s="1180"/>
      <c r="C1" s="1180"/>
      <c r="D1" s="1180"/>
      <c r="E1" s="1194" t="s">
        <v>1109</v>
      </c>
      <c r="F1" s="1180"/>
      <c r="G1" s="1180"/>
      <c r="H1" s="1180"/>
      <c r="I1" s="1180"/>
      <c r="J1" s="1180"/>
      <c r="K1" s="1180"/>
    </row>
    <row r="2" spans="1:19" ht="2.1" customHeight="1" x14ac:dyDescent="0.25">
      <c r="A2" s="1179" t="s">
        <v>1386</v>
      </c>
      <c r="B2" s="1180"/>
      <c r="C2" s="1180"/>
      <c r="D2" s="1180"/>
      <c r="E2" s="1180"/>
      <c r="F2" s="1180"/>
      <c r="G2" s="1180"/>
      <c r="H2" s="1180"/>
      <c r="I2" s="1180"/>
      <c r="J2" s="1180"/>
      <c r="K2" s="1180"/>
    </row>
    <row r="3" spans="1:19" ht="2.1" customHeight="1" x14ac:dyDescent="0.25">
      <c r="A3" s="1180"/>
      <c r="B3" s="1180"/>
      <c r="C3" s="1180"/>
      <c r="D3" s="1180"/>
    </row>
    <row r="4" spans="1:19" ht="8.1" customHeight="1" x14ac:dyDescent="0.25">
      <c r="A4" s="1180"/>
      <c r="B4" s="1180"/>
      <c r="C4" s="1180"/>
      <c r="D4" s="1180"/>
      <c r="E4" s="1195" t="s">
        <v>1387</v>
      </c>
      <c r="F4" s="1180"/>
      <c r="G4" s="1180"/>
      <c r="H4" s="1180"/>
      <c r="I4" s="1180"/>
      <c r="J4" s="1180"/>
      <c r="K4" s="1180"/>
    </row>
    <row r="5" spans="1:19" ht="8.4499999999999993" customHeight="1" x14ac:dyDescent="0.25">
      <c r="E5" s="1180"/>
      <c r="F5" s="1180"/>
      <c r="G5" s="1180"/>
      <c r="H5" s="1180"/>
      <c r="I5" s="1180"/>
      <c r="J5" s="1180"/>
      <c r="K5" s="1180"/>
    </row>
    <row r="6" spans="1:19" ht="2.1" customHeight="1" x14ac:dyDescent="0.25"/>
    <row r="7" spans="1:19" ht="14.1" customHeight="1" x14ac:dyDescent="0.25">
      <c r="E7" s="1194" t="s">
        <v>1388</v>
      </c>
      <c r="F7" s="1180"/>
      <c r="G7" s="1180"/>
      <c r="H7" s="1180"/>
      <c r="I7" s="1180"/>
      <c r="J7" s="1180"/>
      <c r="K7" s="1180"/>
    </row>
    <row r="8" spans="1:19" ht="12.75" customHeight="1" thickBot="1" x14ac:dyDescent="0.3"/>
    <row r="9" spans="1:19" ht="24" thickTop="1" thickBot="1" x14ac:dyDescent="0.3">
      <c r="A9" s="1196" t="s">
        <v>1249</v>
      </c>
      <c r="B9" s="1197"/>
      <c r="C9" s="1197"/>
      <c r="D9" s="1196" t="s">
        <v>1389</v>
      </c>
      <c r="E9" s="1197"/>
      <c r="F9" s="1076" t="s">
        <v>1390</v>
      </c>
      <c r="G9" s="1076" t="s">
        <v>1391</v>
      </c>
      <c r="H9" s="1076" t="s">
        <v>1392</v>
      </c>
      <c r="I9" s="1077" t="s">
        <v>1393</v>
      </c>
      <c r="J9" s="1077" t="s">
        <v>1394</v>
      </c>
      <c r="K9" s="1198" t="s">
        <v>1395</v>
      </c>
      <c r="L9" s="1197"/>
      <c r="M9" s="1076" t="s">
        <v>1249</v>
      </c>
      <c r="P9" s="1078" t="s">
        <v>1396</v>
      </c>
      <c r="Q9" s="1078" t="s">
        <v>1397</v>
      </c>
      <c r="R9" s="1078" t="s">
        <v>1398</v>
      </c>
      <c r="S9" s="1079" t="s">
        <v>1399</v>
      </c>
    </row>
    <row r="10" spans="1:19" ht="21.6" customHeight="1" thickTop="1" x14ac:dyDescent="0.25">
      <c r="A10" s="1192" t="s">
        <v>1400</v>
      </c>
      <c r="B10" s="1180"/>
      <c r="C10" s="1180"/>
      <c r="D10" s="1180"/>
      <c r="E10" s="1180"/>
      <c r="F10" s="1180"/>
      <c r="G10" s="1180"/>
      <c r="H10" s="1180"/>
      <c r="I10" s="1180"/>
      <c r="J10" s="1180"/>
      <c r="K10" s="1180"/>
      <c r="L10" s="1180"/>
      <c r="M10" s="1180"/>
    </row>
    <row r="11" spans="1:19" ht="14.25" customHeight="1" x14ac:dyDescent="0.25">
      <c r="A11" s="994" t="s">
        <v>1249</v>
      </c>
      <c r="B11" s="1193" t="s">
        <v>1401</v>
      </c>
      <c r="C11" s="1180"/>
      <c r="D11" s="1180"/>
      <c r="E11" s="1180"/>
      <c r="F11" s="1180"/>
      <c r="G11" s="1180"/>
      <c r="H11" s="1180"/>
      <c r="I11" s="1180"/>
      <c r="J11" s="1180"/>
      <c r="K11" s="1180"/>
      <c r="L11" s="1180"/>
      <c r="M11" s="1180"/>
    </row>
    <row r="12" spans="1:19" ht="13.15" customHeight="1" x14ac:dyDescent="0.25">
      <c r="A12" s="1182" t="s">
        <v>1249</v>
      </c>
      <c r="B12" s="1180"/>
      <c r="C12" s="1186" t="s">
        <v>1402</v>
      </c>
      <c r="D12" s="1180"/>
      <c r="E12" s="1180"/>
      <c r="F12" s="1180"/>
      <c r="G12" s="1180"/>
      <c r="H12" s="1180"/>
      <c r="I12" s="1180"/>
      <c r="J12" s="1180"/>
      <c r="K12" s="1180"/>
      <c r="L12" s="1180"/>
      <c r="M12" s="1180"/>
    </row>
    <row r="13" spans="1:19" ht="15.75" thickBot="1" x14ac:dyDescent="0.3">
      <c r="A13" s="1182" t="s">
        <v>1249</v>
      </c>
      <c r="B13" s="1180"/>
      <c r="C13" s="1180"/>
      <c r="D13" s="1187">
        <v>45657</v>
      </c>
      <c r="E13" s="1180"/>
      <c r="F13" s="995" t="s">
        <v>1251</v>
      </c>
      <c r="G13" s="995"/>
      <c r="H13" s="995"/>
      <c r="I13" s="996">
        <v>172800</v>
      </c>
      <c r="J13" s="996">
        <v>0</v>
      </c>
      <c r="K13" s="1188">
        <v>172800</v>
      </c>
      <c r="L13" s="1180"/>
      <c r="M13" s="994" t="s">
        <v>1249</v>
      </c>
    </row>
    <row r="14" spans="1:19" ht="15.75" thickTop="1" x14ac:dyDescent="0.25">
      <c r="A14" s="1181" t="s">
        <v>1250</v>
      </c>
      <c r="B14" s="1180"/>
      <c r="C14" s="1180"/>
      <c r="D14" s="1180"/>
      <c r="E14" s="1180"/>
      <c r="F14" s="1180"/>
      <c r="G14" s="1180"/>
      <c r="H14" s="1180"/>
      <c r="I14" s="997">
        <v>172800</v>
      </c>
      <c r="J14" s="997">
        <v>0</v>
      </c>
      <c r="K14" s="1189">
        <v>172800</v>
      </c>
      <c r="L14" s="1190"/>
      <c r="M14" s="994" t="s">
        <v>1249</v>
      </c>
      <c r="R14" s="993">
        <v>7200</v>
      </c>
      <c r="S14" s="1075">
        <v>7200</v>
      </c>
    </row>
    <row r="15" spans="1:19" ht="13.15" customHeight="1" x14ac:dyDescent="0.25">
      <c r="A15" s="1182" t="s">
        <v>1249</v>
      </c>
      <c r="B15" s="1180"/>
      <c r="C15" s="1186" t="s">
        <v>1403</v>
      </c>
      <c r="D15" s="1180"/>
      <c r="E15" s="1180"/>
      <c r="F15" s="1180"/>
      <c r="G15" s="1180"/>
      <c r="H15" s="1180"/>
      <c r="I15" s="1180"/>
      <c r="J15" s="1180"/>
      <c r="K15" s="1180"/>
      <c r="L15" s="1180"/>
      <c r="M15" s="1180"/>
      <c r="S15" s="1075"/>
    </row>
    <row r="16" spans="1:19" ht="15.75" thickBot="1" x14ac:dyDescent="0.3">
      <c r="A16" s="1182" t="s">
        <v>1249</v>
      </c>
      <c r="B16" s="1180"/>
      <c r="C16" s="1180"/>
      <c r="D16" s="1187">
        <v>45657</v>
      </c>
      <c r="E16" s="1180"/>
      <c r="F16" s="995" t="s">
        <v>1251</v>
      </c>
      <c r="G16" s="995"/>
      <c r="H16" s="995"/>
      <c r="I16" s="996">
        <v>1238400</v>
      </c>
      <c r="J16" s="996">
        <v>0</v>
      </c>
      <c r="K16" s="1188">
        <v>1238400</v>
      </c>
      <c r="L16" s="1180"/>
      <c r="M16" s="994" t="s">
        <v>1249</v>
      </c>
      <c r="S16" s="1075"/>
    </row>
    <row r="17" spans="1:19" ht="15.75" thickTop="1" x14ac:dyDescent="0.25">
      <c r="A17" s="1181" t="s">
        <v>1252</v>
      </c>
      <c r="B17" s="1180"/>
      <c r="C17" s="1180"/>
      <c r="D17" s="1180"/>
      <c r="E17" s="1180"/>
      <c r="F17" s="1180"/>
      <c r="G17" s="1180"/>
      <c r="H17" s="1180"/>
      <c r="I17" s="997">
        <v>1238400</v>
      </c>
      <c r="J17" s="997">
        <v>0</v>
      </c>
      <c r="K17" s="1189">
        <v>1238400</v>
      </c>
      <c r="L17" s="1190"/>
      <c r="M17" s="994" t="s">
        <v>1249</v>
      </c>
      <c r="R17" s="993">
        <v>51600</v>
      </c>
      <c r="S17" s="1075">
        <v>51600</v>
      </c>
    </row>
    <row r="18" spans="1:19" ht="13.15" customHeight="1" x14ac:dyDescent="0.25">
      <c r="A18" s="1182" t="s">
        <v>1249</v>
      </c>
      <c r="B18" s="1180"/>
      <c r="C18" s="1186" t="s">
        <v>1404</v>
      </c>
      <c r="D18" s="1180"/>
      <c r="E18" s="1180"/>
      <c r="F18" s="1180"/>
      <c r="G18" s="1180"/>
      <c r="H18" s="1180"/>
      <c r="I18" s="1180"/>
      <c r="J18" s="1180"/>
      <c r="K18" s="1180"/>
      <c r="L18" s="1180"/>
      <c r="M18" s="1180"/>
      <c r="S18" s="1075"/>
    </row>
    <row r="19" spans="1:19" ht="15.75" thickBot="1" x14ac:dyDescent="0.3">
      <c r="A19" s="1182" t="s">
        <v>1249</v>
      </c>
      <c r="B19" s="1180"/>
      <c r="C19" s="1180"/>
      <c r="D19" s="1187">
        <v>45657</v>
      </c>
      <c r="E19" s="1180"/>
      <c r="F19" s="995" t="s">
        <v>1251</v>
      </c>
      <c r="G19" s="995"/>
      <c r="H19" s="995"/>
      <c r="I19" s="996">
        <v>960000</v>
      </c>
      <c r="J19" s="996">
        <v>0</v>
      </c>
      <c r="K19" s="1188">
        <v>960000</v>
      </c>
      <c r="L19" s="1180"/>
      <c r="M19" s="994" t="s">
        <v>1249</v>
      </c>
      <c r="S19" s="1075"/>
    </row>
    <row r="20" spans="1:19" ht="15.75" thickTop="1" x14ac:dyDescent="0.25">
      <c r="A20" s="1181" t="s">
        <v>1253</v>
      </c>
      <c r="B20" s="1180"/>
      <c r="C20" s="1180"/>
      <c r="D20" s="1180"/>
      <c r="E20" s="1180"/>
      <c r="F20" s="1180"/>
      <c r="G20" s="1180"/>
      <c r="H20" s="1180"/>
      <c r="I20" s="997">
        <v>960000</v>
      </c>
      <c r="J20" s="997">
        <v>0</v>
      </c>
      <c r="K20" s="1189">
        <v>960000</v>
      </c>
      <c r="L20" s="1190"/>
      <c r="M20" s="994" t="s">
        <v>1249</v>
      </c>
      <c r="R20" s="993">
        <v>40000</v>
      </c>
      <c r="S20" s="1075">
        <v>40000</v>
      </c>
    </row>
    <row r="21" spans="1:19" ht="13.15" customHeight="1" x14ac:dyDescent="0.25">
      <c r="A21" s="1182" t="s">
        <v>1249</v>
      </c>
      <c r="B21" s="1180"/>
      <c r="C21" s="1186" t="s">
        <v>1405</v>
      </c>
      <c r="D21" s="1180"/>
      <c r="E21" s="1180"/>
      <c r="F21" s="1180"/>
      <c r="G21" s="1180"/>
      <c r="H21" s="1180"/>
      <c r="I21" s="1180"/>
      <c r="J21" s="1180"/>
      <c r="K21" s="1180"/>
      <c r="L21" s="1180"/>
      <c r="M21" s="1180"/>
      <c r="S21" s="1075"/>
    </row>
    <row r="22" spans="1:19" ht="15.75" thickBot="1" x14ac:dyDescent="0.3">
      <c r="A22" s="1182" t="s">
        <v>1249</v>
      </c>
      <c r="B22" s="1180"/>
      <c r="C22" s="1180"/>
      <c r="D22" s="1187">
        <v>45657</v>
      </c>
      <c r="E22" s="1180"/>
      <c r="F22" s="995" t="s">
        <v>1251</v>
      </c>
      <c r="G22" s="995"/>
      <c r="H22" s="995"/>
      <c r="I22" s="996">
        <v>1152000</v>
      </c>
      <c r="J22" s="996">
        <v>0</v>
      </c>
      <c r="K22" s="1188">
        <v>1152000</v>
      </c>
      <c r="L22" s="1180"/>
      <c r="M22" s="994" t="s">
        <v>1249</v>
      </c>
      <c r="S22" s="1075"/>
    </row>
    <row r="23" spans="1:19" ht="15.75" thickTop="1" x14ac:dyDescent="0.25">
      <c r="A23" s="1181" t="s">
        <v>1254</v>
      </c>
      <c r="B23" s="1180"/>
      <c r="C23" s="1180"/>
      <c r="D23" s="1180"/>
      <c r="E23" s="1180"/>
      <c r="F23" s="1180"/>
      <c r="G23" s="1180"/>
      <c r="H23" s="1180"/>
      <c r="I23" s="997">
        <v>1152000</v>
      </c>
      <c r="J23" s="997">
        <v>0</v>
      </c>
      <c r="K23" s="1189">
        <v>1152000</v>
      </c>
      <c r="L23" s="1190"/>
      <c r="M23" s="994" t="s">
        <v>1249</v>
      </c>
      <c r="R23" s="993">
        <v>48000</v>
      </c>
      <c r="S23" s="1075">
        <v>48000</v>
      </c>
    </row>
    <row r="24" spans="1:19" ht="13.15" customHeight="1" x14ac:dyDescent="0.25">
      <c r="A24" s="1182" t="s">
        <v>1249</v>
      </c>
      <c r="B24" s="1180"/>
      <c r="C24" s="1186" t="s">
        <v>1406</v>
      </c>
      <c r="D24" s="1180"/>
      <c r="E24" s="1180"/>
      <c r="F24" s="1180"/>
      <c r="G24" s="1180"/>
      <c r="H24" s="1180"/>
      <c r="I24" s="1180"/>
      <c r="J24" s="1180"/>
      <c r="K24" s="1180"/>
      <c r="L24" s="1180"/>
      <c r="M24" s="1180"/>
      <c r="S24" s="1075"/>
    </row>
    <row r="25" spans="1:19" ht="15.75" thickBot="1" x14ac:dyDescent="0.3">
      <c r="A25" s="1182" t="s">
        <v>1249</v>
      </c>
      <c r="B25" s="1180"/>
      <c r="C25" s="1180"/>
      <c r="D25" s="1187">
        <v>45657</v>
      </c>
      <c r="E25" s="1180"/>
      <c r="F25" s="995" t="s">
        <v>1251</v>
      </c>
      <c r="G25" s="995"/>
      <c r="H25" s="995"/>
      <c r="I25" s="996">
        <v>60960</v>
      </c>
      <c r="J25" s="996">
        <v>0</v>
      </c>
      <c r="K25" s="1188">
        <v>60960</v>
      </c>
      <c r="L25" s="1180"/>
      <c r="M25" s="994" t="s">
        <v>1249</v>
      </c>
      <c r="S25" s="1075"/>
    </row>
    <row r="26" spans="1:19" ht="15.75" thickTop="1" x14ac:dyDescent="0.25">
      <c r="A26" s="1181" t="s">
        <v>1255</v>
      </c>
      <c r="B26" s="1180"/>
      <c r="C26" s="1180"/>
      <c r="D26" s="1180"/>
      <c r="E26" s="1180"/>
      <c r="F26" s="1180"/>
      <c r="G26" s="1180"/>
      <c r="H26" s="1180"/>
      <c r="I26" s="997">
        <v>60960</v>
      </c>
      <c r="J26" s="997">
        <v>0</v>
      </c>
      <c r="K26" s="1189">
        <v>60960</v>
      </c>
      <c r="L26" s="1190"/>
      <c r="M26" s="994" t="s">
        <v>1249</v>
      </c>
      <c r="R26" s="993">
        <v>2540</v>
      </c>
      <c r="S26" s="1075">
        <v>2540</v>
      </c>
    </row>
    <row r="27" spans="1:19" ht="13.15" customHeight="1" x14ac:dyDescent="0.25">
      <c r="A27" s="1182" t="s">
        <v>1249</v>
      </c>
      <c r="B27" s="1180"/>
      <c r="C27" s="1186" t="s">
        <v>1407</v>
      </c>
      <c r="D27" s="1180"/>
      <c r="E27" s="1180"/>
      <c r="F27" s="1180"/>
      <c r="G27" s="1180"/>
      <c r="H27" s="1180"/>
      <c r="I27" s="1180"/>
      <c r="J27" s="1180"/>
      <c r="K27" s="1180"/>
      <c r="L27" s="1180"/>
      <c r="M27" s="1180"/>
      <c r="S27" s="1075"/>
    </row>
    <row r="28" spans="1:19" ht="15.75" thickBot="1" x14ac:dyDescent="0.3">
      <c r="A28" s="1182" t="s">
        <v>1249</v>
      </c>
      <c r="B28" s="1180"/>
      <c r="C28" s="1180"/>
      <c r="D28" s="1187">
        <v>45657</v>
      </c>
      <c r="E28" s="1180"/>
      <c r="F28" s="995" t="s">
        <v>1251</v>
      </c>
      <c r="G28" s="995"/>
      <c r="H28" s="995"/>
      <c r="I28" s="996">
        <v>8768621.7300000004</v>
      </c>
      <c r="J28" s="996">
        <v>0</v>
      </c>
      <c r="K28" s="1188">
        <v>8768621.7300000004</v>
      </c>
      <c r="L28" s="1180"/>
      <c r="M28" s="994" t="s">
        <v>1249</v>
      </c>
      <c r="S28" s="1075"/>
    </row>
    <row r="29" spans="1:19" ht="15.75" thickTop="1" x14ac:dyDescent="0.25">
      <c r="A29" s="1181" t="s">
        <v>1256</v>
      </c>
      <c r="B29" s="1180"/>
      <c r="C29" s="1180"/>
      <c r="D29" s="1180"/>
      <c r="E29" s="1180"/>
      <c r="F29" s="1180"/>
      <c r="G29" s="1180"/>
      <c r="H29" s="1180"/>
      <c r="I29" s="997">
        <v>8768621.7300000004</v>
      </c>
      <c r="J29" s="997">
        <v>0</v>
      </c>
      <c r="K29" s="1189">
        <v>8768621.7300000004</v>
      </c>
      <c r="L29" s="1190"/>
      <c r="M29" s="994" t="s">
        <v>1249</v>
      </c>
      <c r="R29" s="993">
        <v>365359.2292</v>
      </c>
      <c r="S29" s="1075">
        <v>365359.2292</v>
      </c>
    </row>
    <row r="30" spans="1:19" ht="13.15" customHeight="1" x14ac:dyDescent="0.25">
      <c r="A30" s="1182" t="s">
        <v>1249</v>
      </c>
      <c r="B30" s="1180"/>
      <c r="C30" s="1186" t="s">
        <v>1408</v>
      </c>
      <c r="D30" s="1180"/>
      <c r="E30" s="1180"/>
      <c r="F30" s="1180"/>
      <c r="G30" s="1180"/>
      <c r="H30" s="1180"/>
      <c r="I30" s="1180"/>
      <c r="J30" s="1180"/>
      <c r="K30" s="1180"/>
      <c r="L30" s="1180"/>
      <c r="M30" s="1180"/>
      <c r="S30" s="1075"/>
    </row>
    <row r="31" spans="1:19" ht="15.75" thickBot="1" x14ac:dyDescent="0.3">
      <c r="A31" s="1182" t="s">
        <v>1249</v>
      </c>
      <c r="B31" s="1180"/>
      <c r="C31" s="1180"/>
      <c r="D31" s="1187">
        <v>45657</v>
      </c>
      <c r="E31" s="1180"/>
      <c r="F31" s="995" t="s">
        <v>1251</v>
      </c>
      <c r="G31" s="995"/>
      <c r="H31" s="995"/>
      <c r="I31" s="996">
        <v>9984</v>
      </c>
      <c r="J31" s="996">
        <v>0</v>
      </c>
      <c r="K31" s="1188">
        <v>9984</v>
      </c>
      <c r="L31" s="1180"/>
      <c r="M31" s="994" t="s">
        <v>1249</v>
      </c>
      <c r="S31" s="1075"/>
    </row>
    <row r="32" spans="1:19" ht="15.75" thickTop="1" x14ac:dyDescent="0.25">
      <c r="A32" s="1181" t="s">
        <v>1257</v>
      </c>
      <c r="B32" s="1180"/>
      <c r="C32" s="1180"/>
      <c r="D32" s="1180"/>
      <c r="E32" s="1180"/>
      <c r="F32" s="1180"/>
      <c r="G32" s="1180"/>
      <c r="H32" s="1180"/>
      <c r="I32" s="997">
        <v>9984</v>
      </c>
      <c r="J32" s="997">
        <v>0</v>
      </c>
      <c r="K32" s="1189">
        <v>9984</v>
      </c>
      <c r="L32" s="1190"/>
      <c r="M32" s="994" t="s">
        <v>1249</v>
      </c>
      <c r="R32" s="993">
        <v>416</v>
      </c>
      <c r="S32" s="1075">
        <v>416</v>
      </c>
    </row>
    <row r="33" spans="1:19" ht="13.15" customHeight="1" x14ac:dyDescent="0.25">
      <c r="A33" s="1182" t="s">
        <v>1249</v>
      </c>
      <c r="B33" s="1180"/>
      <c r="C33" s="1186" t="s">
        <v>1409</v>
      </c>
      <c r="D33" s="1180"/>
      <c r="E33" s="1180"/>
      <c r="F33" s="1180"/>
      <c r="G33" s="1180"/>
      <c r="H33" s="1180"/>
      <c r="I33" s="1180"/>
      <c r="J33" s="1180"/>
      <c r="K33" s="1180"/>
      <c r="L33" s="1180"/>
      <c r="M33" s="1180"/>
      <c r="S33" s="1075"/>
    </row>
    <row r="34" spans="1:19" ht="15.75" thickBot="1" x14ac:dyDescent="0.3">
      <c r="A34" s="1182" t="s">
        <v>1249</v>
      </c>
      <c r="B34" s="1180"/>
      <c r="C34" s="1180"/>
      <c r="D34" s="1187">
        <v>45657</v>
      </c>
      <c r="E34" s="1180"/>
      <c r="F34" s="995" t="s">
        <v>1251</v>
      </c>
      <c r="G34" s="995"/>
      <c r="H34" s="995"/>
      <c r="I34" s="996">
        <v>21216</v>
      </c>
      <c r="J34" s="996">
        <v>0</v>
      </c>
      <c r="K34" s="1188">
        <v>21216</v>
      </c>
      <c r="L34" s="1180"/>
      <c r="M34" s="994" t="s">
        <v>1249</v>
      </c>
      <c r="S34" s="1075"/>
    </row>
    <row r="35" spans="1:19" ht="15.75" thickTop="1" x14ac:dyDescent="0.25">
      <c r="A35" s="1181" t="s">
        <v>1258</v>
      </c>
      <c r="B35" s="1180"/>
      <c r="C35" s="1180"/>
      <c r="D35" s="1180"/>
      <c r="E35" s="1180"/>
      <c r="F35" s="1180"/>
      <c r="G35" s="1180"/>
      <c r="H35" s="1180"/>
      <c r="I35" s="997">
        <v>21216</v>
      </c>
      <c r="J35" s="997">
        <v>0</v>
      </c>
      <c r="K35" s="1189">
        <v>21216</v>
      </c>
      <c r="L35" s="1190"/>
      <c r="M35" s="994" t="s">
        <v>1249</v>
      </c>
      <c r="R35" s="993">
        <v>884</v>
      </c>
      <c r="S35" s="1075">
        <v>884</v>
      </c>
    </row>
    <row r="36" spans="1:19" ht="13.15" customHeight="1" x14ac:dyDescent="0.25">
      <c r="A36" s="1182" t="s">
        <v>1249</v>
      </c>
      <c r="B36" s="1180"/>
      <c r="C36" s="1186" t="s">
        <v>1410</v>
      </c>
      <c r="D36" s="1180"/>
      <c r="E36" s="1180"/>
      <c r="F36" s="1180"/>
      <c r="G36" s="1180"/>
      <c r="H36" s="1180"/>
      <c r="I36" s="1180"/>
      <c r="J36" s="1180"/>
      <c r="K36" s="1180"/>
      <c r="L36" s="1180"/>
      <c r="M36" s="1180"/>
      <c r="S36" s="1075"/>
    </row>
    <row r="37" spans="1:19" ht="15.75" thickBot="1" x14ac:dyDescent="0.3">
      <c r="A37" s="1182" t="s">
        <v>1249</v>
      </c>
      <c r="B37" s="1180"/>
      <c r="C37" s="1180"/>
      <c r="D37" s="1187">
        <v>45657</v>
      </c>
      <c r="E37" s="1180"/>
      <c r="F37" s="995" t="s">
        <v>1251</v>
      </c>
      <c r="G37" s="995"/>
      <c r="H37" s="995"/>
      <c r="I37" s="996">
        <v>31200</v>
      </c>
      <c r="J37" s="996">
        <v>0</v>
      </c>
      <c r="K37" s="1188">
        <v>31200</v>
      </c>
      <c r="L37" s="1180"/>
      <c r="M37" s="994" t="s">
        <v>1249</v>
      </c>
      <c r="S37" s="1075"/>
    </row>
    <row r="38" spans="1:19" ht="16.5" thickTop="1" thickBot="1" x14ac:dyDescent="0.3">
      <c r="A38" s="1181" t="s">
        <v>1259</v>
      </c>
      <c r="B38" s="1180"/>
      <c r="C38" s="1180"/>
      <c r="D38" s="1180"/>
      <c r="E38" s="1180"/>
      <c r="F38" s="1180"/>
      <c r="G38" s="1180"/>
      <c r="H38" s="1180"/>
      <c r="I38" s="997">
        <v>31200</v>
      </c>
      <c r="J38" s="997">
        <v>0</v>
      </c>
      <c r="K38" s="1189">
        <v>31200</v>
      </c>
      <c r="L38" s="1190"/>
      <c r="M38" s="994" t="s">
        <v>1249</v>
      </c>
      <c r="R38" s="993">
        <v>1300</v>
      </c>
      <c r="S38" s="1075">
        <v>1300</v>
      </c>
    </row>
    <row r="39" spans="1:19" ht="15.75" thickTop="1" x14ac:dyDescent="0.25">
      <c r="A39" s="1181"/>
      <c r="B39" s="1180"/>
      <c r="C39" s="1180"/>
      <c r="D39" s="1180"/>
      <c r="E39" s="1180"/>
      <c r="F39" s="1180"/>
      <c r="G39" s="1180"/>
      <c r="H39" s="1180"/>
      <c r="I39" s="997"/>
      <c r="J39" s="997"/>
      <c r="K39" s="1189"/>
      <c r="L39" s="1190"/>
      <c r="M39" s="994" t="s">
        <v>1249</v>
      </c>
    </row>
    <row r="40" spans="1:19" ht="21.6" customHeight="1" x14ac:dyDescent="0.25">
      <c r="A40" s="1192" t="s">
        <v>1260</v>
      </c>
      <c r="B40" s="1180"/>
      <c r="C40" s="1180"/>
      <c r="D40" s="1180"/>
      <c r="E40" s="1180"/>
      <c r="F40" s="1180"/>
      <c r="G40" s="1180"/>
      <c r="H40" s="1180"/>
      <c r="I40" s="1180"/>
      <c r="J40" s="1180"/>
      <c r="K40" s="1180"/>
      <c r="L40" s="1180"/>
      <c r="M40" s="1180"/>
    </row>
    <row r="41" spans="1:19" ht="14.45" customHeight="1" x14ac:dyDescent="0.25">
      <c r="A41" s="994" t="s">
        <v>1249</v>
      </c>
      <c r="B41" s="1193" t="s">
        <v>1411</v>
      </c>
      <c r="C41" s="1180"/>
      <c r="D41" s="1180"/>
      <c r="E41" s="1180"/>
      <c r="F41" s="1180"/>
      <c r="G41" s="1180"/>
      <c r="H41" s="1180"/>
      <c r="I41" s="1180"/>
      <c r="J41" s="1180"/>
      <c r="K41" s="1180"/>
      <c r="L41" s="1180"/>
      <c r="M41" s="1180"/>
    </row>
    <row r="42" spans="1:19" ht="13.15" customHeight="1" x14ac:dyDescent="0.25">
      <c r="A42" s="1182" t="s">
        <v>1249</v>
      </c>
      <c r="B42" s="1180"/>
      <c r="C42" s="1186" t="s">
        <v>1261</v>
      </c>
      <c r="D42" s="1180"/>
      <c r="E42" s="1180"/>
      <c r="F42" s="1180"/>
      <c r="G42" s="1180"/>
      <c r="H42" s="1180"/>
      <c r="I42" s="1180"/>
      <c r="J42" s="1180"/>
      <c r="K42" s="1180"/>
      <c r="L42" s="1180"/>
      <c r="M42" s="1180"/>
    </row>
    <row r="43" spans="1:19" ht="15.75" thickBot="1" x14ac:dyDescent="0.3">
      <c r="A43" s="1182" t="s">
        <v>1249</v>
      </c>
      <c r="B43" s="1180"/>
      <c r="C43" s="1180"/>
      <c r="D43" s="1187">
        <v>45657</v>
      </c>
      <c r="E43" s="1180"/>
      <c r="F43" s="995" t="s">
        <v>1251</v>
      </c>
      <c r="G43" s="995"/>
      <c r="H43" s="995"/>
      <c r="I43" s="996">
        <v>800</v>
      </c>
      <c r="J43" s="996">
        <v>0</v>
      </c>
      <c r="K43" s="1188">
        <v>800</v>
      </c>
      <c r="L43" s="1180"/>
      <c r="M43" s="994" t="s">
        <v>1249</v>
      </c>
      <c r="Q43" s="1080"/>
    </row>
    <row r="44" spans="1:19" ht="15.75" thickTop="1" x14ac:dyDescent="0.25">
      <c r="A44" s="1181" t="s">
        <v>1262</v>
      </c>
      <c r="B44" s="1180"/>
      <c r="C44" s="1180"/>
      <c r="D44" s="1180"/>
      <c r="E44" s="1180"/>
      <c r="F44" s="1180"/>
      <c r="G44" s="1180"/>
      <c r="H44" s="1180"/>
      <c r="I44" s="997">
        <v>800</v>
      </c>
      <c r="J44" s="997">
        <v>0</v>
      </c>
      <c r="K44" s="1189">
        <v>800</v>
      </c>
      <c r="L44" s="1190"/>
      <c r="M44" s="994" t="s">
        <v>1249</v>
      </c>
      <c r="P44" s="993">
        <v>800</v>
      </c>
      <c r="Q44" s="1080">
        <v>800</v>
      </c>
      <c r="R44" s="993">
        <f>P44-Q44</f>
        <v>0</v>
      </c>
      <c r="S44" s="1081">
        <f>K44-Q44</f>
        <v>0</v>
      </c>
    </row>
    <row r="45" spans="1:19" ht="13.15" customHeight="1" x14ac:dyDescent="0.25">
      <c r="A45" s="1182" t="s">
        <v>1249</v>
      </c>
      <c r="B45" s="1180"/>
      <c r="C45" s="1186" t="s">
        <v>1263</v>
      </c>
      <c r="D45" s="1180"/>
      <c r="E45" s="1180"/>
      <c r="F45" s="1180"/>
      <c r="G45" s="1180"/>
      <c r="H45" s="1180"/>
      <c r="I45" s="1180"/>
      <c r="J45" s="1180"/>
      <c r="K45" s="1180"/>
      <c r="L45" s="1180"/>
      <c r="M45" s="1180"/>
      <c r="Q45" s="1080"/>
      <c r="S45" s="1081"/>
    </row>
    <row r="46" spans="1:19" ht="15.75" thickBot="1" x14ac:dyDescent="0.3">
      <c r="A46" s="1182" t="s">
        <v>1249</v>
      </c>
      <c r="B46" s="1180"/>
      <c r="C46" s="1180"/>
      <c r="D46" s="1187">
        <v>45657</v>
      </c>
      <c r="E46" s="1180"/>
      <c r="F46" s="995" t="s">
        <v>1251</v>
      </c>
      <c r="G46" s="995"/>
      <c r="H46" s="995"/>
      <c r="I46" s="996">
        <v>12000</v>
      </c>
      <c r="J46" s="996">
        <v>0</v>
      </c>
      <c r="K46" s="1188">
        <v>12000</v>
      </c>
      <c r="L46" s="1180"/>
      <c r="M46" s="994" t="s">
        <v>1249</v>
      </c>
      <c r="Q46" s="1080"/>
      <c r="S46" s="1081"/>
    </row>
    <row r="47" spans="1:19" ht="15.75" thickTop="1" x14ac:dyDescent="0.25">
      <c r="A47" s="1181" t="s">
        <v>1264</v>
      </c>
      <c r="B47" s="1180"/>
      <c r="C47" s="1180"/>
      <c r="D47" s="1180"/>
      <c r="E47" s="1180"/>
      <c r="F47" s="1180"/>
      <c r="G47" s="1180"/>
      <c r="H47" s="1180"/>
      <c r="I47" s="997">
        <v>12000</v>
      </c>
      <c r="J47" s="997">
        <v>0</v>
      </c>
      <c r="K47" s="1189">
        <v>12000</v>
      </c>
      <c r="L47" s="1190"/>
      <c r="M47" s="994" t="s">
        <v>1249</v>
      </c>
      <c r="P47" s="993">
        <v>12000</v>
      </c>
      <c r="Q47" s="1080">
        <v>9000</v>
      </c>
      <c r="R47" s="993">
        <f t="shared" ref="R47:R62" si="0">P47-Q47</f>
        <v>3000</v>
      </c>
      <c r="S47" s="1081">
        <f t="shared" ref="S47:S62" si="1">K47-Q47</f>
        <v>3000</v>
      </c>
    </row>
    <row r="48" spans="1:19" ht="13.15" customHeight="1" x14ac:dyDescent="0.25">
      <c r="A48" s="1182" t="s">
        <v>1249</v>
      </c>
      <c r="B48" s="1180"/>
      <c r="C48" s="1186" t="s">
        <v>1265</v>
      </c>
      <c r="D48" s="1180"/>
      <c r="E48" s="1180"/>
      <c r="F48" s="1180"/>
      <c r="G48" s="1180"/>
      <c r="H48" s="1180"/>
      <c r="I48" s="1180"/>
      <c r="J48" s="1180"/>
      <c r="K48" s="1180"/>
      <c r="L48" s="1180"/>
      <c r="M48" s="1180"/>
      <c r="P48" s="1082"/>
      <c r="Q48" s="1080"/>
      <c r="S48" s="1081"/>
    </row>
    <row r="49" spans="1:19" ht="15.75" thickBot="1" x14ac:dyDescent="0.3">
      <c r="A49" s="1182" t="s">
        <v>1249</v>
      </c>
      <c r="B49" s="1180"/>
      <c r="C49" s="1180"/>
      <c r="D49" s="1187">
        <v>45657</v>
      </c>
      <c r="E49" s="1180"/>
      <c r="F49" s="995" t="s">
        <v>1251</v>
      </c>
      <c r="G49" s="995"/>
      <c r="H49" s="995"/>
      <c r="I49" s="996">
        <v>114000</v>
      </c>
      <c r="J49" s="996">
        <v>0</v>
      </c>
      <c r="K49" s="1188">
        <v>114000</v>
      </c>
      <c r="L49" s="1180"/>
      <c r="M49" s="994" t="s">
        <v>1249</v>
      </c>
      <c r="P49" s="1082"/>
      <c r="Q49" s="1080"/>
      <c r="S49" s="1081"/>
    </row>
    <row r="50" spans="1:19" ht="15.75" thickTop="1" x14ac:dyDescent="0.25">
      <c r="A50" s="1181" t="s">
        <v>1266</v>
      </c>
      <c r="B50" s="1180"/>
      <c r="C50" s="1180"/>
      <c r="D50" s="1180"/>
      <c r="E50" s="1180"/>
      <c r="F50" s="1180"/>
      <c r="G50" s="1180"/>
      <c r="H50" s="1180"/>
      <c r="I50" s="997">
        <v>114000</v>
      </c>
      <c r="J50" s="997">
        <v>0</v>
      </c>
      <c r="K50" s="1189">
        <v>114000</v>
      </c>
      <c r="L50" s="1190"/>
      <c r="M50" s="994" t="s">
        <v>1249</v>
      </c>
      <c r="P50" s="1082">
        <v>114000</v>
      </c>
      <c r="Q50" s="1080">
        <v>100000</v>
      </c>
      <c r="R50" s="993">
        <f t="shared" si="0"/>
        <v>14000</v>
      </c>
      <c r="S50" s="1081">
        <f t="shared" si="1"/>
        <v>14000</v>
      </c>
    </row>
    <row r="51" spans="1:19" ht="13.15" customHeight="1" x14ac:dyDescent="0.25">
      <c r="A51" s="1182" t="s">
        <v>1249</v>
      </c>
      <c r="B51" s="1180"/>
      <c r="C51" s="1186" t="s">
        <v>1267</v>
      </c>
      <c r="D51" s="1180"/>
      <c r="E51" s="1180"/>
      <c r="F51" s="1180"/>
      <c r="G51" s="1180"/>
      <c r="H51" s="1180"/>
      <c r="I51" s="1180"/>
      <c r="J51" s="1180"/>
      <c r="K51" s="1180"/>
      <c r="L51" s="1180"/>
      <c r="M51" s="1180"/>
      <c r="Q51" s="1080"/>
      <c r="S51" s="1081"/>
    </row>
    <row r="52" spans="1:19" ht="15.75" thickBot="1" x14ac:dyDescent="0.3">
      <c r="A52" s="1182" t="s">
        <v>1249</v>
      </c>
      <c r="B52" s="1180"/>
      <c r="C52" s="1180"/>
      <c r="D52" s="1187">
        <v>45657</v>
      </c>
      <c r="E52" s="1180"/>
      <c r="F52" s="995" t="s">
        <v>1251</v>
      </c>
      <c r="G52" s="995"/>
      <c r="H52" s="995"/>
      <c r="I52" s="996">
        <v>195000</v>
      </c>
      <c r="J52" s="996">
        <v>0</v>
      </c>
      <c r="K52" s="1188">
        <v>195000</v>
      </c>
      <c r="L52" s="1180"/>
      <c r="M52" s="994" t="s">
        <v>1249</v>
      </c>
      <c r="Q52" s="1080"/>
      <c r="S52" s="1081"/>
    </row>
    <row r="53" spans="1:19" ht="15.75" thickTop="1" x14ac:dyDescent="0.25">
      <c r="A53" s="1181" t="s">
        <v>1268</v>
      </c>
      <c r="B53" s="1180"/>
      <c r="C53" s="1180"/>
      <c r="D53" s="1180"/>
      <c r="E53" s="1180"/>
      <c r="F53" s="1180"/>
      <c r="G53" s="1180"/>
      <c r="H53" s="1180"/>
      <c r="I53" s="997">
        <v>195000</v>
      </c>
      <c r="J53" s="997">
        <v>0</v>
      </c>
      <c r="K53" s="1189">
        <v>195000</v>
      </c>
      <c r="L53" s="1190"/>
      <c r="M53" s="994" t="s">
        <v>1249</v>
      </c>
      <c r="P53" s="993">
        <v>195000</v>
      </c>
      <c r="Q53" s="1080">
        <v>170000</v>
      </c>
      <c r="R53" s="993">
        <f t="shared" si="0"/>
        <v>25000</v>
      </c>
      <c r="S53" s="1081">
        <f t="shared" si="1"/>
        <v>25000</v>
      </c>
    </row>
    <row r="54" spans="1:19" ht="13.15" customHeight="1" x14ac:dyDescent="0.25">
      <c r="A54" s="1182" t="s">
        <v>1249</v>
      </c>
      <c r="B54" s="1180"/>
      <c r="C54" s="1186" t="s">
        <v>1269</v>
      </c>
      <c r="D54" s="1180"/>
      <c r="E54" s="1180"/>
      <c r="F54" s="1180"/>
      <c r="G54" s="1180"/>
      <c r="H54" s="1180"/>
      <c r="I54" s="1180"/>
      <c r="J54" s="1180"/>
      <c r="K54" s="1180"/>
      <c r="L54" s="1180"/>
      <c r="M54" s="1180"/>
      <c r="Q54" s="1080"/>
      <c r="S54" s="1081"/>
    </row>
    <row r="55" spans="1:19" ht="15.75" thickBot="1" x14ac:dyDescent="0.3">
      <c r="A55" s="1182" t="s">
        <v>1249</v>
      </c>
      <c r="B55" s="1180"/>
      <c r="C55" s="1180"/>
      <c r="D55" s="1187">
        <v>45657</v>
      </c>
      <c r="E55" s="1180"/>
      <c r="F55" s="995" t="s">
        <v>1251</v>
      </c>
      <c r="G55" s="995"/>
      <c r="H55" s="995"/>
      <c r="I55" s="996">
        <v>1150000</v>
      </c>
      <c r="J55" s="996">
        <v>0</v>
      </c>
      <c r="K55" s="1188">
        <v>1150000</v>
      </c>
      <c r="L55" s="1180"/>
      <c r="M55" s="994" t="s">
        <v>1249</v>
      </c>
      <c r="Q55" s="1080"/>
      <c r="S55" s="1081"/>
    </row>
    <row r="56" spans="1:19" ht="15.75" thickTop="1" x14ac:dyDescent="0.25">
      <c r="A56" s="1181" t="s">
        <v>1270</v>
      </c>
      <c r="B56" s="1180"/>
      <c r="C56" s="1180"/>
      <c r="D56" s="1180"/>
      <c r="E56" s="1180"/>
      <c r="F56" s="1180"/>
      <c r="G56" s="1180"/>
      <c r="H56" s="1180"/>
      <c r="I56" s="997">
        <v>1150000</v>
      </c>
      <c r="J56" s="997">
        <v>0</v>
      </c>
      <c r="K56" s="1189">
        <v>1150000</v>
      </c>
      <c r="L56" s="1190"/>
      <c r="M56" s="994" t="s">
        <v>1249</v>
      </c>
      <c r="P56" s="993">
        <v>1150000</v>
      </c>
      <c r="Q56" s="1080">
        <v>1000000</v>
      </c>
      <c r="R56" s="993">
        <f t="shared" si="0"/>
        <v>150000</v>
      </c>
      <c r="S56" s="1081">
        <f t="shared" si="1"/>
        <v>150000</v>
      </c>
    </row>
    <row r="57" spans="1:19" ht="13.15" customHeight="1" x14ac:dyDescent="0.25">
      <c r="A57" s="1182" t="s">
        <v>1249</v>
      </c>
      <c r="B57" s="1180"/>
      <c r="C57" s="1186" t="s">
        <v>1271</v>
      </c>
      <c r="D57" s="1180"/>
      <c r="E57" s="1180"/>
      <c r="F57" s="1180"/>
      <c r="G57" s="1180"/>
      <c r="H57" s="1180"/>
      <c r="I57" s="1180"/>
      <c r="J57" s="1180"/>
      <c r="K57" s="1180"/>
      <c r="L57" s="1180"/>
      <c r="M57" s="1180"/>
      <c r="Q57" s="1080"/>
      <c r="S57" s="1081"/>
    </row>
    <row r="58" spans="1:19" ht="15.75" thickBot="1" x14ac:dyDescent="0.3">
      <c r="A58" s="1182" t="s">
        <v>1249</v>
      </c>
      <c r="B58" s="1180"/>
      <c r="C58" s="1180"/>
      <c r="D58" s="1187">
        <v>45657</v>
      </c>
      <c r="E58" s="1180"/>
      <c r="F58" s="995" t="s">
        <v>1251</v>
      </c>
      <c r="G58" s="995"/>
      <c r="H58" s="995"/>
      <c r="I58" s="996">
        <v>20000</v>
      </c>
      <c r="J58" s="996">
        <v>0</v>
      </c>
      <c r="K58" s="1188">
        <v>20000</v>
      </c>
      <c r="L58" s="1180"/>
      <c r="M58" s="994" t="s">
        <v>1249</v>
      </c>
      <c r="Q58" s="1080"/>
      <c r="S58" s="1081"/>
    </row>
    <row r="59" spans="1:19" ht="15.75" thickTop="1" x14ac:dyDescent="0.25">
      <c r="A59" s="1181" t="s">
        <v>1272</v>
      </c>
      <c r="B59" s="1180"/>
      <c r="C59" s="1180"/>
      <c r="D59" s="1180"/>
      <c r="E59" s="1180"/>
      <c r="F59" s="1180"/>
      <c r="G59" s="1180"/>
      <c r="H59" s="1180"/>
      <c r="I59" s="997">
        <v>20000</v>
      </c>
      <c r="J59" s="997">
        <v>0</v>
      </c>
      <c r="K59" s="1189">
        <v>20000</v>
      </c>
      <c r="L59" s="1190"/>
      <c r="M59" s="994" t="s">
        <v>1249</v>
      </c>
      <c r="P59" s="993">
        <v>20000</v>
      </c>
      <c r="Q59" s="1080">
        <v>18000</v>
      </c>
      <c r="R59" s="993">
        <f t="shared" si="0"/>
        <v>2000</v>
      </c>
      <c r="S59" s="1081">
        <f t="shared" si="1"/>
        <v>2000</v>
      </c>
    </row>
    <row r="60" spans="1:19" ht="13.15" customHeight="1" x14ac:dyDescent="0.25">
      <c r="A60" s="1182" t="s">
        <v>1249</v>
      </c>
      <c r="B60" s="1180"/>
      <c r="C60" s="1186" t="s">
        <v>1273</v>
      </c>
      <c r="D60" s="1180"/>
      <c r="E60" s="1180"/>
      <c r="F60" s="1180"/>
      <c r="G60" s="1180"/>
      <c r="H60" s="1180"/>
      <c r="I60" s="1180"/>
      <c r="J60" s="1180"/>
      <c r="K60" s="1180"/>
      <c r="L60" s="1180"/>
      <c r="M60" s="1180"/>
      <c r="Q60" s="1080"/>
      <c r="S60" s="1081"/>
    </row>
    <row r="61" spans="1:19" ht="15.75" thickBot="1" x14ac:dyDescent="0.3">
      <c r="A61" s="1182" t="s">
        <v>1249</v>
      </c>
      <c r="B61" s="1180"/>
      <c r="C61" s="1180"/>
      <c r="D61" s="1187">
        <v>45657</v>
      </c>
      <c r="E61" s="1180"/>
      <c r="F61" s="995" t="s">
        <v>1251</v>
      </c>
      <c r="G61" s="995"/>
      <c r="H61" s="995"/>
      <c r="I61" s="996">
        <v>400000</v>
      </c>
      <c r="J61" s="996">
        <v>0</v>
      </c>
      <c r="K61" s="1188">
        <v>400000</v>
      </c>
      <c r="L61" s="1180"/>
      <c r="M61" s="994" t="s">
        <v>1249</v>
      </c>
      <c r="Q61" s="1080"/>
      <c r="S61" s="1081"/>
    </row>
    <row r="62" spans="1:19" ht="15.75" thickTop="1" x14ac:dyDescent="0.25">
      <c r="A62" s="1181" t="s">
        <v>1274</v>
      </c>
      <c r="B62" s="1180"/>
      <c r="C62" s="1180"/>
      <c r="D62" s="1180"/>
      <c r="E62" s="1180"/>
      <c r="F62" s="1180"/>
      <c r="G62" s="1180"/>
      <c r="H62" s="1180"/>
      <c r="I62" s="997">
        <v>400000</v>
      </c>
      <c r="J62" s="997">
        <v>0</v>
      </c>
      <c r="K62" s="1189">
        <v>400000</v>
      </c>
      <c r="L62" s="1190"/>
      <c r="M62" s="994" t="s">
        <v>1249</v>
      </c>
      <c r="P62" s="993">
        <v>400000</v>
      </c>
      <c r="Q62" s="1080">
        <v>380000</v>
      </c>
      <c r="R62" s="993">
        <f t="shared" si="0"/>
        <v>20000</v>
      </c>
      <c r="S62" s="1081">
        <f t="shared" si="1"/>
        <v>20000</v>
      </c>
    </row>
    <row r="63" spans="1:19" ht="13.15" customHeight="1" x14ac:dyDescent="0.25">
      <c r="A63" s="1182" t="s">
        <v>1249</v>
      </c>
      <c r="B63" s="1180"/>
      <c r="C63" s="1186" t="s">
        <v>1412</v>
      </c>
      <c r="D63" s="1180"/>
      <c r="E63" s="1180"/>
      <c r="F63" s="1180"/>
      <c r="G63" s="1180"/>
      <c r="H63" s="1180"/>
      <c r="I63" s="1180"/>
      <c r="J63" s="1180"/>
      <c r="K63" s="1180"/>
      <c r="L63" s="1180"/>
      <c r="M63" s="1180"/>
      <c r="Q63" s="1080"/>
    </row>
    <row r="64" spans="1:19" ht="15.75" thickBot="1" x14ac:dyDescent="0.3">
      <c r="A64" s="1182" t="s">
        <v>1249</v>
      </c>
      <c r="B64" s="1180"/>
      <c r="C64" s="1180"/>
      <c r="D64" s="1187">
        <v>45657</v>
      </c>
      <c r="E64" s="1180"/>
      <c r="F64" s="995" t="s">
        <v>1251</v>
      </c>
      <c r="G64" s="995"/>
      <c r="H64" s="995"/>
      <c r="I64" s="996">
        <v>654077</v>
      </c>
      <c r="J64" s="996">
        <v>0</v>
      </c>
      <c r="K64" s="1188">
        <v>654077</v>
      </c>
      <c r="L64" s="1180"/>
      <c r="M64" s="994" t="s">
        <v>1249</v>
      </c>
      <c r="Q64" s="1080"/>
    </row>
    <row r="65" spans="1:19" ht="15.75" thickTop="1" x14ac:dyDescent="0.25">
      <c r="A65" s="1181" t="s">
        <v>1275</v>
      </c>
      <c r="B65" s="1180"/>
      <c r="C65" s="1180"/>
      <c r="D65" s="1180"/>
      <c r="E65" s="1180"/>
      <c r="F65" s="1180"/>
      <c r="G65" s="1180"/>
      <c r="H65" s="1180"/>
      <c r="I65" s="997">
        <v>654077</v>
      </c>
      <c r="J65" s="997">
        <v>0</v>
      </c>
      <c r="K65" s="1189">
        <v>654077</v>
      </c>
      <c r="L65" s="1190"/>
      <c r="M65" s="994" t="s">
        <v>1249</v>
      </c>
      <c r="Q65" s="1080"/>
      <c r="R65" s="993">
        <v>27253</v>
      </c>
      <c r="S65" s="992">
        <v>27253</v>
      </c>
    </row>
    <row r="66" spans="1:19" ht="13.15" customHeight="1" x14ac:dyDescent="0.25">
      <c r="A66" s="1182" t="s">
        <v>1249</v>
      </c>
      <c r="B66" s="1180"/>
      <c r="C66" s="1186" t="s">
        <v>1413</v>
      </c>
      <c r="D66" s="1180"/>
      <c r="E66" s="1180"/>
      <c r="F66" s="1180"/>
      <c r="G66" s="1180"/>
      <c r="H66" s="1180"/>
      <c r="I66" s="1180"/>
      <c r="J66" s="1180"/>
      <c r="K66" s="1180"/>
      <c r="L66" s="1180"/>
      <c r="M66" s="1180"/>
      <c r="Q66" s="1080"/>
    </row>
    <row r="67" spans="1:19" ht="15.75" thickBot="1" x14ac:dyDescent="0.3">
      <c r="A67" s="1182" t="s">
        <v>1249</v>
      </c>
      <c r="B67" s="1180"/>
      <c r="C67" s="1180"/>
      <c r="D67" s="1187">
        <v>45657</v>
      </c>
      <c r="E67" s="1180"/>
      <c r="F67" s="995" t="s">
        <v>1251</v>
      </c>
      <c r="G67" s="995"/>
      <c r="H67" s="995"/>
      <c r="I67" s="996">
        <v>98000</v>
      </c>
      <c r="J67" s="996">
        <v>0</v>
      </c>
      <c r="K67" s="1188">
        <v>98000</v>
      </c>
      <c r="L67" s="1180"/>
      <c r="M67" s="994" t="s">
        <v>1249</v>
      </c>
      <c r="Q67" s="1080"/>
    </row>
    <row r="68" spans="1:19" ht="15.75" thickTop="1" x14ac:dyDescent="0.25">
      <c r="A68" s="1181" t="s">
        <v>1414</v>
      </c>
      <c r="B68" s="1180"/>
      <c r="C68" s="1180"/>
      <c r="D68" s="1180"/>
      <c r="E68" s="1180"/>
      <c r="F68" s="1180"/>
      <c r="G68" s="1180"/>
      <c r="H68" s="1180"/>
      <c r="I68" s="997">
        <v>98000</v>
      </c>
      <c r="J68" s="997">
        <v>0</v>
      </c>
      <c r="K68" s="1189">
        <v>98000</v>
      </c>
      <c r="L68" s="1190"/>
      <c r="M68" s="994" t="s">
        <v>1249</v>
      </c>
      <c r="P68" s="993">
        <v>100000</v>
      </c>
      <c r="Q68" s="1080">
        <v>90000</v>
      </c>
      <c r="R68" s="993">
        <f>P68-Q68</f>
        <v>10000</v>
      </c>
      <c r="S68" s="1081">
        <f>K68-Q68</f>
        <v>8000</v>
      </c>
    </row>
    <row r="69" spans="1:19" ht="13.15" customHeight="1" x14ac:dyDescent="0.25">
      <c r="A69" s="1182" t="s">
        <v>1249</v>
      </c>
      <c r="B69" s="1180"/>
      <c r="C69" s="1186" t="s">
        <v>1276</v>
      </c>
      <c r="D69" s="1180"/>
      <c r="E69" s="1180"/>
      <c r="F69" s="1180"/>
      <c r="G69" s="1180"/>
      <c r="H69" s="1180"/>
      <c r="I69" s="1180"/>
      <c r="J69" s="1180"/>
      <c r="K69" s="1180"/>
      <c r="L69" s="1180"/>
      <c r="M69" s="1180"/>
      <c r="Q69" s="1080"/>
    </row>
    <row r="70" spans="1:19" ht="15.75" thickBot="1" x14ac:dyDescent="0.3">
      <c r="A70" s="1182" t="s">
        <v>1249</v>
      </c>
      <c r="B70" s="1180"/>
      <c r="C70" s="1180"/>
      <c r="D70" s="1187">
        <v>45657</v>
      </c>
      <c r="E70" s="1180"/>
      <c r="F70" s="995" t="s">
        <v>1251</v>
      </c>
      <c r="G70" s="995"/>
      <c r="H70" s="995"/>
      <c r="I70" s="996">
        <v>240000</v>
      </c>
      <c r="J70" s="996">
        <v>0</v>
      </c>
      <c r="K70" s="1188">
        <v>240000</v>
      </c>
      <c r="L70" s="1180"/>
      <c r="M70" s="994" t="s">
        <v>1249</v>
      </c>
      <c r="Q70" s="1080"/>
    </row>
    <row r="71" spans="1:19" ht="15.75" thickTop="1" x14ac:dyDescent="0.25">
      <c r="A71" s="1181" t="s">
        <v>1277</v>
      </c>
      <c r="B71" s="1180"/>
      <c r="C71" s="1180"/>
      <c r="D71" s="1180"/>
      <c r="E71" s="1180"/>
      <c r="F71" s="1180"/>
      <c r="G71" s="1180"/>
      <c r="H71" s="1180"/>
      <c r="I71" s="997">
        <v>240000</v>
      </c>
      <c r="J71" s="997">
        <v>0</v>
      </c>
      <c r="K71" s="1189">
        <v>240000</v>
      </c>
      <c r="L71" s="1190"/>
      <c r="M71" s="994" t="s">
        <v>1249</v>
      </c>
      <c r="P71" s="993">
        <v>240000</v>
      </c>
      <c r="Q71" s="1080">
        <v>216000</v>
      </c>
      <c r="R71" s="993">
        <f>P71-Q71</f>
        <v>24000</v>
      </c>
      <c r="S71" s="1081">
        <f>K71-Q71</f>
        <v>24000</v>
      </c>
    </row>
    <row r="72" spans="1:19" ht="13.15" customHeight="1" x14ac:dyDescent="0.25">
      <c r="A72" s="1182" t="s">
        <v>1249</v>
      </c>
      <c r="B72" s="1180"/>
      <c r="C72" s="1186" t="s">
        <v>1278</v>
      </c>
      <c r="D72" s="1180"/>
      <c r="E72" s="1180"/>
      <c r="F72" s="1180"/>
      <c r="G72" s="1180"/>
      <c r="H72" s="1180"/>
      <c r="I72" s="1180"/>
      <c r="J72" s="1180"/>
      <c r="K72" s="1180"/>
      <c r="L72" s="1180"/>
      <c r="M72" s="1180"/>
      <c r="Q72" s="1080"/>
    </row>
    <row r="73" spans="1:19" ht="15.75" thickBot="1" x14ac:dyDescent="0.3">
      <c r="A73" s="1182" t="s">
        <v>1249</v>
      </c>
      <c r="B73" s="1180"/>
      <c r="C73" s="1180"/>
      <c r="D73" s="1187">
        <v>45657</v>
      </c>
      <c r="E73" s="1180"/>
      <c r="F73" s="995" t="s">
        <v>1251</v>
      </c>
      <c r="G73" s="995"/>
      <c r="H73" s="995"/>
      <c r="I73" s="996">
        <v>50425.94</v>
      </c>
      <c r="J73" s="996">
        <v>0</v>
      </c>
      <c r="K73" s="1188">
        <v>50425.94</v>
      </c>
      <c r="L73" s="1180"/>
      <c r="M73" s="994" t="s">
        <v>1249</v>
      </c>
      <c r="Q73" s="1080"/>
    </row>
    <row r="74" spans="1:19" ht="15.75" thickTop="1" x14ac:dyDescent="0.25">
      <c r="A74" s="1181" t="s">
        <v>1279</v>
      </c>
      <c r="B74" s="1180"/>
      <c r="C74" s="1180"/>
      <c r="D74" s="1180"/>
      <c r="E74" s="1180"/>
      <c r="F74" s="1180"/>
      <c r="G74" s="1180"/>
      <c r="H74" s="1180"/>
      <c r="I74" s="997">
        <v>50425.94</v>
      </c>
      <c r="J74" s="997">
        <v>0</v>
      </c>
      <c r="K74" s="1189">
        <v>50425.94</v>
      </c>
      <c r="L74" s="1190"/>
      <c r="M74" s="994" t="s">
        <v>1249</v>
      </c>
      <c r="Q74" s="1080"/>
      <c r="R74" s="993">
        <v>2101</v>
      </c>
      <c r="S74" s="992">
        <v>2101</v>
      </c>
    </row>
    <row r="75" spans="1:19" ht="13.15" customHeight="1" x14ac:dyDescent="0.25">
      <c r="A75" s="1182" t="s">
        <v>1249</v>
      </c>
      <c r="B75" s="1180"/>
      <c r="C75" s="1186" t="s">
        <v>1280</v>
      </c>
      <c r="D75" s="1180"/>
      <c r="E75" s="1180"/>
      <c r="F75" s="1180"/>
      <c r="G75" s="1180"/>
      <c r="H75" s="1180"/>
      <c r="I75" s="1180"/>
      <c r="J75" s="1180"/>
      <c r="K75" s="1180"/>
      <c r="L75" s="1180"/>
      <c r="M75" s="1180"/>
      <c r="Q75" s="1080"/>
    </row>
    <row r="76" spans="1:19" ht="15.75" thickBot="1" x14ac:dyDescent="0.3">
      <c r="A76" s="1182" t="s">
        <v>1249</v>
      </c>
      <c r="B76" s="1180"/>
      <c r="C76" s="1180"/>
      <c r="D76" s="1187">
        <v>45657</v>
      </c>
      <c r="E76" s="1180"/>
      <c r="F76" s="995" t="s">
        <v>1251</v>
      </c>
      <c r="G76" s="995"/>
      <c r="H76" s="995"/>
      <c r="I76" s="996">
        <v>60045.279999999999</v>
      </c>
      <c r="J76" s="996">
        <v>0</v>
      </c>
      <c r="K76" s="1188">
        <v>60045.279999999999</v>
      </c>
      <c r="L76" s="1180"/>
      <c r="M76" s="994" t="s">
        <v>1249</v>
      </c>
      <c r="Q76" s="1080"/>
    </row>
    <row r="77" spans="1:19" ht="15.75" thickTop="1" x14ac:dyDescent="0.25">
      <c r="A77" s="1181" t="s">
        <v>1281</v>
      </c>
      <c r="B77" s="1180"/>
      <c r="C77" s="1180"/>
      <c r="D77" s="1180"/>
      <c r="E77" s="1180"/>
      <c r="F77" s="1180"/>
      <c r="G77" s="1180"/>
      <c r="H77" s="1180"/>
      <c r="I77" s="997">
        <v>60045.279999999999</v>
      </c>
      <c r="J77" s="997">
        <v>0</v>
      </c>
      <c r="K77" s="1189">
        <v>60045.279999999999</v>
      </c>
      <c r="L77" s="1190"/>
      <c r="M77" s="994" t="s">
        <v>1249</v>
      </c>
      <c r="Q77" s="1080"/>
      <c r="R77" s="993">
        <v>2502</v>
      </c>
      <c r="S77" s="992">
        <v>2502</v>
      </c>
    </row>
    <row r="78" spans="1:19" ht="13.15" customHeight="1" x14ac:dyDescent="0.25">
      <c r="A78" s="1182" t="s">
        <v>1249</v>
      </c>
      <c r="B78" s="1180"/>
      <c r="C78" s="1186" t="s">
        <v>1282</v>
      </c>
      <c r="D78" s="1180"/>
      <c r="E78" s="1180"/>
      <c r="F78" s="1180"/>
      <c r="G78" s="1180"/>
      <c r="H78" s="1180"/>
      <c r="I78" s="1180"/>
      <c r="J78" s="1180"/>
      <c r="K78" s="1180"/>
      <c r="L78" s="1180"/>
      <c r="M78" s="1180"/>
      <c r="Q78" s="1080"/>
    </row>
    <row r="79" spans="1:19" ht="15.75" thickBot="1" x14ac:dyDescent="0.3">
      <c r="A79" s="1182" t="s">
        <v>1249</v>
      </c>
      <c r="B79" s="1180"/>
      <c r="C79" s="1180"/>
      <c r="D79" s="1187">
        <v>45657</v>
      </c>
      <c r="E79" s="1180"/>
      <c r="F79" s="995" t="s">
        <v>1251</v>
      </c>
      <c r="G79" s="995"/>
      <c r="H79" s="995"/>
      <c r="I79" s="996">
        <v>78436.100000000006</v>
      </c>
      <c r="J79" s="996">
        <v>0</v>
      </c>
      <c r="K79" s="1188">
        <v>78436.100000000006</v>
      </c>
      <c r="L79" s="1180"/>
      <c r="M79" s="994" t="s">
        <v>1249</v>
      </c>
      <c r="Q79" s="1080"/>
    </row>
    <row r="80" spans="1:19" ht="15.75" thickTop="1" x14ac:dyDescent="0.25">
      <c r="A80" s="1181" t="s">
        <v>1283</v>
      </c>
      <c r="B80" s="1180"/>
      <c r="C80" s="1180"/>
      <c r="D80" s="1180"/>
      <c r="E80" s="1180"/>
      <c r="F80" s="1180"/>
      <c r="G80" s="1180"/>
      <c r="H80" s="1180"/>
      <c r="I80" s="997">
        <v>78436.100000000006</v>
      </c>
      <c r="J80" s="997">
        <v>0</v>
      </c>
      <c r="K80" s="1189">
        <v>78436.100000000006</v>
      </c>
      <c r="L80" s="1190"/>
      <c r="M80" s="994" t="s">
        <v>1249</v>
      </c>
      <c r="Q80" s="1080"/>
      <c r="R80" s="993">
        <v>3268</v>
      </c>
      <c r="S80" s="992">
        <v>3268</v>
      </c>
    </row>
    <row r="81" spans="1:19" ht="13.15" customHeight="1" x14ac:dyDescent="0.25">
      <c r="A81" s="1182" t="s">
        <v>1249</v>
      </c>
      <c r="B81" s="1180"/>
      <c r="C81" s="1186" t="s">
        <v>1284</v>
      </c>
      <c r="D81" s="1180"/>
      <c r="E81" s="1180"/>
      <c r="F81" s="1180"/>
      <c r="G81" s="1180"/>
      <c r="H81" s="1180"/>
      <c r="I81" s="1180"/>
      <c r="J81" s="1180"/>
      <c r="K81" s="1180"/>
      <c r="L81" s="1180"/>
      <c r="M81" s="1180"/>
      <c r="Q81" s="1080"/>
    </row>
    <row r="82" spans="1:19" ht="15.75" thickBot="1" x14ac:dyDescent="0.3">
      <c r="A82" s="1182" t="s">
        <v>1249</v>
      </c>
      <c r="B82" s="1180"/>
      <c r="C82" s="1180"/>
      <c r="D82" s="1187">
        <v>45657</v>
      </c>
      <c r="E82" s="1180"/>
      <c r="F82" s="995" t="s">
        <v>1251</v>
      </c>
      <c r="G82" s="995"/>
      <c r="H82" s="995"/>
      <c r="I82" s="996">
        <v>91049.600000000006</v>
      </c>
      <c r="J82" s="996">
        <v>0</v>
      </c>
      <c r="K82" s="1188">
        <v>91049.600000000006</v>
      </c>
      <c r="L82" s="1180"/>
      <c r="M82" s="994" t="s">
        <v>1249</v>
      </c>
      <c r="Q82" s="1080"/>
    </row>
    <row r="83" spans="1:19" ht="15.75" thickTop="1" x14ac:dyDescent="0.25">
      <c r="A83" s="1181" t="s">
        <v>1285</v>
      </c>
      <c r="B83" s="1180"/>
      <c r="C83" s="1180"/>
      <c r="D83" s="1180"/>
      <c r="E83" s="1180"/>
      <c r="F83" s="1180"/>
      <c r="G83" s="1180"/>
      <c r="H83" s="1180"/>
      <c r="I83" s="997">
        <v>91049.600000000006</v>
      </c>
      <c r="J83" s="997">
        <v>0</v>
      </c>
      <c r="K83" s="1189">
        <v>91049.600000000006</v>
      </c>
      <c r="L83" s="1190"/>
      <c r="M83" s="994" t="s">
        <v>1249</v>
      </c>
      <c r="Q83" s="1080"/>
      <c r="R83" s="993">
        <v>3794</v>
      </c>
      <c r="S83" s="992">
        <v>3794</v>
      </c>
    </row>
    <row r="84" spans="1:19" ht="13.15" customHeight="1" x14ac:dyDescent="0.25">
      <c r="A84" s="1182" t="s">
        <v>1249</v>
      </c>
      <c r="B84" s="1180"/>
      <c r="C84" s="1186" t="s">
        <v>1286</v>
      </c>
      <c r="D84" s="1180"/>
      <c r="E84" s="1180"/>
      <c r="F84" s="1180"/>
      <c r="G84" s="1180"/>
      <c r="H84" s="1180"/>
      <c r="I84" s="1180"/>
      <c r="J84" s="1180"/>
      <c r="K84" s="1180"/>
      <c r="L84" s="1180"/>
      <c r="M84" s="1180"/>
      <c r="Q84" s="1080"/>
    </row>
    <row r="85" spans="1:19" ht="15.75" thickBot="1" x14ac:dyDescent="0.3">
      <c r="A85" s="1182" t="s">
        <v>1249</v>
      </c>
      <c r="B85" s="1180"/>
      <c r="C85" s="1180"/>
      <c r="D85" s="1187">
        <v>45657</v>
      </c>
      <c r="E85" s="1180"/>
      <c r="F85" s="995" t="s">
        <v>1251</v>
      </c>
      <c r="G85" s="995"/>
      <c r="H85" s="995"/>
      <c r="I85" s="996">
        <v>84090.58</v>
      </c>
      <c r="J85" s="996">
        <v>0</v>
      </c>
      <c r="K85" s="1188">
        <v>84090.58</v>
      </c>
      <c r="L85" s="1180"/>
      <c r="M85" s="994" t="s">
        <v>1249</v>
      </c>
      <c r="Q85" s="1080"/>
    </row>
    <row r="86" spans="1:19" ht="15.75" thickTop="1" x14ac:dyDescent="0.25">
      <c r="A86" s="1181" t="s">
        <v>1287</v>
      </c>
      <c r="B86" s="1180"/>
      <c r="C86" s="1180"/>
      <c r="D86" s="1180"/>
      <c r="E86" s="1180"/>
      <c r="F86" s="1180"/>
      <c r="G86" s="1180"/>
      <c r="H86" s="1180"/>
      <c r="I86" s="997">
        <v>84090.58</v>
      </c>
      <c r="J86" s="997">
        <v>0</v>
      </c>
      <c r="K86" s="1189">
        <v>84090.58</v>
      </c>
      <c r="L86" s="1190"/>
      <c r="M86" s="994" t="s">
        <v>1249</v>
      </c>
      <c r="Q86" s="1080"/>
      <c r="R86" s="993">
        <v>3504</v>
      </c>
      <c r="S86" s="992">
        <v>3504</v>
      </c>
    </row>
    <row r="87" spans="1:19" ht="13.15" customHeight="1" x14ac:dyDescent="0.25">
      <c r="A87" s="1182" t="s">
        <v>1249</v>
      </c>
      <c r="B87" s="1180"/>
      <c r="C87" s="1186" t="s">
        <v>1288</v>
      </c>
      <c r="D87" s="1180"/>
      <c r="E87" s="1180"/>
      <c r="F87" s="1180"/>
      <c r="G87" s="1180"/>
      <c r="H87" s="1180"/>
      <c r="I87" s="1180"/>
      <c r="J87" s="1180"/>
      <c r="K87" s="1180"/>
      <c r="L87" s="1180"/>
      <c r="M87" s="1180"/>
      <c r="Q87" s="1080"/>
    </row>
    <row r="88" spans="1:19" ht="15.75" thickBot="1" x14ac:dyDescent="0.3">
      <c r="A88" s="1182" t="s">
        <v>1249</v>
      </c>
      <c r="B88" s="1180"/>
      <c r="C88" s="1180"/>
      <c r="D88" s="1187">
        <v>45657</v>
      </c>
      <c r="E88" s="1180"/>
      <c r="F88" s="995" t="s">
        <v>1251</v>
      </c>
      <c r="G88" s="995"/>
      <c r="H88" s="995"/>
      <c r="I88" s="996">
        <v>60000</v>
      </c>
      <c r="J88" s="996">
        <v>0</v>
      </c>
      <c r="K88" s="1188">
        <v>60000</v>
      </c>
      <c r="L88" s="1180"/>
      <c r="M88" s="994" t="s">
        <v>1249</v>
      </c>
      <c r="Q88" s="1080"/>
    </row>
    <row r="89" spans="1:19" ht="15.75" thickTop="1" x14ac:dyDescent="0.25">
      <c r="A89" s="1181" t="s">
        <v>1289</v>
      </c>
      <c r="B89" s="1180"/>
      <c r="C89" s="1180"/>
      <c r="D89" s="1180"/>
      <c r="E89" s="1180"/>
      <c r="F89" s="1180"/>
      <c r="G89" s="1180"/>
      <c r="H89" s="1180"/>
      <c r="I89" s="997">
        <v>60000</v>
      </c>
      <c r="J89" s="997">
        <v>0</v>
      </c>
      <c r="K89" s="1189">
        <v>60000</v>
      </c>
      <c r="L89" s="1190"/>
      <c r="M89" s="994" t="s">
        <v>1249</v>
      </c>
      <c r="P89" s="993">
        <v>60000</v>
      </c>
      <c r="Q89" s="1080">
        <v>54000</v>
      </c>
      <c r="R89" s="993">
        <f>P89-Q89</f>
        <v>6000</v>
      </c>
      <c r="S89" s="1081">
        <f>K89-Q89</f>
        <v>6000</v>
      </c>
    </row>
    <row r="90" spans="1:19" ht="13.15" customHeight="1" x14ac:dyDescent="0.25">
      <c r="A90" s="1182" t="s">
        <v>1249</v>
      </c>
      <c r="B90" s="1180"/>
      <c r="C90" s="1186" t="s">
        <v>1290</v>
      </c>
      <c r="D90" s="1180"/>
      <c r="E90" s="1180"/>
      <c r="F90" s="1180"/>
      <c r="G90" s="1180"/>
      <c r="H90" s="1180"/>
      <c r="I90" s="1180"/>
      <c r="J90" s="1180"/>
      <c r="K90" s="1180"/>
      <c r="L90" s="1180"/>
      <c r="M90" s="1180"/>
      <c r="Q90" s="1080"/>
    </row>
    <row r="91" spans="1:19" ht="15.75" thickBot="1" x14ac:dyDescent="0.3">
      <c r="A91" s="1182" t="s">
        <v>1249</v>
      </c>
      <c r="B91" s="1180"/>
      <c r="C91" s="1180"/>
      <c r="D91" s="1187">
        <v>45657</v>
      </c>
      <c r="E91" s="1180"/>
      <c r="F91" s="995" t="s">
        <v>1251</v>
      </c>
      <c r="G91" s="995"/>
      <c r="H91" s="995"/>
      <c r="I91" s="996">
        <v>27565.34</v>
      </c>
      <c r="J91" s="996">
        <v>0</v>
      </c>
      <c r="K91" s="1188">
        <v>27565.34</v>
      </c>
      <c r="L91" s="1180"/>
      <c r="M91" s="994" t="s">
        <v>1249</v>
      </c>
      <c r="Q91" s="1080"/>
    </row>
    <row r="92" spans="1:19" ht="15.75" thickTop="1" x14ac:dyDescent="0.25">
      <c r="A92" s="1181" t="s">
        <v>1291</v>
      </c>
      <c r="B92" s="1180"/>
      <c r="C92" s="1180"/>
      <c r="D92" s="1180"/>
      <c r="E92" s="1180"/>
      <c r="F92" s="1180"/>
      <c r="G92" s="1180"/>
      <c r="H92" s="1180"/>
      <c r="I92" s="997">
        <v>27565.34</v>
      </c>
      <c r="J92" s="997">
        <v>0</v>
      </c>
      <c r="K92" s="1189">
        <v>27565.34</v>
      </c>
      <c r="L92" s="1190"/>
      <c r="M92" s="994" t="s">
        <v>1249</v>
      </c>
      <c r="Q92" s="1080"/>
      <c r="R92" s="993">
        <v>1149</v>
      </c>
      <c r="S92" s="992">
        <v>1149</v>
      </c>
    </row>
    <row r="93" spans="1:19" ht="13.15" customHeight="1" x14ac:dyDescent="0.25">
      <c r="A93" s="1182" t="s">
        <v>1249</v>
      </c>
      <c r="B93" s="1180"/>
      <c r="C93" s="1186" t="s">
        <v>1292</v>
      </c>
      <c r="D93" s="1180"/>
      <c r="E93" s="1180"/>
      <c r="F93" s="1180"/>
      <c r="G93" s="1180"/>
      <c r="H93" s="1180"/>
      <c r="I93" s="1180"/>
      <c r="J93" s="1180"/>
      <c r="K93" s="1180"/>
      <c r="L93" s="1180"/>
      <c r="M93" s="1180"/>
      <c r="Q93" s="1080"/>
    </row>
    <row r="94" spans="1:19" ht="15.75" thickBot="1" x14ac:dyDescent="0.3">
      <c r="A94" s="1182" t="s">
        <v>1249</v>
      </c>
      <c r="B94" s="1180"/>
      <c r="C94" s="1180"/>
      <c r="D94" s="1187">
        <v>45657</v>
      </c>
      <c r="E94" s="1180"/>
      <c r="F94" s="995" t="s">
        <v>1251</v>
      </c>
      <c r="G94" s="995"/>
      <c r="H94" s="995"/>
      <c r="I94" s="996">
        <v>45076.94</v>
      </c>
      <c r="J94" s="996">
        <v>0</v>
      </c>
      <c r="K94" s="1188">
        <v>45076.94</v>
      </c>
      <c r="L94" s="1180"/>
      <c r="M94" s="994" t="s">
        <v>1249</v>
      </c>
      <c r="Q94" s="1080"/>
    </row>
    <row r="95" spans="1:19" ht="15.75" thickTop="1" x14ac:dyDescent="0.25">
      <c r="A95" s="1181" t="s">
        <v>1293</v>
      </c>
      <c r="B95" s="1180"/>
      <c r="C95" s="1180"/>
      <c r="D95" s="1180"/>
      <c r="E95" s="1180"/>
      <c r="F95" s="1180"/>
      <c r="G95" s="1180"/>
      <c r="H95" s="1180"/>
      <c r="I95" s="997">
        <v>45076.94</v>
      </c>
      <c r="J95" s="997">
        <v>0</v>
      </c>
      <c r="K95" s="1189">
        <v>45076.94</v>
      </c>
      <c r="L95" s="1190"/>
      <c r="M95" s="994" t="s">
        <v>1249</v>
      </c>
      <c r="Q95" s="1080"/>
      <c r="R95" s="993">
        <v>1878</v>
      </c>
      <c r="S95" s="992">
        <v>1878</v>
      </c>
    </row>
    <row r="96" spans="1:19" ht="13.15" customHeight="1" x14ac:dyDescent="0.25">
      <c r="A96" s="1182" t="s">
        <v>1249</v>
      </c>
      <c r="B96" s="1180"/>
      <c r="C96" s="1186" t="s">
        <v>1294</v>
      </c>
      <c r="D96" s="1180"/>
      <c r="E96" s="1180"/>
      <c r="F96" s="1180"/>
      <c r="G96" s="1180"/>
      <c r="H96" s="1180"/>
      <c r="I96" s="1180"/>
      <c r="J96" s="1180"/>
      <c r="K96" s="1180"/>
      <c r="L96" s="1180"/>
      <c r="M96" s="1180"/>
      <c r="Q96" s="1080"/>
    </row>
    <row r="97" spans="1:19" ht="15.75" thickBot="1" x14ac:dyDescent="0.3">
      <c r="A97" s="1182" t="s">
        <v>1249</v>
      </c>
      <c r="B97" s="1180"/>
      <c r="C97" s="1180"/>
      <c r="D97" s="1187">
        <v>45657</v>
      </c>
      <c r="E97" s="1180"/>
      <c r="F97" s="995" t="s">
        <v>1251</v>
      </c>
      <c r="G97" s="995"/>
      <c r="H97" s="995"/>
      <c r="I97" s="996">
        <v>3010.97</v>
      </c>
      <c r="J97" s="996">
        <v>0</v>
      </c>
      <c r="K97" s="1188">
        <v>3010.97</v>
      </c>
      <c r="L97" s="1180"/>
      <c r="M97" s="994" t="s">
        <v>1249</v>
      </c>
      <c r="Q97" s="1080"/>
    </row>
    <row r="98" spans="1:19" ht="15.75" thickTop="1" x14ac:dyDescent="0.25">
      <c r="A98" s="1181" t="s">
        <v>1295</v>
      </c>
      <c r="B98" s="1180"/>
      <c r="C98" s="1180"/>
      <c r="D98" s="1180"/>
      <c r="E98" s="1180"/>
      <c r="F98" s="1180"/>
      <c r="G98" s="1180"/>
      <c r="H98" s="1180"/>
      <c r="I98" s="997">
        <v>3010.97</v>
      </c>
      <c r="J98" s="997">
        <v>0</v>
      </c>
      <c r="K98" s="1189">
        <v>3010.97</v>
      </c>
      <c r="L98" s="1190"/>
      <c r="M98" s="994" t="s">
        <v>1249</v>
      </c>
      <c r="Q98" s="1080"/>
      <c r="R98" s="993">
        <v>125</v>
      </c>
      <c r="S98" s="992">
        <v>125</v>
      </c>
    </row>
    <row r="99" spans="1:19" ht="13.15" customHeight="1" x14ac:dyDescent="0.25">
      <c r="A99" s="1182" t="s">
        <v>1249</v>
      </c>
      <c r="B99" s="1180"/>
      <c r="C99" s="1186" t="s">
        <v>1296</v>
      </c>
      <c r="D99" s="1180"/>
      <c r="E99" s="1180"/>
      <c r="F99" s="1180"/>
      <c r="G99" s="1180"/>
      <c r="H99" s="1180"/>
      <c r="I99" s="1180"/>
      <c r="J99" s="1180"/>
      <c r="K99" s="1180"/>
      <c r="L99" s="1180"/>
      <c r="M99" s="1180"/>
      <c r="Q99" s="1080"/>
    </row>
    <row r="100" spans="1:19" ht="15.75" thickBot="1" x14ac:dyDescent="0.3">
      <c r="A100" s="1182" t="s">
        <v>1249</v>
      </c>
      <c r="B100" s="1180"/>
      <c r="C100" s="1180"/>
      <c r="D100" s="1187">
        <v>45657</v>
      </c>
      <c r="E100" s="1180"/>
      <c r="F100" s="995" t="s">
        <v>1251</v>
      </c>
      <c r="G100" s="995"/>
      <c r="H100" s="995"/>
      <c r="I100" s="996">
        <v>100000</v>
      </c>
      <c r="J100" s="996">
        <v>0</v>
      </c>
      <c r="K100" s="1188">
        <v>100000</v>
      </c>
      <c r="L100" s="1180"/>
      <c r="M100" s="994" t="s">
        <v>1249</v>
      </c>
      <c r="Q100" s="1080"/>
    </row>
    <row r="101" spans="1:19" ht="15.75" thickTop="1" x14ac:dyDescent="0.25">
      <c r="A101" s="1181" t="s">
        <v>1297</v>
      </c>
      <c r="B101" s="1180"/>
      <c r="C101" s="1180"/>
      <c r="D101" s="1180"/>
      <c r="E101" s="1180"/>
      <c r="F101" s="1180"/>
      <c r="G101" s="1180"/>
      <c r="H101" s="1180"/>
      <c r="I101" s="997">
        <v>100000</v>
      </c>
      <c r="J101" s="997">
        <v>0</v>
      </c>
      <c r="K101" s="1189">
        <v>100000</v>
      </c>
      <c r="L101" s="1190"/>
      <c r="M101" s="994" t="s">
        <v>1249</v>
      </c>
      <c r="P101" s="993">
        <v>100000</v>
      </c>
      <c r="Q101" s="1080">
        <v>90000</v>
      </c>
      <c r="R101" s="993">
        <f>P101-Q101</f>
        <v>10000</v>
      </c>
      <c r="S101" s="1081">
        <f>K101-Q101</f>
        <v>10000</v>
      </c>
    </row>
    <row r="102" spans="1:19" ht="13.15" customHeight="1" x14ac:dyDescent="0.25">
      <c r="A102" s="1182" t="s">
        <v>1249</v>
      </c>
      <c r="B102" s="1180"/>
      <c r="C102" s="1186" t="s">
        <v>1415</v>
      </c>
      <c r="D102" s="1180"/>
      <c r="E102" s="1180"/>
      <c r="F102" s="1180"/>
      <c r="G102" s="1180"/>
      <c r="H102" s="1180"/>
      <c r="I102" s="1180"/>
      <c r="J102" s="1180"/>
      <c r="K102" s="1180"/>
      <c r="L102" s="1180"/>
      <c r="M102" s="1180"/>
      <c r="Q102" s="1080"/>
      <c r="S102" s="1081"/>
    </row>
    <row r="103" spans="1:19" ht="15.75" thickBot="1" x14ac:dyDescent="0.3">
      <c r="A103" s="1182" t="s">
        <v>1249</v>
      </c>
      <c r="B103" s="1180"/>
      <c r="C103" s="1180"/>
      <c r="D103" s="1187">
        <v>45657</v>
      </c>
      <c r="E103" s="1180"/>
      <c r="F103" s="995" t="s">
        <v>1251</v>
      </c>
      <c r="G103" s="995"/>
      <c r="H103" s="995"/>
      <c r="I103" s="996">
        <v>30000</v>
      </c>
      <c r="J103" s="996">
        <v>0</v>
      </c>
      <c r="K103" s="1188">
        <v>30000</v>
      </c>
      <c r="L103" s="1180"/>
      <c r="M103" s="994" t="s">
        <v>1249</v>
      </c>
      <c r="Q103" s="1080"/>
      <c r="S103" s="1081"/>
    </row>
    <row r="104" spans="1:19" ht="15.75" thickTop="1" x14ac:dyDescent="0.25">
      <c r="A104" s="1181" t="s">
        <v>1416</v>
      </c>
      <c r="B104" s="1180"/>
      <c r="C104" s="1180"/>
      <c r="D104" s="1180"/>
      <c r="E104" s="1180"/>
      <c r="F104" s="1180"/>
      <c r="G104" s="1180"/>
      <c r="H104" s="1180"/>
      <c r="I104" s="997">
        <v>30000</v>
      </c>
      <c r="J104" s="997">
        <v>0</v>
      </c>
      <c r="K104" s="1189">
        <v>30000</v>
      </c>
      <c r="L104" s="1190"/>
      <c r="M104" s="994" t="s">
        <v>1249</v>
      </c>
      <c r="P104" s="993">
        <v>30000</v>
      </c>
      <c r="Q104" s="1080">
        <v>30000</v>
      </c>
      <c r="R104" s="993">
        <f>P104-Q104</f>
        <v>0</v>
      </c>
      <c r="S104" s="1081">
        <f t="shared" ref="S104:S116" si="2">K104-Q104</f>
        <v>0</v>
      </c>
    </row>
    <row r="105" spans="1:19" ht="13.15" customHeight="1" x14ac:dyDescent="0.25">
      <c r="A105" s="1182" t="s">
        <v>1249</v>
      </c>
      <c r="B105" s="1180"/>
      <c r="C105" s="1186" t="s">
        <v>1298</v>
      </c>
      <c r="D105" s="1180"/>
      <c r="E105" s="1180"/>
      <c r="F105" s="1180"/>
      <c r="G105" s="1180"/>
      <c r="H105" s="1180"/>
      <c r="I105" s="1180"/>
      <c r="J105" s="1180"/>
      <c r="K105" s="1180"/>
      <c r="L105" s="1180"/>
      <c r="M105" s="1180"/>
      <c r="Q105" s="1080"/>
      <c r="S105" s="1081"/>
    </row>
    <row r="106" spans="1:19" ht="15.75" thickBot="1" x14ac:dyDescent="0.3">
      <c r="A106" s="1182" t="s">
        <v>1249</v>
      </c>
      <c r="B106" s="1180"/>
      <c r="C106" s="1180"/>
      <c r="D106" s="1187">
        <v>45657</v>
      </c>
      <c r="E106" s="1180"/>
      <c r="F106" s="995" t="s">
        <v>1251</v>
      </c>
      <c r="G106" s="995"/>
      <c r="H106" s="995"/>
      <c r="I106" s="996">
        <v>22000</v>
      </c>
      <c r="J106" s="996">
        <v>0</v>
      </c>
      <c r="K106" s="1188">
        <v>22000</v>
      </c>
      <c r="L106" s="1180"/>
      <c r="M106" s="994" t="s">
        <v>1249</v>
      </c>
      <c r="Q106" s="1080"/>
      <c r="S106" s="1081"/>
    </row>
    <row r="107" spans="1:19" ht="15.75" thickTop="1" x14ac:dyDescent="0.25">
      <c r="A107" s="1181" t="s">
        <v>1299</v>
      </c>
      <c r="B107" s="1180"/>
      <c r="C107" s="1180"/>
      <c r="D107" s="1180"/>
      <c r="E107" s="1180"/>
      <c r="F107" s="1180"/>
      <c r="G107" s="1180"/>
      <c r="H107" s="1180"/>
      <c r="I107" s="997">
        <v>22000</v>
      </c>
      <c r="J107" s="997">
        <v>0</v>
      </c>
      <c r="K107" s="1189">
        <v>22000</v>
      </c>
      <c r="L107" s="1190"/>
      <c r="M107" s="994" t="s">
        <v>1249</v>
      </c>
      <c r="P107" s="993">
        <v>22000</v>
      </c>
      <c r="Q107" s="1080">
        <v>20000</v>
      </c>
      <c r="R107" s="993">
        <f>P107-Q107</f>
        <v>2000</v>
      </c>
      <c r="S107" s="1081">
        <f t="shared" si="2"/>
        <v>2000</v>
      </c>
    </row>
    <row r="108" spans="1:19" ht="13.15" customHeight="1" x14ac:dyDescent="0.25">
      <c r="A108" s="1182" t="s">
        <v>1249</v>
      </c>
      <c r="B108" s="1180"/>
      <c r="C108" s="1186" t="s">
        <v>1300</v>
      </c>
      <c r="D108" s="1180"/>
      <c r="E108" s="1180"/>
      <c r="F108" s="1180"/>
      <c r="G108" s="1180"/>
      <c r="H108" s="1180"/>
      <c r="I108" s="1180"/>
      <c r="J108" s="1180"/>
      <c r="K108" s="1180"/>
      <c r="L108" s="1180"/>
      <c r="M108" s="1180"/>
      <c r="Q108" s="1080"/>
      <c r="S108" s="1081"/>
    </row>
    <row r="109" spans="1:19" ht="15.75" thickBot="1" x14ac:dyDescent="0.3">
      <c r="A109" s="1182" t="s">
        <v>1249</v>
      </c>
      <c r="B109" s="1180"/>
      <c r="C109" s="1180"/>
      <c r="D109" s="1187">
        <v>45657</v>
      </c>
      <c r="E109" s="1180"/>
      <c r="F109" s="995" t="s">
        <v>1251</v>
      </c>
      <c r="G109" s="995"/>
      <c r="H109" s="995"/>
      <c r="I109" s="996">
        <v>33000</v>
      </c>
      <c r="J109" s="996">
        <v>0</v>
      </c>
      <c r="K109" s="1188">
        <v>33000</v>
      </c>
      <c r="L109" s="1180"/>
      <c r="M109" s="994" t="s">
        <v>1249</v>
      </c>
      <c r="Q109" s="1080"/>
      <c r="S109" s="1081"/>
    </row>
    <row r="110" spans="1:19" ht="15.75" thickTop="1" x14ac:dyDescent="0.25">
      <c r="A110" s="1181" t="s">
        <v>1301</v>
      </c>
      <c r="B110" s="1180"/>
      <c r="C110" s="1180"/>
      <c r="D110" s="1180"/>
      <c r="E110" s="1180"/>
      <c r="F110" s="1180"/>
      <c r="G110" s="1180"/>
      <c r="H110" s="1180"/>
      <c r="I110" s="997">
        <v>33000</v>
      </c>
      <c r="J110" s="997">
        <v>0</v>
      </c>
      <c r="K110" s="1189">
        <v>33000</v>
      </c>
      <c r="L110" s="1190"/>
      <c r="M110" s="994" t="s">
        <v>1249</v>
      </c>
      <c r="P110" s="993">
        <v>33000</v>
      </c>
      <c r="Q110" s="1080">
        <v>30000</v>
      </c>
      <c r="R110" s="993">
        <f>P110-Q110</f>
        <v>3000</v>
      </c>
      <c r="S110" s="1081">
        <f t="shared" si="2"/>
        <v>3000</v>
      </c>
    </row>
    <row r="111" spans="1:19" ht="13.15" customHeight="1" x14ac:dyDescent="0.25">
      <c r="A111" s="1182" t="s">
        <v>1249</v>
      </c>
      <c r="B111" s="1180"/>
      <c r="C111" s="1186" t="s">
        <v>1302</v>
      </c>
      <c r="D111" s="1180"/>
      <c r="E111" s="1180"/>
      <c r="F111" s="1180"/>
      <c r="G111" s="1180"/>
      <c r="H111" s="1180"/>
      <c r="I111" s="1180"/>
      <c r="J111" s="1180"/>
      <c r="K111" s="1180"/>
      <c r="L111" s="1180"/>
      <c r="M111" s="1180"/>
      <c r="Q111" s="1080"/>
      <c r="S111" s="1081"/>
    </row>
    <row r="112" spans="1:19" ht="15.75" thickBot="1" x14ac:dyDescent="0.3">
      <c r="A112" s="1182" t="s">
        <v>1249</v>
      </c>
      <c r="B112" s="1180"/>
      <c r="C112" s="1180"/>
      <c r="D112" s="1187">
        <v>45657</v>
      </c>
      <c r="E112" s="1180"/>
      <c r="F112" s="995" t="s">
        <v>1251</v>
      </c>
      <c r="G112" s="995"/>
      <c r="H112" s="995"/>
      <c r="I112" s="996">
        <v>30000</v>
      </c>
      <c r="J112" s="996">
        <v>0</v>
      </c>
      <c r="K112" s="1188">
        <v>30000</v>
      </c>
      <c r="L112" s="1180"/>
      <c r="M112" s="994" t="s">
        <v>1249</v>
      </c>
      <c r="Q112" s="1080"/>
      <c r="S112" s="1081"/>
    </row>
    <row r="113" spans="1:19" ht="15.75" thickTop="1" x14ac:dyDescent="0.25">
      <c r="A113" s="1181" t="s">
        <v>1303</v>
      </c>
      <c r="B113" s="1180"/>
      <c r="C113" s="1180"/>
      <c r="D113" s="1180"/>
      <c r="E113" s="1180"/>
      <c r="F113" s="1180"/>
      <c r="G113" s="1180"/>
      <c r="H113" s="1180"/>
      <c r="I113" s="997">
        <v>30000</v>
      </c>
      <c r="J113" s="997">
        <v>0</v>
      </c>
      <c r="K113" s="1189">
        <v>30000</v>
      </c>
      <c r="L113" s="1190"/>
      <c r="M113" s="994" t="s">
        <v>1249</v>
      </c>
      <c r="P113" s="993">
        <v>30000</v>
      </c>
      <c r="Q113" s="1080">
        <v>30000</v>
      </c>
      <c r="R113" s="993">
        <f>P113-Q113</f>
        <v>0</v>
      </c>
      <c r="S113" s="1081">
        <f t="shared" si="2"/>
        <v>0</v>
      </c>
    </row>
    <row r="114" spans="1:19" ht="13.15" customHeight="1" x14ac:dyDescent="0.25">
      <c r="A114" s="1182" t="s">
        <v>1249</v>
      </c>
      <c r="B114" s="1180"/>
      <c r="C114" s="1186" t="s">
        <v>1304</v>
      </c>
      <c r="D114" s="1180"/>
      <c r="E114" s="1180"/>
      <c r="F114" s="1180"/>
      <c r="G114" s="1180"/>
      <c r="H114" s="1180"/>
      <c r="I114" s="1180"/>
      <c r="J114" s="1180"/>
      <c r="K114" s="1180"/>
      <c r="L114" s="1180"/>
      <c r="M114" s="1180"/>
      <c r="Q114" s="1080"/>
      <c r="S114" s="1081"/>
    </row>
    <row r="115" spans="1:19" ht="15.75" thickBot="1" x14ac:dyDescent="0.3">
      <c r="A115" s="1182" t="s">
        <v>1249</v>
      </c>
      <c r="B115" s="1180"/>
      <c r="C115" s="1180"/>
      <c r="D115" s="1187">
        <v>45657</v>
      </c>
      <c r="E115" s="1180"/>
      <c r="F115" s="995" t="s">
        <v>1251</v>
      </c>
      <c r="G115" s="995"/>
      <c r="H115" s="995"/>
      <c r="I115" s="996">
        <v>38000</v>
      </c>
      <c r="J115" s="996">
        <v>0</v>
      </c>
      <c r="K115" s="1188">
        <v>38000</v>
      </c>
      <c r="L115" s="1180"/>
      <c r="M115" s="994" t="s">
        <v>1249</v>
      </c>
      <c r="Q115" s="1080"/>
      <c r="S115" s="1081"/>
    </row>
    <row r="116" spans="1:19" ht="15.75" thickTop="1" x14ac:dyDescent="0.25">
      <c r="A116" s="1181" t="s">
        <v>1305</v>
      </c>
      <c r="B116" s="1180"/>
      <c r="C116" s="1180"/>
      <c r="D116" s="1180"/>
      <c r="E116" s="1180"/>
      <c r="F116" s="1180"/>
      <c r="G116" s="1180"/>
      <c r="H116" s="1180"/>
      <c r="I116" s="997">
        <v>38000</v>
      </c>
      <c r="J116" s="997">
        <v>0</v>
      </c>
      <c r="K116" s="1189">
        <v>38000</v>
      </c>
      <c r="L116" s="1190"/>
      <c r="M116" s="994" t="s">
        <v>1249</v>
      </c>
      <c r="P116" s="993">
        <v>38000</v>
      </c>
      <c r="Q116" s="1080">
        <v>35000</v>
      </c>
      <c r="R116" s="993">
        <f>P116-Q116</f>
        <v>3000</v>
      </c>
      <c r="S116" s="1081">
        <f t="shared" si="2"/>
        <v>3000</v>
      </c>
    </row>
    <row r="117" spans="1:19" ht="13.15" customHeight="1" x14ac:dyDescent="0.25">
      <c r="A117" s="1182" t="s">
        <v>1249</v>
      </c>
      <c r="B117" s="1180"/>
      <c r="C117" s="1186" t="s">
        <v>1306</v>
      </c>
      <c r="D117" s="1180"/>
      <c r="E117" s="1180"/>
      <c r="F117" s="1180"/>
      <c r="G117" s="1180"/>
      <c r="H117" s="1180"/>
      <c r="I117" s="1180"/>
      <c r="J117" s="1180"/>
      <c r="K117" s="1180"/>
      <c r="L117" s="1180"/>
      <c r="M117" s="1180"/>
      <c r="Q117" s="1080"/>
    </row>
    <row r="118" spans="1:19" ht="15.75" thickBot="1" x14ac:dyDescent="0.3">
      <c r="A118" s="1182" t="s">
        <v>1249</v>
      </c>
      <c r="B118" s="1180"/>
      <c r="C118" s="1180"/>
      <c r="D118" s="1187">
        <v>45657</v>
      </c>
      <c r="E118" s="1180"/>
      <c r="F118" s="995" t="s">
        <v>1251</v>
      </c>
      <c r="G118" s="995"/>
      <c r="H118" s="995"/>
      <c r="I118" s="996">
        <v>570567.48</v>
      </c>
      <c r="J118" s="996">
        <v>0</v>
      </c>
      <c r="K118" s="1188">
        <v>570567.48</v>
      </c>
      <c r="L118" s="1180"/>
      <c r="M118" s="994" t="s">
        <v>1249</v>
      </c>
      <c r="Q118" s="1080"/>
    </row>
    <row r="119" spans="1:19" ht="15.75" thickTop="1" x14ac:dyDescent="0.25">
      <c r="A119" s="1181" t="s">
        <v>1307</v>
      </c>
      <c r="B119" s="1180"/>
      <c r="C119" s="1180"/>
      <c r="D119" s="1180"/>
      <c r="E119" s="1180"/>
      <c r="F119" s="1180"/>
      <c r="G119" s="1180"/>
      <c r="H119" s="1180"/>
      <c r="I119" s="997">
        <v>570567.48</v>
      </c>
      <c r="J119" s="997">
        <v>0</v>
      </c>
      <c r="K119" s="1189">
        <v>570567.48</v>
      </c>
      <c r="L119" s="1190"/>
      <c r="M119" s="994" t="s">
        <v>1249</v>
      </c>
      <c r="Q119" s="1080"/>
      <c r="R119" s="993">
        <v>23774</v>
      </c>
      <c r="S119" s="992">
        <v>23774</v>
      </c>
    </row>
    <row r="120" spans="1:19" ht="13.15" customHeight="1" x14ac:dyDescent="0.25">
      <c r="A120" s="1182" t="s">
        <v>1249</v>
      </c>
      <c r="B120" s="1180"/>
      <c r="C120" s="1186" t="s">
        <v>1308</v>
      </c>
      <c r="D120" s="1180"/>
      <c r="E120" s="1180"/>
      <c r="F120" s="1180"/>
      <c r="G120" s="1180"/>
      <c r="H120" s="1180"/>
      <c r="I120" s="1180"/>
      <c r="J120" s="1180"/>
      <c r="K120" s="1180"/>
      <c r="L120" s="1180"/>
      <c r="M120" s="1180"/>
      <c r="Q120" s="1080"/>
    </row>
    <row r="121" spans="1:19" ht="15.75" thickBot="1" x14ac:dyDescent="0.3">
      <c r="A121" s="1182" t="s">
        <v>1249</v>
      </c>
      <c r="B121" s="1180"/>
      <c r="C121" s="1180"/>
      <c r="D121" s="1187">
        <v>45657</v>
      </c>
      <c r="E121" s="1180"/>
      <c r="F121" s="995" t="s">
        <v>1251</v>
      </c>
      <c r="G121" s="995"/>
      <c r="H121" s="995"/>
      <c r="I121" s="996">
        <v>570567.48</v>
      </c>
      <c r="J121" s="996">
        <v>0</v>
      </c>
      <c r="K121" s="1188">
        <v>570567.48</v>
      </c>
      <c r="L121" s="1180"/>
      <c r="M121" s="994" t="s">
        <v>1249</v>
      </c>
      <c r="Q121" s="1080"/>
    </row>
    <row r="122" spans="1:19" ht="15.75" thickTop="1" x14ac:dyDescent="0.25">
      <c r="A122" s="1181" t="s">
        <v>1309</v>
      </c>
      <c r="B122" s="1180"/>
      <c r="C122" s="1180"/>
      <c r="D122" s="1180"/>
      <c r="E122" s="1180"/>
      <c r="F122" s="1180"/>
      <c r="G122" s="1180"/>
      <c r="H122" s="1180"/>
      <c r="I122" s="997">
        <v>570567.48</v>
      </c>
      <c r="J122" s="997">
        <v>0</v>
      </c>
      <c r="K122" s="1189">
        <v>570567.48</v>
      </c>
      <c r="L122" s="1190"/>
      <c r="M122" s="994" t="s">
        <v>1249</v>
      </c>
      <c r="Q122" s="1080"/>
      <c r="R122" s="993">
        <v>23774</v>
      </c>
      <c r="S122" s="992">
        <v>23774</v>
      </c>
    </row>
    <row r="123" spans="1:19" ht="13.15" customHeight="1" x14ac:dyDescent="0.25">
      <c r="A123" s="1182" t="s">
        <v>1249</v>
      </c>
      <c r="B123" s="1180"/>
      <c r="C123" s="1186" t="s">
        <v>1310</v>
      </c>
      <c r="D123" s="1180"/>
      <c r="E123" s="1180"/>
      <c r="F123" s="1180"/>
      <c r="G123" s="1180"/>
      <c r="H123" s="1180"/>
      <c r="I123" s="1180"/>
      <c r="J123" s="1180"/>
      <c r="K123" s="1180"/>
      <c r="L123" s="1180"/>
      <c r="M123" s="1180"/>
      <c r="Q123" s="1080"/>
    </row>
    <row r="124" spans="1:19" ht="15.75" thickBot="1" x14ac:dyDescent="0.3">
      <c r="A124" s="1182" t="s">
        <v>1249</v>
      </c>
      <c r="B124" s="1180"/>
      <c r="C124" s="1180"/>
      <c r="D124" s="1187">
        <v>45657</v>
      </c>
      <c r="E124" s="1180"/>
      <c r="F124" s="995" t="s">
        <v>1251</v>
      </c>
      <c r="G124" s="995"/>
      <c r="H124" s="995"/>
      <c r="I124" s="996">
        <v>121118.78</v>
      </c>
      <c r="J124" s="996">
        <v>0</v>
      </c>
      <c r="K124" s="1188">
        <v>121118.78</v>
      </c>
      <c r="L124" s="1180"/>
      <c r="M124" s="994" t="s">
        <v>1249</v>
      </c>
      <c r="Q124" s="1080"/>
    </row>
    <row r="125" spans="1:19" ht="15.75" thickTop="1" x14ac:dyDescent="0.25">
      <c r="A125" s="1181" t="s">
        <v>1311</v>
      </c>
      <c r="B125" s="1180"/>
      <c r="C125" s="1180"/>
      <c r="D125" s="1180"/>
      <c r="E125" s="1180"/>
      <c r="F125" s="1180"/>
      <c r="G125" s="1180"/>
      <c r="H125" s="1180"/>
      <c r="I125" s="997">
        <v>121118.78</v>
      </c>
      <c r="J125" s="997">
        <v>0</v>
      </c>
      <c r="K125" s="1189">
        <v>121118.78</v>
      </c>
      <c r="L125" s="1190"/>
      <c r="M125" s="994" t="s">
        <v>1249</v>
      </c>
      <c r="Q125" s="1080"/>
      <c r="R125" s="993">
        <v>5047</v>
      </c>
      <c r="S125" s="992">
        <v>5047</v>
      </c>
    </row>
    <row r="126" spans="1:19" ht="13.15" customHeight="1" x14ac:dyDescent="0.25">
      <c r="A126" s="1182" t="s">
        <v>1249</v>
      </c>
      <c r="B126" s="1180"/>
      <c r="C126" s="1186" t="s">
        <v>1312</v>
      </c>
      <c r="D126" s="1180"/>
      <c r="E126" s="1180"/>
      <c r="F126" s="1180"/>
      <c r="G126" s="1180"/>
      <c r="H126" s="1180"/>
      <c r="I126" s="1180"/>
      <c r="J126" s="1180"/>
      <c r="K126" s="1180"/>
      <c r="L126" s="1180"/>
      <c r="M126" s="1180"/>
      <c r="Q126" s="1080"/>
    </row>
    <row r="127" spans="1:19" ht="15.75" thickBot="1" x14ac:dyDescent="0.3">
      <c r="A127" s="1182" t="s">
        <v>1249</v>
      </c>
      <c r="B127" s="1180"/>
      <c r="C127" s="1180"/>
      <c r="D127" s="1187">
        <v>45657</v>
      </c>
      <c r="E127" s="1180"/>
      <c r="F127" s="995" t="s">
        <v>1251</v>
      </c>
      <c r="G127" s="995"/>
      <c r="H127" s="995"/>
      <c r="I127" s="996">
        <v>253923.36</v>
      </c>
      <c r="J127" s="996">
        <v>0</v>
      </c>
      <c r="K127" s="1188">
        <v>253923.36</v>
      </c>
      <c r="L127" s="1180"/>
      <c r="M127" s="994" t="s">
        <v>1249</v>
      </c>
      <c r="Q127" s="1080"/>
    </row>
    <row r="128" spans="1:19" ht="15.75" thickTop="1" x14ac:dyDescent="0.25">
      <c r="A128" s="1181" t="s">
        <v>1313</v>
      </c>
      <c r="B128" s="1180"/>
      <c r="C128" s="1180"/>
      <c r="D128" s="1180"/>
      <c r="E128" s="1180"/>
      <c r="F128" s="1180"/>
      <c r="G128" s="1180"/>
      <c r="H128" s="1180"/>
      <c r="I128" s="997">
        <v>253923.36</v>
      </c>
      <c r="J128" s="997">
        <v>0</v>
      </c>
      <c r="K128" s="1189">
        <v>253923.36</v>
      </c>
      <c r="L128" s="1190"/>
      <c r="M128" s="994" t="s">
        <v>1249</v>
      </c>
      <c r="Q128" s="1080"/>
      <c r="R128" s="993">
        <v>10580</v>
      </c>
      <c r="S128" s="992">
        <v>10580</v>
      </c>
    </row>
    <row r="129" spans="1:19" ht="13.15" customHeight="1" x14ac:dyDescent="0.25">
      <c r="A129" s="1182" t="s">
        <v>1249</v>
      </c>
      <c r="B129" s="1180"/>
      <c r="C129" s="1186" t="s">
        <v>1314</v>
      </c>
      <c r="D129" s="1180"/>
      <c r="E129" s="1180"/>
      <c r="F129" s="1180"/>
      <c r="G129" s="1180"/>
      <c r="H129" s="1180"/>
      <c r="I129" s="1180"/>
      <c r="J129" s="1180"/>
      <c r="K129" s="1180"/>
      <c r="L129" s="1180"/>
      <c r="M129" s="1180"/>
      <c r="Q129" s="1080"/>
    </row>
    <row r="130" spans="1:19" ht="15.75" thickBot="1" x14ac:dyDescent="0.3">
      <c r="A130" s="1182" t="s">
        <v>1249</v>
      </c>
      <c r="B130" s="1180"/>
      <c r="C130" s="1180"/>
      <c r="D130" s="1187">
        <v>45657</v>
      </c>
      <c r="E130" s="1180"/>
      <c r="F130" s="995" t="s">
        <v>1251</v>
      </c>
      <c r="G130" s="995"/>
      <c r="H130" s="995"/>
      <c r="I130" s="996">
        <v>1200000</v>
      </c>
      <c r="J130" s="996">
        <v>0</v>
      </c>
      <c r="K130" s="1188">
        <v>1200000</v>
      </c>
      <c r="L130" s="1180"/>
      <c r="M130" s="994" t="s">
        <v>1249</v>
      </c>
      <c r="Q130" s="1080"/>
    </row>
    <row r="131" spans="1:19" ht="15.75" thickTop="1" x14ac:dyDescent="0.25">
      <c r="A131" s="1181" t="s">
        <v>1315</v>
      </c>
      <c r="B131" s="1180"/>
      <c r="C131" s="1180"/>
      <c r="D131" s="1180"/>
      <c r="E131" s="1180"/>
      <c r="F131" s="1180"/>
      <c r="G131" s="1180"/>
      <c r="H131" s="1180"/>
      <c r="I131" s="997">
        <v>1200000</v>
      </c>
      <c r="J131" s="997">
        <v>0</v>
      </c>
      <c r="K131" s="1189">
        <v>1200000</v>
      </c>
      <c r="L131" s="1190"/>
      <c r="M131" s="994" t="s">
        <v>1249</v>
      </c>
      <c r="P131" s="993">
        <v>1200000</v>
      </c>
      <c r="Q131" s="1080">
        <v>900000</v>
      </c>
      <c r="R131" s="993">
        <f>P131-Q131</f>
        <v>300000</v>
      </c>
      <c r="S131" s="1081">
        <f>K131-Q131</f>
        <v>300000</v>
      </c>
    </row>
    <row r="132" spans="1:19" ht="13.15" customHeight="1" x14ac:dyDescent="0.25">
      <c r="A132" s="1182" t="s">
        <v>1249</v>
      </c>
      <c r="B132" s="1180"/>
      <c r="C132" s="1186" t="s">
        <v>1316</v>
      </c>
      <c r="D132" s="1180"/>
      <c r="E132" s="1180"/>
      <c r="F132" s="1180"/>
      <c r="G132" s="1180"/>
      <c r="H132" s="1180"/>
      <c r="I132" s="1180"/>
      <c r="J132" s="1180"/>
      <c r="K132" s="1180"/>
      <c r="L132" s="1180"/>
      <c r="M132" s="1180"/>
      <c r="Q132" s="1080"/>
      <c r="S132" s="1081"/>
    </row>
    <row r="133" spans="1:19" ht="15.75" thickBot="1" x14ac:dyDescent="0.3">
      <c r="A133" s="1182" t="s">
        <v>1249</v>
      </c>
      <c r="B133" s="1180"/>
      <c r="C133" s="1180"/>
      <c r="D133" s="1187">
        <v>45657</v>
      </c>
      <c r="E133" s="1180"/>
      <c r="F133" s="995" t="s">
        <v>1251</v>
      </c>
      <c r="G133" s="995"/>
      <c r="H133" s="995"/>
      <c r="I133" s="996">
        <v>25000</v>
      </c>
      <c r="J133" s="996">
        <v>0</v>
      </c>
      <c r="K133" s="1188">
        <v>25000</v>
      </c>
      <c r="L133" s="1180"/>
      <c r="M133" s="994" t="s">
        <v>1249</v>
      </c>
      <c r="Q133" s="1080"/>
      <c r="S133" s="1081"/>
    </row>
    <row r="134" spans="1:19" ht="15.75" thickTop="1" x14ac:dyDescent="0.25">
      <c r="A134" s="1181" t="s">
        <v>1317</v>
      </c>
      <c r="B134" s="1180"/>
      <c r="C134" s="1180"/>
      <c r="D134" s="1180"/>
      <c r="E134" s="1180"/>
      <c r="F134" s="1180"/>
      <c r="G134" s="1180"/>
      <c r="H134" s="1180"/>
      <c r="I134" s="997">
        <v>25000</v>
      </c>
      <c r="J134" s="997">
        <v>0</v>
      </c>
      <c r="K134" s="1189">
        <v>25000</v>
      </c>
      <c r="L134" s="1190"/>
      <c r="M134" s="994" t="s">
        <v>1249</v>
      </c>
      <c r="P134" s="993">
        <v>25000</v>
      </c>
      <c r="Q134" s="1080">
        <v>25000</v>
      </c>
      <c r="R134" s="993">
        <f t="shared" ref="R134:R158" si="3">P134-Q134</f>
        <v>0</v>
      </c>
      <c r="S134" s="1081">
        <f t="shared" ref="S134:S158" si="4">K134-Q134</f>
        <v>0</v>
      </c>
    </row>
    <row r="135" spans="1:19" ht="13.15" customHeight="1" x14ac:dyDescent="0.25">
      <c r="A135" s="1182" t="s">
        <v>1249</v>
      </c>
      <c r="B135" s="1180"/>
      <c r="C135" s="1186" t="s">
        <v>1318</v>
      </c>
      <c r="D135" s="1180"/>
      <c r="E135" s="1180"/>
      <c r="F135" s="1180"/>
      <c r="G135" s="1180"/>
      <c r="H135" s="1180"/>
      <c r="I135" s="1180"/>
      <c r="J135" s="1180"/>
      <c r="K135" s="1180"/>
      <c r="L135" s="1180"/>
      <c r="M135" s="1180"/>
      <c r="Q135" s="1080"/>
      <c r="S135" s="1081"/>
    </row>
    <row r="136" spans="1:19" ht="15.75" thickBot="1" x14ac:dyDescent="0.3">
      <c r="A136" s="1182" t="s">
        <v>1249</v>
      </c>
      <c r="B136" s="1180"/>
      <c r="C136" s="1180"/>
      <c r="D136" s="1187">
        <v>45657</v>
      </c>
      <c r="E136" s="1180"/>
      <c r="F136" s="995" t="s">
        <v>1251</v>
      </c>
      <c r="G136" s="995"/>
      <c r="H136" s="995"/>
      <c r="I136" s="996">
        <v>380000</v>
      </c>
      <c r="J136" s="996">
        <v>0</v>
      </c>
      <c r="K136" s="1188">
        <v>380000</v>
      </c>
      <c r="L136" s="1180"/>
      <c r="M136" s="994" t="s">
        <v>1249</v>
      </c>
      <c r="Q136" s="1080"/>
      <c r="S136" s="1081"/>
    </row>
    <row r="137" spans="1:19" ht="15.75" thickTop="1" x14ac:dyDescent="0.25">
      <c r="A137" s="1181" t="s">
        <v>1319</v>
      </c>
      <c r="B137" s="1180"/>
      <c r="C137" s="1180"/>
      <c r="D137" s="1180"/>
      <c r="E137" s="1180"/>
      <c r="F137" s="1180"/>
      <c r="G137" s="1180"/>
      <c r="H137" s="1180"/>
      <c r="I137" s="997">
        <v>380000</v>
      </c>
      <c r="J137" s="997">
        <v>0</v>
      </c>
      <c r="K137" s="1189">
        <v>380000</v>
      </c>
      <c r="L137" s="1190"/>
      <c r="M137" s="994" t="s">
        <v>1249</v>
      </c>
      <c r="P137" s="993">
        <v>380000</v>
      </c>
      <c r="Q137" s="1080">
        <v>380000</v>
      </c>
      <c r="R137" s="993">
        <f t="shared" si="3"/>
        <v>0</v>
      </c>
      <c r="S137" s="1081">
        <f t="shared" si="4"/>
        <v>0</v>
      </c>
    </row>
    <row r="138" spans="1:19" ht="13.15" customHeight="1" x14ac:dyDescent="0.25">
      <c r="A138" s="1182" t="s">
        <v>1249</v>
      </c>
      <c r="B138" s="1180"/>
      <c r="C138" s="1186" t="s">
        <v>1320</v>
      </c>
      <c r="D138" s="1180"/>
      <c r="E138" s="1180"/>
      <c r="F138" s="1180"/>
      <c r="G138" s="1180"/>
      <c r="H138" s="1180"/>
      <c r="I138" s="1180"/>
      <c r="J138" s="1180"/>
      <c r="K138" s="1180"/>
      <c r="L138" s="1180"/>
      <c r="M138" s="1180"/>
      <c r="Q138" s="1080"/>
      <c r="S138" s="1081"/>
    </row>
    <row r="139" spans="1:19" ht="15.75" thickBot="1" x14ac:dyDescent="0.3">
      <c r="A139" s="1182" t="s">
        <v>1249</v>
      </c>
      <c r="B139" s="1180"/>
      <c r="C139" s="1180"/>
      <c r="D139" s="1187">
        <v>45657</v>
      </c>
      <c r="E139" s="1180"/>
      <c r="F139" s="995" t="s">
        <v>1251</v>
      </c>
      <c r="G139" s="995"/>
      <c r="H139" s="995"/>
      <c r="I139" s="996">
        <v>970000</v>
      </c>
      <c r="J139" s="996">
        <v>0</v>
      </c>
      <c r="K139" s="1188">
        <v>970000</v>
      </c>
      <c r="L139" s="1180"/>
      <c r="M139" s="994" t="s">
        <v>1249</v>
      </c>
      <c r="Q139" s="1080"/>
      <c r="S139" s="1081"/>
    </row>
    <row r="140" spans="1:19" ht="15.75" thickTop="1" x14ac:dyDescent="0.25">
      <c r="A140" s="1181" t="s">
        <v>1321</v>
      </c>
      <c r="B140" s="1180"/>
      <c r="C140" s="1180"/>
      <c r="D140" s="1180"/>
      <c r="E140" s="1180"/>
      <c r="F140" s="1180"/>
      <c r="G140" s="1180"/>
      <c r="H140" s="1180"/>
      <c r="I140" s="997">
        <v>970000</v>
      </c>
      <c r="J140" s="997">
        <v>0</v>
      </c>
      <c r="K140" s="1189">
        <v>970000</v>
      </c>
      <c r="L140" s="1190"/>
      <c r="M140" s="994" t="s">
        <v>1249</v>
      </c>
      <c r="P140" s="993">
        <v>970000</v>
      </c>
      <c r="Q140" s="1080">
        <v>970000</v>
      </c>
      <c r="R140" s="993">
        <f t="shared" si="3"/>
        <v>0</v>
      </c>
      <c r="S140" s="1081">
        <f t="shared" si="4"/>
        <v>0</v>
      </c>
    </row>
    <row r="141" spans="1:19" ht="13.15" customHeight="1" x14ac:dyDescent="0.25">
      <c r="A141" s="1182" t="s">
        <v>1249</v>
      </c>
      <c r="B141" s="1180"/>
      <c r="C141" s="1186" t="s">
        <v>1322</v>
      </c>
      <c r="D141" s="1180"/>
      <c r="E141" s="1180"/>
      <c r="F141" s="1180"/>
      <c r="G141" s="1180"/>
      <c r="H141" s="1180"/>
      <c r="I141" s="1180"/>
      <c r="J141" s="1180"/>
      <c r="K141" s="1180"/>
      <c r="L141" s="1180"/>
      <c r="M141" s="1180"/>
      <c r="Q141" s="1080"/>
      <c r="S141" s="1081"/>
    </row>
    <row r="142" spans="1:19" ht="15.75" thickBot="1" x14ac:dyDescent="0.3">
      <c r="A142" s="1182" t="s">
        <v>1249</v>
      </c>
      <c r="B142" s="1180"/>
      <c r="C142" s="1180"/>
      <c r="D142" s="1187">
        <v>45657</v>
      </c>
      <c r="E142" s="1180"/>
      <c r="F142" s="995" t="s">
        <v>1251</v>
      </c>
      <c r="G142" s="995"/>
      <c r="H142" s="995"/>
      <c r="I142" s="996">
        <v>689480.2</v>
      </c>
      <c r="J142" s="996">
        <v>0</v>
      </c>
      <c r="K142" s="1188">
        <v>689480.2</v>
      </c>
      <c r="L142" s="1180"/>
      <c r="M142" s="994" t="s">
        <v>1249</v>
      </c>
      <c r="Q142" s="1080"/>
      <c r="S142" s="1081"/>
    </row>
    <row r="143" spans="1:19" ht="15.75" thickTop="1" x14ac:dyDescent="0.25">
      <c r="A143" s="1181" t="s">
        <v>1323</v>
      </c>
      <c r="B143" s="1180"/>
      <c r="C143" s="1180"/>
      <c r="D143" s="1180"/>
      <c r="E143" s="1180"/>
      <c r="F143" s="1180"/>
      <c r="G143" s="1180"/>
      <c r="H143" s="1180"/>
      <c r="I143" s="997">
        <v>689480.2</v>
      </c>
      <c r="J143" s="997">
        <v>0</v>
      </c>
      <c r="K143" s="1189">
        <v>689480.2</v>
      </c>
      <c r="L143" s="1190"/>
      <c r="M143" s="994" t="s">
        <v>1249</v>
      </c>
      <c r="P143" s="993">
        <v>732720.55</v>
      </c>
      <c r="Q143" s="1080">
        <v>700000</v>
      </c>
      <c r="R143" s="993">
        <f t="shared" si="3"/>
        <v>32720.550000000047</v>
      </c>
      <c r="S143" s="1081">
        <f t="shared" si="4"/>
        <v>-10519.800000000047</v>
      </c>
    </row>
    <row r="144" spans="1:19" ht="13.15" customHeight="1" x14ac:dyDescent="0.25">
      <c r="A144" s="1182" t="s">
        <v>1249</v>
      </c>
      <c r="B144" s="1180"/>
      <c r="C144" s="1186" t="s">
        <v>1324</v>
      </c>
      <c r="D144" s="1180"/>
      <c r="E144" s="1180"/>
      <c r="F144" s="1180"/>
      <c r="G144" s="1180"/>
      <c r="H144" s="1180"/>
      <c r="I144" s="1180"/>
      <c r="J144" s="1180"/>
      <c r="K144" s="1180"/>
      <c r="L144" s="1180"/>
      <c r="M144" s="1180"/>
      <c r="Q144" s="1080"/>
      <c r="S144" s="1081"/>
    </row>
    <row r="145" spans="1:19" ht="15.75" thickBot="1" x14ac:dyDescent="0.3">
      <c r="A145" s="1182" t="s">
        <v>1249</v>
      </c>
      <c r="B145" s="1180"/>
      <c r="C145" s="1180"/>
      <c r="D145" s="1187">
        <v>45657</v>
      </c>
      <c r="E145" s="1180"/>
      <c r="F145" s="995" t="s">
        <v>1251</v>
      </c>
      <c r="G145" s="995"/>
      <c r="H145" s="995"/>
      <c r="I145" s="996">
        <v>15000</v>
      </c>
      <c r="J145" s="996">
        <v>0</v>
      </c>
      <c r="K145" s="1188">
        <v>15000</v>
      </c>
      <c r="L145" s="1180"/>
      <c r="M145" s="994" t="s">
        <v>1249</v>
      </c>
      <c r="Q145" s="1080"/>
      <c r="S145" s="1081"/>
    </row>
    <row r="146" spans="1:19" ht="15.75" thickTop="1" x14ac:dyDescent="0.25">
      <c r="A146" s="1181" t="s">
        <v>1325</v>
      </c>
      <c r="B146" s="1180"/>
      <c r="C146" s="1180"/>
      <c r="D146" s="1180"/>
      <c r="E146" s="1180"/>
      <c r="F146" s="1180"/>
      <c r="G146" s="1180"/>
      <c r="H146" s="1180"/>
      <c r="I146" s="997">
        <v>15000</v>
      </c>
      <c r="J146" s="997">
        <v>0</v>
      </c>
      <c r="K146" s="1189">
        <v>15000</v>
      </c>
      <c r="L146" s="1190"/>
      <c r="M146" s="994" t="s">
        <v>1249</v>
      </c>
      <c r="P146" s="993">
        <v>15000</v>
      </c>
      <c r="Q146" s="1080">
        <v>13500</v>
      </c>
      <c r="R146" s="993">
        <f t="shared" si="3"/>
        <v>1500</v>
      </c>
      <c r="S146" s="1081">
        <f t="shared" si="4"/>
        <v>1500</v>
      </c>
    </row>
    <row r="147" spans="1:19" ht="13.15" customHeight="1" x14ac:dyDescent="0.25">
      <c r="A147" s="1182" t="s">
        <v>1249</v>
      </c>
      <c r="B147" s="1180"/>
      <c r="C147" s="1186" t="s">
        <v>1326</v>
      </c>
      <c r="D147" s="1180"/>
      <c r="E147" s="1180"/>
      <c r="F147" s="1180"/>
      <c r="G147" s="1180"/>
      <c r="H147" s="1180"/>
      <c r="I147" s="1180"/>
      <c r="J147" s="1180"/>
      <c r="K147" s="1180"/>
      <c r="L147" s="1180"/>
      <c r="M147" s="1180"/>
      <c r="Q147" s="1080"/>
      <c r="S147" s="1081"/>
    </row>
    <row r="148" spans="1:19" ht="15.75" thickBot="1" x14ac:dyDescent="0.3">
      <c r="A148" s="1182" t="s">
        <v>1249</v>
      </c>
      <c r="B148" s="1180"/>
      <c r="C148" s="1180"/>
      <c r="D148" s="1187">
        <v>45657</v>
      </c>
      <c r="E148" s="1180"/>
      <c r="F148" s="995" t="s">
        <v>1251</v>
      </c>
      <c r="G148" s="995"/>
      <c r="H148" s="995"/>
      <c r="I148" s="996">
        <v>12000</v>
      </c>
      <c r="J148" s="996">
        <v>0</v>
      </c>
      <c r="K148" s="1188">
        <v>12000</v>
      </c>
      <c r="L148" s="1180"/>
      <c r="M148" s="994" t="s">
        <v>1249</v>
      </c>
      <c r="Q148" s="1080"/>
      <c r="S148" s="1081"/>
    </row>
    <row r="149" spans="1:19" ht="15.75" thickTop="1" x14ac:dyDescent="0.25">
      <c r="A149" s="1181" t="s">
        <v>1327</v>
      </c>
      <c r="B149" s="1180"/>
      <c r="C149" s="1180"/>
      <c r="D149" s="1180"/>
      <c r="E149" s="1180"/>
      <c r="F149" s="1180"/>
      <c r="G149" s="1180"/>
      <c r="H149" s="1180"/>
      <c r="I149" s="997">
        <v>12000</v>
      </c>
      <c r="J149" s="997">
        <v>0</v>
      </c>
      <c r="K149" s="1189">
        <v>12000</v>
      </c>
      <c r="L149" s="1190"/>
      <c r="M149" s="994" t="s">
        <v>1249</v>
      </c>
      <c r="P149" s="993">
        <v>12000</v>
      </c>
      <c r="Q149" s="1080">
        <v>12000</v>
      </c>
      <c r="R149" s="993">
        <f t="shared" si="3"/>
        <v>0</v>
      </c>
      <c r="S149" s="1081">
        <f t="shared" si="4"/>
        <v>0</v>
      </c>
    </row>
    <row r="150" spans="1:19" ht="13.15" customHeight="1" x14ac:dyDescent="0.25">
      <c r="A150" s="1182" t="s">
        <v>1249</v>
      </c>
      <c r="B150" s="1180"/>
      <c r="C150" s="1186" t="s">
        <v>1328</v>
      </c>
      <c r="D150" s="1180"/>
      <c r="E150" s="1180"/>
      <c r="F150" s="1180"/>
      <c r="G150" s="1180"/>
      <c r="H150" s="1180"/>
      <c r="I150" s="1180"/>
      <c r="J150" s="1180"/>
      <c r="K150" s="1180"/>
      <c r="L150" s="1180"/>
      <c r="M150" s="1180"/>
      <c r="Q150" s="1080"/>
      <c r="S150" s="1081"/>
    </row>
    <row r="151" spans="1:19" ht="15.75" thickBot="1" x14ac:dyDescent="0.3">
      <c r="A151" s="1182" t="s">
        <v>1249</v>
      </c>
      <c r="B151" s="1180"/>
      <c r="C151" s="1180"/>
      <c r="D151" s="1187">
        <v>45657</v>
      </c>
      <c r="E151" s="1180"/>
      <c r="F151" s="995" t="s">
        <v>1251</v>
      </c>
      <c r="G151" s="995"/>
      <c r="H151" s="995"/>
      <c r="I151" s="996">
        <v>30443.54</v>
      </c>
      <c r="J151" s="996">
        <v>0</v>
      </c>
      <c r="K151" s="1188">
        <v>30443.54</v>
      </c>
      <c r="L151" s="1180"/>
      <c r="M151" s="994" t="s">
        <v>1249</v>
      </c>
      <c r="Q151" s="1080"/>
      <c r="S151" s="1081"/>
    </row>
    <row r="152" spans="1:19" ht="15.75" thickTop="1" x14ac:dyDescent="0.25">
      <c r="A152" s="1181" t="s">
        <v>1329</v>
      </c>
      <c r="B152" s="1180"/>
      <c r="C152" s="1180"/>
      <c r="D152" s="1180"/>
      <c r="E152" s="1180"/>
      <c r="F152" s="1180"/>
      <c r="G152" s="1180"/>
      <c r="H152" s="1180"/>
      <c r="I152" s="997">
        <v>30443.54</v>
      </c>
      <c r="J152" s="997">
        <v>0</v>
      </c>
      <c r="K152" s="1189">
        <v>30443.54</v>
      </c>
      <c r="L152" s="1190"/>
      <c r="M152" s="994" t="s">
        <v>1249</v>
      </c>
      <c r="Q152" s="1080"/>
      <c r="R152" s="993">
        <v>1269</v>
      </c>
      <c r="S152" s="1081">
        <v>1269</v>
      </c>
    </row>
    <row r="153" spans="1:19" ht="13.15" customHeight="1" x14ac:dyDescent="0.25">
      <c r="A153" s="1182" t="s">
        <v>1249</v>
      </c>
      <c r="B153" s="1182"/>
      <c r="C153" s="1186" t="s">
        <v>1330</v>
      </c>
      <c r="D153" s="1186"/>
      <c r="E153" s="1186"/>
      <c r="F153" s="1186"/>
      <c r="G153" s="1186"/>
      <c r="H153" s="1186"/>
      <c r="I153" s="1186"/>
      <c r="J153" s="1186"/>
      <c r="K153" s="1186"/>
      <c r="L153" s="1186"/>
      <c r="M153" s="1186"/>
      <c r="Q153" s="1080"/>
      <c r="S153" s="1081"/>
    </row>
    <row r="154" spans="1:19" ht="15.75" thickBot="1" x14ac:dyDescent="0.3">
      <c r="A154" s="1182" t="s">
        <v>1249</v>
      </c>
      <c r="B154" s="1182"/>
      <c r="C154" s="1182"/>
      <c r="D154" s="1187">
        <v>45657</v>
      </c>
      <c r="E154" s="1187"/>
      <c r="F154" s="995" t="s">
        <v>1251</v>
      </c>
      <c r="G154" s="995"/>
      <c r="H154" s="995"/>
      <c r="I154" s="996">
        <v>460000</v>
      </c>
      <c r="J154" s="996">
        <v>0</v>
      </c>
      <c r="K154" s="1191">
        <v>460000</v>
      </c>
      <c r="L154" s="1191"/>
      <c r="M154" s="994" t="s">
        <v>1249</v>
      </c>
      <c r="Q154" s="1080"/>
      <c r="S154" s="1081"/>
    </row>
    <row r="155" spans="1:19" ht="15.75" thickTop="1" x14ac:dyDescent="0.25">
      <c r="A155" s="1181" t="s">
        <v>1331</v>
      </c>
      <c r="B155" s="1181"/>
      <c r="C155" s="1181"/>
      <c r="D155" s="1181"/>
      <c r="E155" s="1181"/>
      <c r="F155" s="1181"/>
      <c r="G155" s="1181"/>
      <c r="H155" s="1181"/>
      <c r="I155" s="997">
        <v>460000</v>
      </c>
      <c r="J155" s="997">
        <v>0</v>
      </c>
      <c r="K155" s="1189">
        <v>460000</v>
      </c>
      <c r="L155" s="1189"/>
      <c r="M155" s="994" t="s">
        <v>1249</v>
      </c>
      <c r="P155" s="993">
        <v>460000</v>
      </c>
      <c r="Q155" s="1080">
        <v>420000</v>
      </c>
      <c r="R155" s="993">
        <f t="shared" si="3"/>
        <v>40000</v>
      </c>
      <c r="S155" s="1081">
        <f t="shared" si="4"/>
        <v>40000</v>
      </c>
    </row>
    <row r="156" spans="1:19" ht="13.15" customHeight="1" x14ac:dyDescent="0.25">
      <c r="A156" s="1182" t="s">
        <v>1249</v>
      </c>
      <c r="B156" s="1180"/>
      <c r="C156" s="1186" t="s">
        <v>1332</v>
      </c>
      <c r="D156" s="1180"/>
      <c r="E156" s="1180"/>
      <c r="F156" s="1180"/>
      <c r="G156" s="1180"/>
      <c r="H156" s="1180"/>
      <c r="I156" s="1180"/>
      <c r="J156" s="1180"/>
      <c r="K156" s="1180"/>
      <c r="L156" s="1180"/>
      <c r="M156" s="1180"/>
      <c r="Q156" s="1080"/>
      <c r="S156" s="1081"/>
    </row>
    <row r="157" spans="1:19" ht="15.75" thickBot="1" x14ac:dyDescent="0.3">
      <c r="A157" s="1182" t="s">
        <v>1249</v>
      </c>
      <c r="B157" s="1180"/>
      <c r="C157" s="1180"/>
      <c r="D157" s="1187">
        <v>45657</v>
      </c>
      <c r="E157" s="1180"/>
      <c r="F157" s="995" t="s">
        <v>1251</v>
      </c>
      <c r="G157" s="995"/>
      <c r="H157" s="995"/>
      <c r="I157" s="996">
        <v>70000</v>
      </c>
      <c r="J157" s="996">
        <v>0</v>
      </c>
      <c r="K157" s="1188">
        <v>70000</v>
      </c>
      <c r="L157" s="1180"/>
      <c r="M157" s="994" t="s">
        <v>1249</v>
      </c>
      <c r="Q157" s="1080"/>
      <c r="S157" s="1081"/>
    </row>
    <row r="158" spans="1:19" ht="15.75" thickTop="1" x14ac:dyDescent="0.25">
      <c r="A158" s="1181" t="s">
        <v>1333</v>
      </c>
      <c r="B158" s="1180"/>
      <c r="C158" s="1180"/>
      <c r="D158" s="1180"/>
      <c r="E158" s="1180"/>
      <c r="F158" s="1180"/>
      <c r="G158" s="1180"/>
      <c r="H158" s="1180"/>
      <c r="I158" s="997">
        <v>70000</v>
      </c>
      <c r="J158" s="997">
        <v>0</v>
      </c>
      <c r="K158" s="1189">
        <v>70000</v>
      </c>
      <c r="L158" s="1190"/>
      <c r="M158" s="994" t="s">
        <v>1249</v>
      </c>
      <c r="P158" s="993">
        <v>70000</v>
      </c>
      <c r="Q158" s="1080">
        <v>63000</v>
      </c>
      <c r="R158" s="993">
        <f t="shared" si="3"/>
        <v>7000</v>
      </c>
      <c r="S158" s="1081">
        <f t="shared" si="4"/>
        <v>7000</v>
      </c>
    </row>
    <row r="159" spans="1:19" ht="13.15" customHeight="1" x14ac:dyDescent="0.25">
      <c r="A159" s="1182" t="s">
        <v>1249</v>
      </c>
      <c r="B159" s="1180"/>
      <c r="C159" s="1186" t="s">
        <v>1417</v>
      </c>
      <c r="D159" s="1180"/>
      <c r="E159" s="1180"/>
      <c r="F159" s="1180"/>
      <c r="G159" s="1180"/>
      <c r="H159" s="1180"/>
      <c r="I159" s="1180"/>
      <c r="J159" s="1180"/>
      <c r="K159" s="1180"/>
      <c r="L159" s="1180"/>
      <c r="M159" s="1180"/>
      <c r="Q159" s="1080"/>
    </row>
    <row r="160" spans="1:19" ht="15.75" thickBot="1" x14ac:dyDescent="0.3">
      <c r="A160" s="1182" t="s">
        <v>1249</v>
      </c>
      <c r="B160" s="1180"/>
      <c r="C160" s="1180"/>
      <c r="D160" s="1187">
        <v>45657</v>
      </c>
      <c r="E160" s="1180"/>
      <c r="F160" s="995" t="s">
        <v>1251</v>
      </c>
      <c r="G160" s="995"/>
      <c r="H160" s="995"/>
      <c r="I160" s="996">
        <v>76800</v>
      </c>
      <c r="J160" s="996">
        <v>0</v>
      </c>
      <c r="K160" s="1188">
        <v>76800</v>
      </c>
      <c r="L160" s="1180"/>
      <c r="M160" s="994" t="s">
        <v>1249</v>
      </c>
      <c r="Q160" s="1080"/>
    </row>
    <row r="161" spans="1:21" ht="15.75" thickTop="1" x14ac:dyDescent="0.25">
      <c r="A161" s="1181" t="s">
        <v>1334</v>
      </c>
      <c r="B161" s="1180"/>
      <c r="C161" s="1180"/>
      <c r="D161" s="1180"/>
      <c r="E161" s="1180"/>
      <c r="F161" s="1180"/>
      <c r="G161" s="1180"/>
      <c r="H161" s="1180"/>
      <c r="I161" s="997">
        <v>76800</v>
      </c>
      <c r="J161" s="997">
        <v>0</v>
      </c>
      <c r="K161" s="1189">
        <v>76800</v>
      </c>
      <c r="L161" s="1190"/>
      <c r="M161" s="994" t="s">
        <v>1249</v>
      </c>
      <c r="Q161" s="1080"/>
      <c r="R161" s="993">
        <v>3200</v>
      </c>
      <c r="S161" s="992">
        <v>3200</v>
      </c>
    </row>
    <row r="162" spans="1:21" ht="13.15" customHeight="1" x14ac:dyDescent="0.25">
      <c r="A162" s="1182" t="s">
        <v>1249</v>
      </c>
      <c r="B162" s="1180"/>
      <c r="C162" s="1186" t="s">
        <v>1418</v>
      </c>
      <c r="D162" s="1180"/>
      <c r="E162" s="1180"/>
      <c r="F162" s="1180"/>
      <c r="G162" s="1180"/>
      <c r="H162" s="1180"/>
      <c r="I162" s="1180"/>
      <c r="J162" s="1180"/>
      <c r="K162" s="1180"/>
      <c r="L162" s="1180"/>
      <c r="M162" s="1180"/>
      <c r="Q162" s="1080"/>
    </row>
    <row r="163" spans="1:21" ht="15.75" thickBot="1" x14ac:dyDescent="0.3">
      <c r="A163" s="1182" t="s">
        <v>1249</v>
      </c>
      <c r="B163" s="1180"/>
      <c r="C163" s="1180"/>
      <c r="D163" s="1187">
        <v>45657</v>
      </c>
      <c r="E163" s="1180"/>
      <c r="F163" s="995" t="s">
        <v>1251</v>
      </c>
      <c r="G163" s="995"/>
      <c r="H163" s="995"/>
      <c r="I163" s="996">
        <v>144000</v>
      </c>
      <c r="J163" s="996">
        <v>0</v>
      </c>
      <c r="K163" s="1188">
        <v>144000</v>
      </c>
      <c r="L163" s="1180"/>
      <c r="M163" s="994" t="s">
        <v>1249</v>
      </c>
      <c r="Q163" s="1080"/>
    </row>
    <row r="164" spans="1:21" ht="15.75" thickTop="1" x14ac:dyDescent="0.25">
      <c r="A164" s="1181" t="s">
        <v>1335</v>
      </c>
      <c r="B164" s="1180"/>
      <c r="C164" s="1180"/>
      <c r="D164" s="1180"/>
      <c r="E164" s="1180"/>
      <c r="F164" s="1180"/>
      <c r="G164" s="1180"/>
      <c r="H164" s="1180"/>
      <c r="I164" s="997">
        <v>144000</v>
      </c>
      <c r="J164" s="997">
        <v>0</v>
      </c>
      <c r="K164" s="1189">
        <v>144000</v>
      </c>
      <c r="L164" s="1190"/>
      <c r="M164" s="994" t="s">
        <v>1249</v>
      </c>
      <c r="Q164" s="1080"/>
      <c r="R164" s="993">
        <v>6000</v>
      </c>
      <c r="S164" s="992">
        <v>6000</v>
      </c>
    </row>
    <row r="165" spans="1:21" ht="13.15" customHeight="1" x14ac:dyDescent="0.25">
      <c r="A165" s="1182" t="s">
        <v>1249</v>
      </c>
      <c r="B165" s="1180"/>
      <c r="C165" s="1186" t="s">
        <v>1336</v>
      </c>
      <c r="D165" s="1180"/>
      <c r="E165" s="1180"/>
      <c r="F165" s="1180"/>
      <c r="G165" s="1180"/>
      <c r="H165" s="1180"/>
      <c r="I165" s="1180"/>
      <c r="J165" s="1180"/>
      <c r="K165" s="1180"/>
      <c r="L165" s="1180"/>
      <c r="M165" s="1180"/>
      <c r="Q165" s="1080"/>
    </row>
    <row r="166" spans="1:21" ht="15.75" thickBot="1" x14ac:dyDescent="0.3">
      <c r="A166" s="1182" t="s">
        <v>1249</v>
      </c>
      <c r="B166" s="1180"/>
      <c r="C166" s="1180"/>
      <c r="D166" s="1187">
        <v>45657</v>
      </c>
      <c r="E166" s="1180"/>
      <c r="F166" s="995" t="s">
        <v>1251</v>
      </c>
      <c r="G166" s="995"/>
      <c r="H166" s="995"/>
      <c r="I166" s="996">
        <v>50000</v>
      </c>
      <c r="J166" s="996">
        <v>0</v>
      </c>
      <c r="K166" s="1188">
        <v>50000</v>
      </c>
      <c r="L166" s="1180"/>
      <c r="M166" s="994" t="s">
        <v>1249</v>
      </c>
      <c r="Q166" s="1080"/>
    </row>
    <row r="167" spans="1:21" ht="15.75" thickTop="1" x14ac:dyDescent="0.25">
      <c r="A167" s="1181" t="s">
        <v>1337</v>
      </c>
      <c r="B167" s="1180"/>
      <c r="C167" s="1180"/>
      <c r="D167" s="1180"/>
      <c r="E167" s="1180"/>
      <c r="F167" s="1180"/>
      <c r="G167" s="1180"/>
      <c r="H167" s="1180"/>
      <c r="I167" s="997">
        <v>50000</v>
      </c>
      <c r="J167" s="997">
        <v>0</v>
      </c>
      <c r="K167" s="1189">
        <v>50000</v>
      </c>
      <c r="L167" s="1190"/>
      <c r="M167" s="994" t="s">
        <v>1249</v>
      </c>
      <c r="P167" s="993">
        <v>50000</v>
      </c>
      <c r="Q167" s="1080">
        <v>45000</v>
      </c>
      <c r="R167" s="993">
        <f>P167-Q167</f>
        <v>5000</v>
      </c>
      <c r="S167" s="1081">
        <f>K167-Q167</f>
        <v>5000</v>
      </c>
    </row>
    <row r="168" spans="1:21" ht="15.75" thickBot="1" x14ac:dyDescent="0.3">
      <c r="A168" s="1181"/>
      <c r="B168" s="1180"/>
      <c r="C168" s="1180"/>
      <c r="D168" s="1180"/>
      <c r="E168" s="1180"/>
      <c r="F168" s="1180"/>
      <c r="G168" s="1180"/>
      <c r="H168" s="1180"/>
      <c r="I168" s="1083"/>
      <c r="J168" s="1083"/>
      <c r="K168" s="1184"/>
      <c r="L168" s="1185"/>
      <c r="M168" s="994"/>
    </row>
    <row r="169" spans="1:21" ht="15.75" thickBot="1" x14ac:dyDescent="0.3">
      <c r="A169" s="1181"/>
      <c r="B169" s="1180"/>
      <c r="C169" s="1180"/>
      <c r="D169" s="1180"/>
      <c r="E169" s="1180"/>
      <c r="F169" s="1180"/>
      <c r="G169" s="1180"/>
      <c r="H169" s="1180"/>
      <c r="I169" s="1083"/>
      <c r="J169" s="1083"/>
      <c r="K169" s="1184"/>
      <c r="L169" s="1185"/>
      <c r="M169" s="994"/>
      <c r="S169" s="1084">
        <f>SUM(S10:S167)</f>
        <v>1249497.4291999999</v>
      </c>
      <c r="T169" s="1085" t="s">
        <v>1419</v>
      </c>
      <c r="U169" s="1086"/>
    </row>
    <row r="170" spans="1:21" x14ac:dyDescent="0.25">
      <c r="A170" s="1181"/>
      <c r="B170" s="1180"/>
      <c r="C170" s="1180"/>
      <c r="D170" s="1180"/>
      <c r="E170" s="1180"/>
      <c r="F170" s="1180"/>
      <c r="G170" s="1180"/>
      <c r="H170" s="1180"/>
      <c r="I170" s="1083"/>
      <c r="J170" s="1083"/>
      <c r="K170" s="1184"/>
      <c r="L170" s="1185"/>
      <c r="M170" s="994"/>
      <c r="P170" s="1087" t="s">
        <v>1378</v>
      </c>
      <c r="Q170" s="1088"/>
    </row>
    <row r="171" spans="1:21" ht="11.85" customHeight="1" x14ac:dyDescent="0.25">
      <c r="A171" s="1181"/>
      <c r="B171" s="1180"/>
      <c r="C171" s="1180"/>
      <c r="D171" s="1180"/>
      <c r="E171" s="1180"/>
      <c r="F171" s="1180"/>
      <c r="G171" s="1180"/>
      <c r="H171" s="1180"/>
      <c r="I171" s="1182"/>
      <c r="J171" s="1180"/>
      <c r="K171" s="1180"/>
      <c r="L171" s="1180"/>
      <c r="M171" s="1180"/>
      <c r="P171" s="1089" t="s">
        <v>1338</v>
      </c>
      <c r="Q171" s="1078">
        <f>SUM(R14:R38)</f>
        <v>517299.2292</v>
      </c>
    </row>
    <row r="172" spans="1:21" ht="23.85" customHeight="1" x14ac:dyDescent="0.25">
      <c r="A172" s="1183" t="s">
        <v>1420</v>
      </c>
      <c r="B172" s="1180"/>
      <c r="C172" s="1180"/>
      <c r="D172" s="1180"/>
      <c r="E172" s="1180"/>
      <c r="F172" s="1180"/>
      <c r="G172" s="1180"/>
      <c r="H172" s="1180"/>
      <c r="I172" s="1180"/>
      <c r="J172" s="1180"/>
      <c r="K172" s="1180"/>
      <c r="L172" s="1180"/>
      <c r="M172" s="1180"/>
      <c r="P172" s="1078" t="s">
        <v>1421</v>
      </c>
      <c r="Q172" s="1078">
        <f>R65+SUM(R74:R86)+SUM(R92:R98)+SUM(R119:R128)+SUM(R161:R164)+R152</f>
        <v>119218</v>
      </c>
    </row>
    <row r="173" spans="1:21" ht="11.85" customHeight="1" x14ac:dyDescent="0.25">
      <c r="A173" s="1179" t="s">
        <v>1422</v>
      </c>
      <c r="B173" s="1180"/>
      <c r="C173" s="1180"/>
      <c r="D173" s="1180"/>
      <c r="E173" s="1180"/>
      <c r="F173" s="1180"/>
      <c r="G173" s="1180"/>
      <c r="H173" s="1180"/>
      <c r="I173" s="1180"/>
      <c r="J173" s="1180"/>
      <c r="K173" s="1180"/>
      <c r="L173" s="1180"/>
      <c r="M173" s="1180"/>
      <c r="P173" s="1078" t="s">
        <v>1423</v>
      </c>
      <c r="Q173" s="1078">
        <f>SUM(Q44:Q167)*10%</f>
        <v>580130</v>
      </c>
    </row>
    <row r="174" spans="1:21" ht="11.85" customHeight="1" x14ac:dyDescent="0.25">
      <c r="A174" s="1179" t="s">
        <v>1424</v>
      </c>
      <c r="B174" s="1180"/>
      <c r="C174" s="1180"/>
      <c r="D174" s="1180"/>
      <c r="E174" s="1180"/>
      <c r="F174" s="1180"/>
      <c r="G174" s="1180"/>
      <c r="H174" s="1180"/>
      <c r="I174" s="1180"/>
      <c r="J174" s="1180"/>
      <c r="K174" s="1180"/>
      <c r="L174" s="1180"/>
      <c r="M174" s="1180"/>
      <c r="P174" s="1090" t="s">
        <v>35</v>
      </c>
      <c r="Q174" s="1090">
        <f>SUM(Q171:Q173)</f>
        <v>1216647.2291999999</v>
      </c>
    </row>
    <row r="175" spans="1:21" ht="12" customHeight="1" x14ac:dyDescent="0.25">
      <c r="A175" s="1179" t="s">
        <v>1425</v>
      </c>
      <c r="B175" s="1180"/>
      <c r="C175" s="1180"/>
      <c r="D175" s="1180"/>
      <c r="E175" s="1180"/>
      <c r="F175" s="1180"/>
      <c r="G175" s="1180"/>
      <c r="H175" s="1180"/>
      <c r="I175" s="1180"/>
      <c r="J175" s="1180"/>
      <c r="K175" s="1180"/>
      <c r="L175" s="1180"/>
      <c r="M175" s="1180"/>
    </row>
    <row r="176" spans="1:21" ht="11.85" customHeight="1" x14ac:dyDescent="0.25">
      <c r="A176" s="1179" t="s">
        <v>1426</v>
      </c>
      <c r="B176" s="1180"/>
      <c r="C176" s="1180"/>
      <c r="D176" s="1180"/>
      <c r="E176" s="1180"/>
      <c r="F176" s="1180"/>
      <c r="G176" s="1180"/>
      <c r="H176" s="1180"/>
      <c r="I176" s="1180"/>
      <c r="J176" s="1180"/>
      <c r="K176" s="1180"/>
      <c r="L176" s="1180"/>
      <c r="M176" s="1180"/>
    </row>
    <row r="177" spans="16:17" ht="0" hidden="1" customHeight="1" x14ac:dyDescent="0.25"/>
    <row r="180" spans="16:17" x14ac:dyDescent="0.25">
      <c r="P180" s="1078" t="s">
        <v>1427</v>
      </c>
      <c r="Q180" s="1078"/>
    </row>
    <row r="181" spans="16:17" x14ac:dyDescent="0.25">
      <c r="P181" s="1078" t="s">
        <v>1338</v>
      </c>
      <c r="Q181" s="1078">
        <v>517299</v>
      </c>
    </row>
    <row r="182" spans="16:17" x14ac:dyDescent="0.25">
      <c r="P182" s="1078" t="s">
        <v>1421</v>
      </c>
      <c r="Q182" s="1078">
        <v>119217</v>
      </c>
    </row>
    <row r="183" spans="16:17" x14ac:dyDescent="0.25">
      <c r="P183" s="1091" t="s">
        <v>1428</v>
      </c>
      <c r="Q183" s="1091">
        <f>SUM(R44:R62)+R68+R71+R89+SUM(R101:R116)+SUM(R131:R149)+SUM(R155+R158+R167)</f>
        <v>658220.55000000005</v>
      </c>
    </row>
    <row r="184" spans="16:17" x14ac:dyDescent="0.25">
      <c r="P184" s="1092" t="s">
        <v>1429</v>
      </c>
      <c r="Q184" s="1092">
        <f>SUM(Q181:Q183)</f>
        <v>1294736.55</v>
      </c>
    </row>
  </sheetData>
  <mergeCells count="384">
    <mergeCell ref="A1:D1"/>
    <mergeCell ref="E1:K2"/>
    <mergeCell ref="A2:D4"/>
    <mergeCell ref="E4:K5"/>
    <mergeCell ref="E7:K7"/>
    <mergeCell ref="A9:C9"/>
    <mergeCell ref="D9:E9"/>
    <mergeCell ref="K9:L9"/>
    <mergeCell ref="A14:H14"/>
    <mergeCell ref="K14:L14"/>
    <mergeCell ref="A15:B15"/>
    <mergeCell ref="C15:M15"/>
    <mergeCell ref="A16:C16"/>
    <mergeCell ref="D16:E16"/>
    <mergeCell ref="K16:L16"/>
    <mergeCell ref="A10:M10"/>
    <mergeCell ref="B11:M11"/>
    <mergeCell ref="A12:B12"/>
    <mergeCell ref="C12:M12"/>
    <mergeCell ref="A13:C13"/>
    <mergeCell ref="D13:E13"/>
    <mergeCell ref="K13:L13"/>
    <mergeCell ref="A20:H20"/>
    <mergeCell ref="K20:L20"/>
    <mergeCell ref="A21:B21"/>
    <mergeCell ref="C21:M21"/>
    <mergeCell ref="A22:C22"/>
    <mergeCell ref="D22:E22"/>
    <mergeCell ref="K22:L22"/>
    <mergeCell ref="A17:H17"/>
    <mergeCell ref="K17:L17"/>
    <mergeCell ref="A18:B18"/>
    <mergeCell ref="C18:M18"/>
    <mergeCell ref="A19:C19"/>
    <mergeCell ref="D19:E19"/>
    <mergeCell ref="K19:L19"/>
    <mergeCell ref="A26:H26"/>
    <mergeCell ref="K26:L26"/>
    <mergeCell ref="A27:B27"/>
    <mergeCell ref="C27:M27"/>
    <mergeCell ref="A28:C28"/>
    <mergeCell ref="D28:E28"/>
    <mergeCell ref="K28:L28"/>
    <mergeCell ref="A23:H23"/>
    <mergeCell ref="K23:L23"/>
    <mergeCell ref="A24:B24"/>
    <mergeCell ref="C24:M24"/>
    <mergeCell ref="A25:C25"/>
    <mergeCell ref="D25:E25"/>
    <mergeCell ref="K25:L25"/>
    <mergeCell ref="A32:H32"/>
    <mergeCell ref="K32:L32"/>
    <mergeCell ref="A33:B33"/>
    <mergeCell ref="C33:M33"/>
    <mergeCell ref="A34:C34"/>
    <mergeCell ref="D34:E34"/>
    <mergeCell ref="K34:L34"/>
    <mergeCell ref="A29:H29"/>
    <mergeCell ref="K29:L29"/>
    <mergeCell ref="A30:B30"/>
    <mergeCell ref="C30:M30"/>
    <mergeCell ref="A31:C31"/>
    <mergeCell ref="D31:E31"/>
    <mergeCell ref="K31:L31"/>
    <mergeCell ref="A38:H38"/>
    <mergeCell ref="K38:L38"/>
    <mergeCell ref="A39:H39"/>
    <mergeCell ref="K39:L39"/>
    <mergeCell ref="A40:M40"/>
    <mergeCell ref="B41:M41"/>
    <mergeCell ref="A35:H35"/>
    <mergeCell ref="K35:L35"/>
    <mergeCell ref="A36:B36"/>
    <mergeCell ref="C36:M36"/>
    <mergeCell ref="A37:C37"/>
    <mergeCell ref="D37:E37"/>
    <mergeCell ref="K37:L37"/>
    <mergeCell ref="A45:B45"/>
    <mergeCell ref="C45:M45"/>
    <mergeCell ref="A46:C46"/>
    <mergeCell ref="D46:E46"/>
    <mergeCell ref="K46:L46"/>
    <mergeCell ref="A47:H47"/>
    <mergeCell ref="K47:L47"/>
    <mergeCell ref="A42:B42"/>
    <mergeCell ref="C42:M42"/>
    <mergeCell ref="A43:C43"/>
    <mergeCell ref="D43:E43"/>
    <mergeCell ref="K43:L43"/>
    <mergeCell ref="A44:H44"/>
    <mergeCell ref="K44:L44"/>
    <mergeCell ref="A51:B51"/>
    <mergeCell ref="C51:M51"/>
    <mergeCell ref="A52:C52"/>
    <mergeCell ref="D52:E52"/>
    <mergeCell ref="K52:L52"/>
    <mergeCell ref="A53:H53"/>
    <mergeCell ref="K53:L53"/>
    <mergeCell ref="A48:B48"/>
    <mergeCell ref="C48:M48"/>
    <mergeCell ref="A49:C49"/>
    <mergeCell ref="D49:E49"/>
    <mergeCell ref="K49:L49"/>
    <mergeCell ref="A50:H50"/>
    <mergeCell ref="K50:L50"/>
    <mergeCell ref="A57:B57"/>
    <mergeCell ref="C57:M57"/>
    <mergeCell ref="A58:C58"/>
    <mergeCell ref="D58:E58"/>
    <mergeCell ref="K58:L58"/>
    <mergeCell ref="A59:H59"/>
    <mergeCell ref="K59:L59"/>
    <mergeCell ref="A54:B54"/>
    <mergeCell ref="C54:M54"/>
    <mergeCell ref="A55:C55"/>
    <mergeCell ref="D55:E55"/>
    <mergeCell ref="K55:L55"/>
    <mergeCell ref="A56:H56"/>
    <mergeCell ref="K56:L56"/>
    <mergeCell ref="A63:B63"/>
    <mergeCell ref="C63:M63"/>
    <mergeCell ref="A64:C64"/>
    <mergeCell ref="D64:E64"/>
    <mergeCell ref="K64:L64"/>
    <mergeCell ref="A65:H65"/>
    <mergeCell ref="K65:L65"/>
    <mergeCell ref="A60:B60"/>
    <mergeCell ref="C60:M60"/>
    <mergeCell ref="A61:C61"/>
    <mergeCell ref="D61:E61"/>
    <mergeCell ref="K61:L61"/>
    <mergeCell ref="A62:H62"/>
    <mergeCell ref="K62:L62"/>
    <mergeCell ref="A69:B69"/>
    <mergeCell ref="C69:M69"/>
    <mergeCell ref="A70:C70"/>
    <mergeCell ref="D70:E70"/>
    <mergeCell ref="K70:L70"/>
    <mergeCell ref="A71:H71"/>
    <mergeCell ref="K71:L71"/>
    <mergeCell ref="A66:B66"/>
    <mergeCell ref="C66:M66"/>
    <mergeCell ref="A67:C67"/>
    <mergeCell ref="D67:E67"/>
    <mergeCell ref="K67:L67"/>
    <mergeCell ref="A68:H68"/>
    <mergeCell ref="K68:L68"/>
    <mergeCell ref="A75:B75"/>
    <mergeCell ref="C75:M75"/>
    <mergeCell ref="A76:C76"/>
    <mergeCell ref="D76:E76"/>
    <mergeCell ref="K76:L76"/>
    <mergeCell ref="A77:H77"/>
    <mergeCell ref="K77:L77"/>
    <mergeCell ref="A72:B72"/>
    <mergeCell ref="C72:M72"/>
    <mergeCell ref="A73:C73"/>
    <mergeCell ref="D73:E73"/>
    <mergeCell ref="K73:L73"/>
    <mergeCell ref="A74:H74"/>
    <mergeCell ref="K74:L74"/>
    <mergeCell ref="A81:B81"/>
    <mergeCell ref="C81:M81"/>
    <mergeCell ref="A82:C82"/>
    <mergeCell ref="D82:E82"/>
    <mergeCell ref="K82:L82"/>
    <mergeCell ref="A83:H83"/>
    <mergeCell ref="K83:L83"/>
    <mergeCell ref="A78:B78"/>
    <mergeCell ref="C78:M78"/>
    <mergeCell ref="A79:C79"/>
    <mergeCell ref="D79:E79"/>
    <mergeCell ref="K79:L79"/>
    <mergeCell ref="A80:H80"/>
    <mergeCell ref="K80:L80"/>
    <mergeCell ref="A87:B87"/>
    <mergeCell ref="C87:M87"/>
    <mergeCell ref="A88:C88"/>
    <mergeCell ref="D88:E88"/>
    <mergeCell ref="K88:L88"/>
    <mergeCell ref="A89:H89"/>
    <mergeCell ref="K89:L89"/>
    <mergeCell ref="A84:B84"/>
    <mergeCell ref="C84:M84"/>
    <mergeCell ref="A85:C85"/>
    <mergeCell ref="D85:E85"/>
    <mergeCell ref="K85:L85"/>
    <mergeCell ref="A86:H86"/>
    <mergeCell ref="K86:L86"/>
    <mergeCell ref="A93:B93"/>
    <mergeCell ref="C93:M93"/>
    <mergeCell ref="A94:C94"/>
    <mergeCell ref="D94:E94"/>
    <mergeCell ref="K94:L94"/>
    <mergeCell ref="A95:H95"/>
    <mergeCell ref="K95:L95"/>
    <mergeCell ref="A90:B90"/>
    <mergeCell ref="C90:M90"/>
    <mergeCell ref="A91:C91"/>
    <mergeCell ref="D91:E91"/>
    <mergeCell ref="K91:L91"/>
    <mergeCell ref="A92:H92"/>
    <mergeCell ref="K92:L92"/>
    <mergeCell ref="A99:B99"/>
    <mergeCell ref="C99:M99"/>
    <mergeCell ref="A100:C100"/>
    <mergeCell ref="D100:E100"/>
    <mergeCell ref="K100:L100"/>
    <mergeCell ref="A101:H101"/>
    <mergeCell ref="K101:L101"/>
    <mergeCell ref="A96:B96"/>
    <mergeCell ref="C96:M96"/>
    <mergeCell ref="A97:C97"/>
    <mergeCell ref="D97:E97"/>
    <mergeCell ref="K97:L97"/>
    <mergeCell ref="A98:H98"/>
    <mergeCell ref="K98:L98"/>
    <mergeCell ref="A105:B105"/>
    <mergeCell ref="C105:M105"/>
    <mergeCell ref="A106:C106"/>
    <mergeCell ref="D106:E106"/>
    <mergeCell ref="K106:L106"/>
    <mergeCell ref="A107:H107"/>
    <mergeCell ref="K107:L107"/>
    <mergeCell ref="A102:B102"/>
    <mergeCell ref="C102:M102"/>
    <mergeCell ref="A103:C103"/>
    <mergeCell ref="D103:E103"/>
    <mergeCell ref="K103:L103"/>
    <mergeCell ref="A104:H104"/>
    <mergeCell ref="K104:L104"/>
    <mergeCell ref="A111:B111"/>
    <mergeCell ref="C111:M111"/>
    <mergeCell ref="A112:C112"/>
    <mergeCell ref="D112:E112"/>
    <mergeCell ref="K112:L112"/>
    <mergeCell ref="A113:H113"/>
    <mergeCell ref="K113:L113"/>
    <mergeCell ref="A108:B108"/>
    <mergeCell ref="C108:M108"/>
    <mergeCell ref="A109:C109"/>
    <mergeCell ref="D109:E109"/>
    <mergeCell ref="K109:L109"/>
    <mergeCell ref="A110:H110"/>
    <mergeCell ref="K110:L110"/>
    <mergeCell ref="A117:B117"/>
    <mergeCell ref="C117:M117"/>
    <mergeCell ref="A118:C118"/>
    <mergeCell ref="D118:E118"/>
    <mergeCell ref="K118:L118"/>
    <mergeCell ref="A119:H119"/>
    <mergeCell ref="K119:L119"/>
    <mergeCell ref="A114:B114"/>
    <mergeCell ref="C114:M114"/>
    <mergeCell ref="A115:C115"/>
    <mergeCell ref="D115:E115"/>
    <mergeCell ref="K115:L115"/>
    <mergeCell ref="A116:H116"/>
    <mergeCell ref="K116:L116"/>
    <mergeCell ref="A123:B123"/>
    <mergeCell ref="C123:M123"/>
    <mergeCell ref="A124:C124"/>
    <mergeCell ref="D124:E124"/>
    <mergeCell ref="K124:L124"/>
    <mergeCell ref="A125:H125"/>
    <mergeCell ref="K125:L125"/>
    <mergeCell ref="A120:B120"/>
    <mergeCell ref="C120:M120"/>
    <mergeCell ref="A121:C121"/>
    <mergeCell ref="D121:E121"/>
    <mergeCell ref="K121:L121"/>
    <mergeCell ref="A122:H122"/>
    <mergeCell ref="K122:L122"/>
    <mergeCell ref="A129:B129"/>
    <mergeCell ref="C129:M129"/>
    <mergeCell ref="A130:C130"/>
    <mergeCell ref="D130:E130"/>
    <mergeCell ref="K130:L130"/>
    <mergeCell ref="A131:H131"/>
    <mergeCell ref="K131:L131"/>
    <mergeCell ref="A126:B126"/>
    <mergeCell ref="C126:M126"/>
    <mergeCell ref="A127:C127"/>
    <mergeCell ref="D127:E127"/>
    <mergeCell ref="K127:L127"/>
    <mergeCell ref="A128:H128"/>
    <mergeCell ref="K128:L128"/>
    <mergeCell ref="A135:B135"/>
    <mergeCell ref="C135:M135"/>
    <mergeCell ref="A136:C136"/>
    <mergeCell ref="D136:E136"/>
    <mergeCell ref="K136:L136"/>
    <mergeCell ref="A137:H137"/>
    <mergeCell ref="K137:L137"/>
    <mergeCell ref="A132:B132"/>
    <mergeCell ref="C132:M132"/>
    <mergeCell ref="A133:C133"/>
    <mergeCell ref="D133:E133"/>
    <mergeCell ref="K133:L133"/>
    <mergeCell ref="A134:H134"/>
    <mergeCell ref="K134:L134"/>
    <mergeCell ref="A141:B141"/>
    <mergeCell ref="C141:M141"/>
    <mergeCell ref="A142:C142"/>
    <mergeCell ref="D142:E142"/>
    <mergeCell ref="K142:L142"/>
    <mergeCell ref="A143:H143"/>
    <mergeCell ref="K143:L143"/>
    <mergeCell ref="A138:B138"/>
    <mergeCell ref="C138:M138"/>
    <mergeCell ref="A139:C139"/>
    <mergeCell ref="D139:E139"/>
    <mergeCell ref="K139:L139"/>
    <mergeCell ref="A140:H140"/>
    <mergeCell ref="K140:L140"/>
    <mergeCell ref="A147:B147"/>
    <mergeCell ref="C147:M147"/>
    <mergeCell ref="A148:C148"/>
    <mergeCell ref="D148:E148"/>
    <mergeCell ref="K148:L148"/>
    <mergeCell ref="A149:H149"/>
    <mergeCell ref="K149:L149"/>
    <mergeCell ref="A144:B144"/>
    <mergeCell ref="C144:M144"/>
    <mergeCell ref="A145:C145"/>
    <mergeCell ref="D145:E145"/>
    <mergeCell ref="K145:L145"/>
    <mergeCell ref="A146:H146"/>
    <mergeCell ref="K146:L146"/>
    <mergeCell ref="A153:B153"/>
    <mergeCell ref="C153:M153"/>
    <mergeCell ref="A154:C154"/>
    <mergeCell ref="D154:E154"/>
    <mergeCell ref="K154:L154"/>
    <mergeCell ref="A155:H155"/>
    <mergeCell ref="K155:L155"/>
    <mergeCell ref="A150:B150"/>
    <mergeCell ref="C150:M150"/>
    <mergeCell ref="A151:C151"/>
    <mergeCell ref="D151:E151"/>
    <mergeCell ref="K151:L151"/>
    <mergeCell ref="A152:H152"/>
    <mergeCell ref="K152:L152"/>
    <mergeCell ref="A159:B159"/>
    <mergeCell ref="C159:M159"/>
    <mergeCell ref="A160:C160"/>
    <mergeCell ref="D160:E160"/>
    <mergeCell ref="K160:L160"/>
    <mergeCell ref="A161:H161"/>
    <mergeCell ref="K161:L161"/>
    <mergeCell ref="A156:B156"/>
    <mergeCell ref="C156:M156"/>
    <mergeCell ref="A157:C157"/>
    <mergeCell ref="D157:E157"/>
    <mergeCell ref="K157:L157"/>
    <mergeCell ref="A158:H158"/>
    <mergeCell ref="K158:L158"/>
    <mergeCell ref="A165:B165"/>
    <mergeCell ref="C165:M165"/>
    <mergeCell ref="A166:C166"/>
    <mergeCell ref="D166:E166"/>
    <mergeCell ref="K166:L166"/>
    <mergeCell ref="A167:H167"/>
    <mergeCell ref="K167:L167"/>
    <mergeCell ref="A162:B162"/>
    <mergeCell ref="C162:M162"/>
    <mergeCell ref="A163:C163"/>
    <mergeCell ref="D163:E163"/>
    <mergeCell ref="K163:L163"/>
    <mergeCell ref="A164:H164"/>
    <mergeCell ref="K164:L164"/>
    <mergeCell ref="A176:M176"/>
    <mergeCell ref="A171:H171"/>
    <mergeCell ref="I171:M171"/>
    <mergeCell ref="A172:M172"/>
    <mergeCell ref="A173:M173"/>
    <mergeCell ref="A174:M174"/>
    <mergeCell ref="A175:M175"/>
    <mergeCell ref="A168:H168"/>
    <mergeCell ref="K168:L168"/>
    <mergeCell ref="A169:H169"/>
    <mergeCell ref="K169:L169"/>
    <mergeCell ref="A170:H170"/>
    <mergeCell ref="K170:L170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C302-E7AF-445E-A975-1BC6C5139B48}">
  <sheetPr>
    <tabColor rgb="FFFFFF00"/>
  </sheetPr>
  <dimension ref="A1:N31"/>
  <sheetViews>
    <sheetView topLeftCell="A16" workbookViewId="0">
      <selection activeCell="E23" sqref="E23"/>
    </sheetView>
  </sheetViews>
  <sheetFormatPr defaultRowHeight="15" x14ac:dyDescent="0.25"/>
  <cols>
    <col min="1" max="1" width="44.140625" customWidth="1"/>
    <col min="2" max="2" width="11.42578125" customWidth="1"/>
    <col min="3" max="3" width="14.28515625" customWidth="1"/>
    <col min="4" max="4" width="12.85546875" style="4" customWidth="1"/>
    <col min="5" max="5" width="21.42578125" style="4" customWidth="1"/>
    <col min="6" max="6" width="13.42578125" style="4" customWidth="1"/>
    <col min="7" max="7" width="14.140625" customWidth="1"/>
    <col min="8" max="8" width="12.85546875" bestFit="1" customWidth="1"/>
  </cols>
  <sheetData>
    <row r="1" spans="1:12" x14ac:dyDescent="0.25">
      <c r="A1" s="908" t="s">
        <v>1072</v>
      </c>
      <c r="B1" s="908" t="s">
        <v>610</v>
      </c>
      <c r="C1" s="908" t="s">
        <v>4</v>
      </c>
      <c r="D1" s="908" t="s">
        <v>1073</v>
      </c>
      <c r="E1" s="908" t="s">
        <v>1074</v>
      </c>
      <c r="G1" s="419"/>
      <c r="H1" s="419"/>
      <c r="I1" s="419"/>
      <c r="J1" s="419"/>
      <c r="K1" s="419"/>
      <c r="L1" s="419"/>
    </row>
    <row r="2" spans="1:12" x14ac:dyDescent="0.25">
      <c r="A2" s="120" t="s">
        <v>1075</v>
      </c>
      <c r="B2" s="122" t="s">
        <v>1076</v>
      </c>
      <c r="C2" s="122">
        <v>10</v>
      </c>
      <c r="D2" s="121">
        <v>25</v>
      </c>
      <c r="E2" s="121">
        <v>250</v>
      </c>
    </row>
    <row r="3" spans="1:12" x14ac:dyDescent="0.25">
      <c r="A3" s="120" t="s">
        <v>1077</v>
      </c>
      <c r="B3" s="122" t="s">
        <v>231</v>
      </c>
      <c r="C3" s="122">
        <v>6</v>
      </c>
      <c r="D3" s="121">
        <v>1.5</v>
      </c>
      <c r="E3" s="121">
        <v>9</v>
      </c>
    </row>
    <row r="4" spans="1:12" x14ac:dyDescent="0.25">
      <c r="A4" s="120" t="s">
        <v>1078</v>
      </c>
      <c r="B4" s="122" t="s">
        <v>231</v>
      </c>
      <c r="C4" s="122">
        <v>2</v>
      </c>
      <c r="D4" s="871">
        <v>5.5</v>
      </c>
      <c r="E4" s="871">
        <v>11</v>
      </c>
    </row>
    <row r="5" spans="1:12" x14ac:dyDescent="0.25">
      <c r="A5" s="120" t="s">
        <v>1079</v>
      </c>
      <c r="B5" s="122" t="s">
        <v>231</v>
      </c>
      <c r="C5" s="122">
        <v>1</v>
      </c>
      <c r="D5" s="871">
        <v>37</v>
      </c>
      <c r="E5" s="871">
        <v>37</v>
      </c>
    </row>
    <row r="6" spans="1:12" x14ac:dyDescent="0.25">
      <c r="A6" s="120" t="s">
        <v>1080</v>
      </c>
      <c r="B6" s="122" t="s">
        <v>231</v>
      </c>
      <c r="C6" s="122">
        <v>12</v>
      </c>
      <c r="D6" s="871">
        <v>14</v>
      </c>
      <c r="E6" s="871">
        <v>168</v>
      </c>
    </row>
    <row r="7" spans="1:12" x14ac:dyDescent="0.25">
      <c r="A7" s="120" t="s">
        <v>1081</v>
      </c>
      <c r="B7" s="122" t="s">
        <v>1082</v>
      </c>
      <c r="C7" s="122">
        <v>2</v>
      </c>
      <c r="D7" s="871">
        <v>80</v>
      </c>
      <c r="E7" s="871">
        <v>160</v>
      </c>
    </row>
    <row r="8" spans="1:12" x14ac:dyDescent="0.25">
      <c r="A8" s="120" t="s">
        <v>1083</v>
      </c>
      <c r="B8" s="122" t="s">
        <v>231</v>
      </c>
      <c r="C8" s="122">
        <v>4</v>
      </c>
      <c r="D8" s="121">
        <v>6.5</v>
      </c>
      <c r="E8" s="121">
        <v>26</v>
      </c>
    </row>
    <row r="9" spans="1:12" x14ac:dyDescent="0.25">
      <c r="A9" s="120"/>
      <c r="B9" s="122"/>
      <c r="C9" s="122"/>
      <c r="D9" s="876"/>
      <c r="E9" s="886">
        <f>SUM(E2:E8)</f>
        <v>661</v>
      </c>
      <c r="F9" s="909" t="s">
        <v>1084</v>
      </c>
      <c r="G9" s="795"/>
      <c r="H9" s="795"/>
      <c r="I9" s="795"/>
      <c r="J9" s="795"/>
      <c r="K9" s="795"/>
    </row>
    <row r="10" spans="1:12" x14ac:dyDescent="0.25">
      <c r="A10" s="1199" t="s">
        <v>1085</v>
      </c>
      <c r="B10" s="1199"/>
      <c r="C10" s="1199"/>
      <c r="D10" s="1199"/>
      <c r="E10" s="1199"/>
    </row>
    <row r="11" spans="1:12" s="120" customFormat="1" x14ac:dyDescent="0.25">
      <c r="A11" s="910" t="s">
        <v>1086</v>
      </c>
      <c r="B11" s="910" t="s">
        <v>610</v>
      </c>
      <c r="C11" s="910" t="s">
        <v>4</v>
      </c>
      <c r="D11" s="910" t="s">
        <v>1087</v>
      </c>
      <c r="E11" s="910" t="s">
        <v>1074</v>
      </c>
      <c r="F11" s="121"/>
    </row>
    <row r="12" spans="1:12" x14ac:dyDescent="0.25">
      <c r="A12" s="416" t="s">
        <v>1088</v>
      </c>
      <c r="B12" s="415" t="s">
        <v>1089</v>
      </c>
      <c r="C12" s="415">
        <v>6</v>
      </c>
      <c r="D12" s="911">
        <v>450</v>
      </c>
      <c r="E12" s="912">
        <v>4200</v>
      </c>
      <c r="F12" s="913"/>
    </row>
    <row r="13" spans="1:12" x14ac:dyDescent="0.25">
      <c r="A13" s="124" t="s">
        <v>1090</v>
      </c>
      <c r="B13" s="690" t="s">
        <v>231</v>
      </c>
      <c r="C13" s="690">
        <v>1</v>
      </c>
      <c r="D13" s="871">
        <v>1000</v>
      </c>
      <c r="E13" s="871">
        <v>1000</v>
      </c>
      <c r="F13" s="913"/>
      <c r="G13" s="29"/>
      <c r="H13" s="29"/>
      <c r="I13" s="29"/>
      <c r="J13" s="29"/>
    </row>
    <row r="14" spans="1:12" x14ac:dyDescent="0.25">
      <c r="A14" s="124" t="s">
        <v>1091</v>
      </c>
      <c r="B14" s="690" t="s">
        <v>1092</v>
      </c>
      <c r="C14" s="690">
        <v>1</v>
      </c>
      <c r="D14" s="871">
        <v>700</v>
      </c>
      <c r="E14" s="871">
        <v>700</v>
      </c>
    </row>
    <row r="15" spans="1:12" x14ac:dyDescent="0.25">
      <c r="A15" s="120" t="s">
        <v>1093</v>
      </c>
      <c r="B15" s="122" t="s">
        <v>1094</v>
      </c>
      <c r="C15" s="122">
        <v>1</v>
      </c>
      <c r="D15" s="121">
        <v>144</v>
      </c>
      <c r="E15" s="871">
        <v>144</v>
      </c>
    </row>
    <row r="16" spans="1:12" x14ac:dyDescent="0.25">
      <c r="A16" s="822" t="s">
        <v>1095</v>
      </c>
      <c r="B16" s="823" t="s">
        <v>1092</v>
      </c>
      <c r="C16" s="823">
        <v>1</v>
      </c>
      <c r="D16" s="824">
        <v>220</v>
      </c>
      <c r="E16" s="871">
        <v>220</v>
      </c>
    </row>
    <row r="17" spans="1:14" x14ac:dyDescent="0.25">
      <c r="A17" s="120" t="s">
        <v>1096</v>
      </c>
      <c r="B17" s="122" t="s">
        <v>1097</v>
      </c>
      <c r="C17" s="122">
        <v>1</v>
      </c>
      <c r="D17" s="121">
        <v>280</v>
      </c>
      <c r="E17" s="871">
        <v>265</v>
      </c>
    </row>
    <row r="18" spans="1:14" x14ac:dyDescent="0.25">
      <c r="A18" s="120" t="s">
        <v>1098</v>
      </c>
      <c r="B18" s="122" t="s">
        <v>1089</v>
      </c>
      <c r="C18" s="122">
        <v>1</v>
      </c>
      <c r="D18" s="121">
        <v>150</v>
      </c>
      <c r="E18" s="871">
        <v>150</v>
      </c>
    </row>
    <row r="19" spans="1:14" x14ac:dyDescent="0.25">
      <c r="A19" s="124" t="s">
        <v>1099</v>
      </c>
      <c r="B19" s="690" t="s">
        <v>1100</v>
      </c>
      <c r="C19" s="690">
        <v>6</v>
      </c>
      <c r="D19" s="871">
        <v>600</v>
      </c>
      <c r="E19" s="871">
        <v>3600</v>
      </c>
    </row>
    <row r="20" spans="1:14" x14ac:dyDescent="0.25">
      <c r="A20" s="120" t="s">
        <v>1101</v>
      </c>
      <c r="B20" s="122" t="s">
        <v>1092</v>
      </c>
      <c r="C20" s="122">
        <v>1</v>
      </c>
      <c r="D20" s="121">
        <v>100</v>
      </c>
      <c r="E20" s="871">
        <v>100</v>
      </c>
    </row>
    <row r="21" spans="1:14" x14ac:dyDescent="0.25">
      <c r="A21" s="120" t="s">
        <v>1102</v>
      </c>
      <c r="B21" s="122" t="s">
        <v>1092</v>
      </c>
      <c r="C21" s="122">
        <v>1</v>
      </c>
      <c r="D21" s="121">
        <v>300</v>
      </c>
      <c r="E21" s="871">
        <v>300</v>
      </c>
    </row>
    <row r="22" spans="1:14" x14ac:dyDescent="0.25">
      <c r="A22" s="120" t="s">
        <v>1103</v>
      </c>
      <c r="B22" s="122" t="s">
        <v>1092</v>
      </c>
      <c r="C22" s="122">
        <v>1</v>
      </c>
      <c r="D22" s="121">
        <v>360</v>
      </c>
      <c r="E22" s="871">
        <v>360</v>
      </c>
    </row>
    <row r="23" spans="1:14" x14ac:dyDescent="0.25">
      <c r="A23" s="120"/>
      <c r="B23" s="122"/>
      <c r="C23" s="122"/>
      <c r="D23" s="121"/>
      <c r="E23" s="882">
        <f>SUM(E12:E22)</f>
        <v>11039</v>
      </c>
      <c r="F23" s="909" t="s">
        <v>1104</v>
      </c>
      <c r="G23" s="795"/>
      <c r="H23" s="795"/>
      <c r="I23" s="795"/>
      <c r="J23" s="795"/>
      <c r="K23" s="795"/>
      <c r="L23" s="795"/>
      <c r="M23" s="795"/>
      <c r="N23" s="795"/>
    </row>
    <row r="24" spans="1:14" x14ac:dyDescent="0.25">
      <c r="A24" s="1200" t="s">
        <v>1105</v>
      </c>
      <c r="B24" s="1200"/>
      <c r="C24" s="1200"/>
      <c r="D24" s="1200"/>
      <c r="E24" s="1200"/>
    </row>
    <row r="25" spans="1:14" x14ac:dyDescent="0.25">
      <c r="A25" s="120" t="s">
        <v>1106</v>
      </c>
      <c r="B25" s="122" t="s">
        <v>1107</v>
      </c>
      <c r="C25" s="914">
        <v>2000</v>
      </c>
      <c r="D25" s="121">
        <v>6</v>
      </c>
      <c r="E25" s="121">
        <v>12000</v>
      </c>
      <c r="F25" s="913"/>
      <c r="G25" s="29"/>
      <c r="H25" s="29"/>
    </row>
    <row r="26" spans="1:14" x14ac:dyDescent="0.25">
      <c r="A26" s="120" t="s">
        <v>1108</v>
      </c>
      <c r="B26" s="122" t="s">
        <v>1107</v>
      </c>
      <c r="C26" s="914">
        <v>2000</v>
      </c>
      <c r="D26" s="121">
        <v>6</v>
      </c>
      <c r="E26" s="121">
        <v>12000</v>
      </c>
      <c r="F26" s="913"/>
      <c r="G26" s="29"/>
      <c r="H26" s="29"/>
    </row>
    <row r="27" spans="1:14" x14ac:dyDescent="0.25">
      <c r="A27" s="120" t="s">
        <v>1109</v>
      </c>
      <c r="B27" s="122" t="s">
        <v>1107</v>
      </c>
      <c r="C27" s="914">
        <v>1500</v>
      </c>
      <c r="D27" s="121">
        <v>6</v>
      </c>
      <c r="E27" s="121">
        <v>9000</v>
      </c>
    </row>
    <row r="28" spans="1:14" x14ac:dyDescent="0.25">
      <c r="A28" s="120"/>
      <c r="B28" s="120"/>
      <c r="C28" s="120"/>
      <c r="D28" s="121"/>
      <c r="E28" s="886"/>
    </row>
    <row r="29" spans="1:14" ht="18.75" x14ac:dyDescent="0.3">
      <c r="A29" s="915"/>
      <c r="B29" s="915"/>
      <c r="C29" s="915"/>
      <c r="D29" s="121"/>
      <c r="E29" s="886">
        <f>SUM(E25:E27)</f>
        <v>33000</v>
      </c>
    </row>
    <row r="30" spans="1:14" ht="18.75" x14ac:dyDescent="0.3">
      <c r="A30" s="916"/>
      <c r="B30" s="916"/>
      <c r="C30" s="916"/>
      <c r="D30" s="519"/>
      <c r="E30" s="917"/>
    </row>
    <row r="31" spans="1:14" x14ac:dyDescent="0.25">
      <c r="D31" s="918" t="s">
        <v>606</v>
      </c>
      <c r="E31" s="918">
        <v>44700</v>
      </c>
      <c r="F31" s="919"/>
    </row>
  </sheetData>
  <mergeCells count="2">
    <mergeCell ref="A10:E10"/>
    <mergeCell ref="A24:E2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7095-FD48-40CD-A867-23389B753DB6}">
  <dimension ref="A1:F30"/>
  <sheetViews>
    <sheetView topLeftCell="A19" workbookViewId="0">
      <selection activeCell="E31" sqref="E31"/>
    </sheetView>
  </sheetViews>
  <sheetFormatPr defaultRowHeight="15" x14ac:dyDescent="0.25"/>
  <cols>
    <col min="1" max="1" width="14.7109375" customWidth="1"/>
    <col min="2" max="2" width="98.140625" customWidth="1"/>
    <col min="3" max="4" width="13" customWidth="1"/>
    <col min="5" max="5" width="14.140625" customWidth="1"/>
    <col min="6" max="6" width="22.5703125" customWidth="1"/>
    <col min="7" max="7" width="11.140625" customWidth="1"/>
    <col min="8" max="8" width="20.28515625" customWidth="1"/>
    <col min="9" max="9" width="47.7109375" bestFit="1" customWidth="1"/>
    <col min="10" max="10" width="10.28515625" customWidth="1"/>
    <col min="11" max="11" width="11.85546875" bestFit="1" customWidth="1"/>
    <col min="12" max="12" width="13.140625" bestFit="1" customWidth="1"/>
    <col min="13" max="13" width="11.140625" customWidth="1"/>
    <col min="14" max="14" width="30.140625" bestFit="1" customWidth="1"/>
    <col min="16" max="16" width="12.140625" customWidth="1"/>
    <col min="17" max="17" width="13.7109375" bestFit="1" customWidth="1"/>
    <col min="20" max="20" width="12.140625" bestFit="1" customWidth="1"/>
    <col min="21" max="21" width="7.85546875" customWidth="1"/>
    <col min="22" max="23" width="14.7109375" customWidth="1"/>
  </cols>
  <sheetData>
    <row r="1" spans="1:6" ht="18" x14ac:dyDescent="0.25">
      <c r="A1" s="1201" t="s">
        <v>716</v>
      </c>
      <c r="B1" s="1201"/>
      <c r="C1" s="1201"/>
      <c r="D1" s="1201"/>
      <c r="E1" s="1201"/>
      <c r="F1" s="1201"/>
    </row>
    <row r="2" spans="1:6" x14ac:dyDescent="0.25">
      <c r="A2" s="1205" t="s">
        <v>223</v>
      </c>
      <c r="B2" s="1205"/>
      <c r="C2" s="1205"/>
      <c r="D2" s="648" t="s">
        <v>408</v>
      </c>
      <c r="E2" s="648" t="s">
        <v>717</v>
      </c>
      <c r="F2" s="648" t="s">
        <v>718</v>
      </c>
    </row>
    <row r="3" spans="1:6" x14ac:dyDescent="0.25">
      <c r="A3" s="840"/>
      <c r="B3" s="831" t="s">
        <v>719</v>
      </c>
      <c r="C3" s="842"/>
      <c r="D3" s="829">
        <v>4</v>
      </c>
      <c r="E3" s="832">
        <v>500</v>
      </c>
      <c r="F3" s="650">
        <f>D3*E3</f>
        <v>2000</v>
      </c>
    </row>
    <row r="4" spans="1:6" x14ac:dyDescent="0.25">
      <c r="A4" s="840"/>
      <c r="B4" s="831" t="s">
        <v>720</v>
      </c>
      <c r="C4" s="842"/>
      <c r="D4" s="829">
        <v>4</v>
      </c>
      <c r="E4" s="832">
        <v>80</v>
      </c>
      <c r="F4" s="650">
        <f t="shared" ref="F4:F11" si="0">D4*E4</f>
        <v>320</v>
      </c>
    </row>
    <row r="5" spans="1:6" x14ac:dyDescent="0.25">
      <c r="A5" s="840"/>
      <c r="B5" s="833" t="s">
        <v>986</v>
      </c>
      <c r="C5" s="842"/>
      <c r="D5" s="829">
        <v>1</v>
      </c>
      <c r="E5" s="832">
        <v>300</v>
      </c>
      <c r="F5" s="650">
        <f t="shared" si="0"/>
        <v>300</v>
      </c>
    </row>
    <row r="6" spans="1:6" x14ac:dyDescent="0.25">
      <c r="A6" s="840"/>
      <c r="B6" s="831" t="s">
        <v>721</v>
      </c>
      <c r="C6" s="842"/>
      <c r="D6" s="829">
        <v>1</v>
      </c>
      <c r="E6" s="832">
        <v>50</v>
      </c>
      <c r="F6" s="650">
        <f t="shared" si="0"/>
        <v>50</v>
      </c>
    </row>
    <row r="7" spans="1:6" x14ac:dyDescent="0.25">
      <c r="A7" s="840"/>
      <c r="B7" s="833" t="s">
        <v>987</v>
      </c>
      <c r="C7" s="842"/>
      <c r="D7" s="830">
        <v>3</v>
      </c>
      <c r="E7" s="832">
        <v>90</v>
      </c>
      <c r="F7" s="650">
        <f t="shared" si="0"/>
        <v>270</v>
      </c>
    </row>
    <row r="8" spans="1:6" x14ac:dyDescent="0.25">
      <c r="A8" s="840"/>
      <c r="B8" s="833" t="s">
        <v>988</v>
      </c>
      <c r="C8" s="842"/>
      <c r="D8" s="830">
        <v>3</v>
      </c>
      <c r="E8" s="832">
        <v>200</v>
      </c>
      <c r="F8" s="650">
        <f t="shared" si="0"/>
        <v>600</v>
      </c>
    </row>
    <row r="9" spans="1:6" x14ac:dyDescent="0.25">
      <c r="A9" s="840"/>
      <c r="B9" s="833" t="s">
        <v>989</v>
      </c>
      <c r="C9" s="842"/>
      <c r="D9" s="830">
        <v>8</v>
      </c>
      <c r="E9" s="832">
        <v>80</v>
      </c>
      <c r="F9" s="650">
        <f t="shared" si="0"/>
        <v>640</v>
      </c>
    </row>
    <row r="10" spans="1:6" x14ac:dyDescent="0.25">
      <c r="A10" s="840"/>
      <c r="B10" s="831" t="s">
        <v>990</v>
      </c>
      <c r="C10" s="842"/>
      <c r="D10" s="830">
        <v>8</v>
      </c>
      <c r="E10" s="832">
        <v>180</v>
      </c>
      <c r="F10" s="650">
        <f t="shared" si="0"/>
        <v>1440</v>
      </c>
    </row>
    <row r="11" spans="1:6" x14ac:dyDescent="0.25">
      <c r="A11" s="840"/>
      <c r="B11" s="841"/>
      <c r="C11" s="842"/>
      <c r="D11" s="651"/>
      <c r="E11" s="649"/>
      <c r="F11" s="650">
        <f t="shared" si="0"/>
        <v>0</v>
      </c>
    </row>
    <row r="12" spans="1:6" x14ac:dyDescent="0.25">
      <c r="A12" s="1209"/>
      <c r="B12" s="1209"/>
      <c r="C12" s="1209"/>
      <c r="D12" s="652"/>
      <c r="E12" s="653" t="s">
        <v>1</v>
      </c>
      <c r="F12" s="654">
        <f>SUM(F3:F11)</f>
        <v>5620</v>
      </c>
    </row>
    <row r="13" spans="1:6" x14ac:dyDescent="0.25">
      <c r="A13" s="626"/>
      <c r="B13" s="626"/>
      <c r="C13" s="626"/>
      <c r="D13" s="626"/>
      <c r="E13" s="626"/>
      <c r="F13" s="626"/>
    </row>
    <row r="14" spans="1:6" ht="18" x14ac:dyDescent="0.25">
      <c r="A14" s="1202" t="s">
        <v>406</v>
      </c>
      <c r="B14" s="1203"/>
      <c r="C14" s="1203"/>
      <c r="D14" s="1203"/>
      <c r="E14" s="1204"/>
      <c r="F14" s="626"/>
    </row>
    <row r="15" spans="1:6" ht="15.75" x14ac:dyDescent="0.25">
      <c r="A15" s="1206" t="s">
        <v>410</v>
      </c>
      <c r="B15" s="1207"/>
      <c r="C15" s="1207"/>
      <c r="D15" s="1207"/>
      <c r="E15" s="1208"/>
      <c r="F15" s="626"/>
    </row>
    <row r="16" spans="1:6" x14ac:dyDescent="0.25">
      <c r="A16" s="655" t="s">
        <v>407</v>
      </c>
      <c r="B16" s="655" t="s">
        <v>223</v>
      </c>
      <c r="C16" s="655" t="s">
        <v>408</v>
      </c>
      <c r="D16" s="655" t="s">
        <v>411</v>
      </c>
      <c r="E16" s="655" t="s">
        <v>409</v>
      </c>
      <c r="F16" s="626"/>
    </row>
    <row r="17" spans="1:6" x14ac:dyDescent="0.25">
      <c r="A17" s="834">
        <v>1</v>
      </c>
      <c r="B17" s="120" t="s">
        <v>991</v>
      </c>
      <c r="C17" s="835">
        <v>1</v>
      </c>
      <c r="D17" s="836">
        <v>800</v>
      </c>
      <c r="E17" s="836">
        <f t="shared" ref="E17:E29" si="1">D17*C17</f>
        <v>800</v>
      </c>
      <c r="F17" s="626"/>
    </row>
    <row r="18" spans="1:6" x14ac:dyDescent="0.25">
      <c r="A18" s="834">
        <f>SUM(A17+1)</f>
        <v>2</v>
      </c>
      <c r="B18" s="122" t="s">
        <v>992</v>
      </c>
      <c r="C18" s="835">
        <v>1</v>
      </c>
      <c r="D18" s="836">
        <v>200</v>
      </c>
      <c r="E18" s="836">
        <f t="shared" si="1"/>
        <v>200</v>
      </c>
      <c r="F18" s="626"/>
    </row>
    <row r="19" spans="1:6" x14ac:dyDescent="0.25">
      <c r="A19" s="834">
        <f t="shared" ref="A19:A29" si="2">SUM(A18+1)</f>
        <v>3</v>
      </c>
      <c r="B19" s="120" t="s">
        <v>993</v>
      </c>
      <c r="C19" s="835">
        <v>1</v>
      </c>
      <c r="D19" s="836">
        <v>120</v>
      </c>
      <c r="E19" s="836">
        <f t="shared" si="1"/>
        <v>120</v>
      </c>
      <c r="F19" s="626"/>
    </row>
    <row r="20" spans="1:6" x14ac:dyDescent="0.25">
      <c r="A20" s="834">
        <f t="shared" si="2"/>
        <v>4</v>
      </c>
      <c r="B20" s="120" t="s">
        <v>994</v>
      </c>
      <c r="C20" s="835">
        <v>1</v>
      </c>
      <c r="D20" s="836">
        <v>320</v>
      </c>
      <c r="E20" s="836">
        <f t="shared" si="1"/>
        <v>320</v>
      </c>
      <c r="F20" s="626"/>
    </row>
    <row r="21" spans="1:6" x14ac:dyDescent="0.25">
      <c r="A21" s="834">
        <f t="shared" si="2"/>
        <v>5</v>
      </c>
      <c r="B21" s="120" t="s">
        <v>995</v>
      </c>
      <c r="C21" s="837">
        <v>1</v>
      </c>
      <c r="D21" s="836">
        <v>100</v>
      </c>
      <c r="E21" s="836">
        <f t="shared" si="1"/>
        <v>100</v>
      </c>
      <c r="F21" s="626"/>
    </row>
    <row r="22" spans="1:6" x14ac:dyDescent="0.25">
      <c r="A22" s="834">
        <f t="shared" si="2"/>
        <v>6</v>
      </c>
      <c r="B22" s="120" t="s">
        <v>996</v>
      </c>
      <c r="C22" s="835">
        <v>1</v>
      </c>
      <c r="D22" s="836">
        <v>230</v>
      </c>
      <c r="E22" s="836">
        <f t="shared" si="1"/>
        <v>230</v>
      </c>
      <c r="F22" s="626"/>
    </row>
    <row r="23" spans="1:6" x14ac:dyDescent="0.25">
      <c r="A23" s="834">
        <f t="shared" si="2"/>
        <v>7</v>
      </c>
      <c r="B23" s="120" t="s">
        <v>997</v>
      </c>
      <c r="C23" s="837">
        <v>1</v>
      </c>
      <c r="D23" s="838">
        <v>305</v>
      </c>
      <c r="E23" s="838">
        <f t="shared" si="1"/>
        <v>305</v>
      </c>
      <c r="F23" s="626"/>
    </row>
    <row r="24" spans="1:6" x14ac:dyDescent="0.25">
      <c r="A24" s="834">
        <f t="shared" si="2"/>
        <v>8</v>
      </c>
      <c r="B24" s="120" t="s">
        <v>998</v>
      </c>
      <c r="C24" s="837">
        <v>3</v>
      </c>
      <c r="D24" s="838">
        <v>1200</v>
      </c>
      <c r="E24" s="838">
        <f t="shared" si="1"/>
        <v>3600</v>
      </c>
      <c r="F24" s="626"/>
    </row>
    <row r="25" spans="1:6" x14ac:dyDescent="0.25">
      <c r="A25" s="834">
        <f t="shared" si="2"/>
        <v>9</v>
      </c>
      <c r="B25" s="120" t="s">
        <v>999</v>
      </c>
      <c r="C25" s="835">
        <v>1</v>
      </c>
      <c r="D25" s="836">
        <v>390</v>
      </c>
      <c r="E25" s="838">
        <f t="shared" si="1"/>
        <v>390</v>
      </c>
      <c r="F25" s="626"/>
    </row>
    <row r="26" spans="1:6" x14ac:dyDescent="0.25">
      <c r="A26" s="834">
        <f t="shared" si="2"/>
        <v>10</v>
      </c>
      <c r="B26" s="120" t="s">
        <v>1000</v>
      </c>
      <c r="C26" s="839">
        <v>1</v>
      </c>
      <c r="D26" s="836">
        <v>120</v>
      </c>
      <c r="E26" s="838">
        <f t="shared" si="1"/>
        <v>120</v>
      </c>
      <c r="F26" s="626"/>
    </row>
    <row r="27" spans="1:6" x14ac:dyDescent="0.25">
      <c r="A27" s="834">
        <f t="shared" si="2"/>
        <v>11</v>
      </c>
      <c r="B27" s="120" t="s">
        <v>1001</v>
      </c>
      <c r="C27" s="835">
        <v>1</v>
      </c>
      <c r="D27" s="836">
        <v>2600</v>
      </c>
      <c r="E27" s="838">
        <f t="shared" si="1"/>
        <v>2600</v>
      </c>
      <c r="F27" s="626"/>
    </row>
    <row r="28" spans="1:6" x14ac:dyDescent="0.25">
      <c r="A28" s="834">
        <f t="shared" si="2"/>
        <v>12</v>
      </c>
      <c r="B28" s="120" t="s">
        <v>1002</v>
      </c>
      <c r="C28" s="835">
        <v>1</v>
      </c>
      <c r="D28" s="836">
        <v>1000</v>
      </c>
      <c r="E28" s="838">
        <f t="shared" si="1"/>
        <v>1000</v>
      </c>
      <c r="F28" s="626"/>
    </row>
    <row r="29" spans="1:6" x14ac:dyDescent="0.25">
      <c r="A29" s="834">
        <f t="shared" si="2"/>
        <v>13</v>
      </c>
      <c r="B29" s="120" t="s">
        <v>1003</v>
      </c>
      <c r="C29" s="835">
        <v>2</v>
      </c>
      <c r="D29" s="836">
        <v>160</v>
      </c>
      <c r="E29" s="838">
        <f t="shared" si="1"/>
        <v>320</v>
      </c>
    </row>
    <row r="30" spans="1:6" x14ac:dyDescent="0.25">
      <c r="E30" s="530">
        <f>SUM(E17:E29)*0.3</f>
        <v>3031.5</v>
      </c>
    </row>
  </sheetData>
  <mergeCells count="5">
    <mergeCell ref="A1:F1"/>
    <mergeCell ref="A14:E14"/>
    <mergeCell ref="A2:C2"/>
    <mergeCell ref="A15:E15"/>
    <mergeCell ref="A12:C1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AD6D-B9E5-4272-B6AF-7DB2E27B2D4F}">
  <dimension ref="A1:S44"/>
  <sheetViews>
    <sheetView topLeftCell="C1" workbookViewId="0">
      <selection activeCell="M21" sqref="M21"/>
    </sheetView>
  </sheetViews>
  <sheetFormatPr defaultRowHeight="15" x14ac:dyDescent="0.25"/>
  <cols>
    <col min="1" max="1" width="41.85546875" customWidth="1"/>
    <col min="2" max="2" width="12.140625" bestFit="1" customWidth="1"/>
    <col min="3" max="3" width="13.140625" bestFit="1" customWidth="1"/>
    <col min="5" max="5" width="37.5703125" bestFit="1" customWidth="1"/>
    <col min="6" max="6" width="11.5703125" bestFit="1" customWidth="1"/>
    <col min="7" max="7" width="13.28515625" bestFit="1" customWidth="1"/>
    <col min="8" max="8" width="13.85546875" bestFit="1" customWidth="1"/>
    <col min="9" max="9" width="15" bestFit="1" customWidth="1"/>
    <col min="11" max="11" width="14.7109375" customWidth="1"/>
    <col min="12" max="12" width="15.85546875" bestFit="1" customWidth="1"/>
    <col min="13" max="13" width="18.28515625" bestFit="1" customWidth="1"/>
    <col min="14" max="14" width="16" bestFit="1" customWidth="1"/>
    <col min="15" max="15" width="11.7109375" bestFit="1" customWidth="1"/>
    <col min="16" max="16" width="12.140625" bestFit="1" customWidth="1"/>
    <col min="18" max="18" width="49.140625" bestFit="1" customWidth="1"/>
    <col min="19" max="19" width="12.7109375" bestFit="1" customWidth="1"/>
  </cols>
  <sheetData>
    <row r="1" spans="1:19" ht="15.75" thickBot="1" x14ac:dyDescent="0.3">
      <c r="A1" s="1220" t="s">
        <v>149</v>
      </c>
      <c r="B1" s="1220"/>
      <c r="C1" s="1220"/>
      <c r="E1" s="868" t="s">
        <v>1018</v>
      </c>
      <c r="F1" s="868" t="s">
        <v>4</v>
      </c>
      <c r="G1" s="869" t="s">
        <v>409</v>
      </c>
      <c r="H1" s="870" t="s">
        <v>193</v>
      </c>
      <c r="I1" s="870" t="s">
        <v>1019</v>
      </c>
      <c r="J1" s="419"/>
      <c r="K1" s="889" t="s">
        <v>4</v>
      </c>
      <c r="L1" s="889" t="s">
        <v>612</v>
      </c>
      <c r="M1" s="889" t="s">
        <v>1036</v>
      </c>
      <c r="N1" s="889" t="s">
        <v>1037</v>
      </c>
      <c r="O1" s="889" t="s">
        <v>1038</v>
      </c>
      <c r="P1" s="890" t="s">
        <v>1</v>
      </c>
    </row>
    <row r="2" spans="1:19" ht="19.5" thickBot="1" x14ac:dyDescent="0.35">
      <c r="A2" s="1015" t="s">
        <v>150</v>
      </c>
      <c r="B2" s="1016">
        <v>130</v>
      </c>
      <c r="C2" s="1016">
        <f>B2*13</f>
        <v>1690</v>
      </c>
      <c r="D2" t="s">
        <v>1020</v>
      </c>
      <c r="E2" s="872"/>
      <c r="F2" s="872"/>
      <c r="G2" s="873"/>
      <c r="H2" s="874"/>
      <c r="I2" s="874"/>
      <c r="K2" s="891">
        <v>1</v>
      </c>
      <c r="L2" s="892" t="s">
        <v>1039</v>
      </c>
      <c r="M2" s="120"/>
      <c r="N2" s="121">
        <f>25</f>
        <v>25</v>
      </c>
      <c r="O2" s="120"/>
      <c r="P2" s="893">
        <f>M2+N2+O2</f>
        <v>25</v>
      </c>
      <c r="R2" s="894" t="s">
        <v>1040</v>
      </c>
      <c r="S2" s="895" t="s">
        <v>802</v>
      </c>
    </row>
    <row r="3" spans="1:19" ht="18.75" x14ac:dyDescent="0.3">
      <c r="A3" s="1015" t="s">
        <v>151</v>
      </c>
      <c r="B3" s="1016">
        <v>15</v>
      </c>
      <c r="C3" s="1016">
        <f>B3*17</f>
        <v>255</v>
      </c>
      <c r="D3" t="s">
        <v>1020</v>
      </c>
      <c r="E3" s="1017" t="s">
        <v>1340</v>
      </c>
      <c r="F3" s="1017"/>
      <c r="G3" s="1018">
        <v>2150</v>
      </c>
      <c r="H3" s="1019">
        <f>G3</f>
        <v>2150</v>
      </c>
      <c r="I3" s="1019">
        <f>H3*12</f>
        <v>25800</v>
      </c>
      <c r="J3" t="s">
        <v>852</v>
      </c>
      <c r="K3" s="891">
        <v>1</v>
      </c>
      <c r="L3" s="896" t="s">
        <v>1041</v>
      </c>
      <c r="M3" s="897"/>
      <c r="N3" s="121">
        <v>60</v>
      </c>
      <c r="O3" s="120"/>
      <c r="P3" s="893">
        <f t="shared" ref="P3:P10" si="0">M3+N3+O3</f>
        <v>60</v>
      </c>
      <c r="R3" s="898" t="s">
        <v>1042</v>
      </c>
      <c r="S3" s="899">
        <v>25</v>
      </c>
    </row>
    <row r="4" spans="1:19" ht="18.75" x14ac:dyDescent="0.3">
      <c r="A4" s="1015" t="s">
        <v>152</v>
      </c>
      <c r="B4" s="1016">
        <v>50</v>
      </c>
      <c r="C4" s="1016">
        <f>B4*2</f>
        <v>100</v>
      </c>
      <c r="D4" t="s">
        <v>1020</v>
      </c>
      <c r="E4" s="1017" t="s">
        <v>1341</v>
      </c>
      <c r="F4" s="1017">
        <v>11</v>
      </c>
      <c r="G4" s="1018">
        <v>250</v>
      </c>
      <c r="H4" s="1019">
        <f>F4*G4</f>
        <v>2750</v>
      </c>
      <c r="I4" s="1019">
        <f>H4*12</f>
        <v>33000</v>
      </c>
      <c r="J4" t="s">
        <v>852</v>
      </c>
      <c r="K4" s="891">
        <v>1</v>
      </c>
      <c r="L4" s="896" t="s">
        <v>722</v>
      </c>
      <c r="M4" s="897"/>
      <c r="N4" s="121">
        <v>75</v>
      </c>
      <c r="O4" s="120"/>
      <c r="P4" s="893">
        <f t="shared" si="0"/>
        <v>75</v>
      </c>
      <c r="R4" s="900" t="s">
        <v>1043</v>
      </c>
      <c r="S4" s="901">
        <v>25</v>
      </c>
    </row>
    <row r="5" spans="1:19" ht="18.75" x14ac:dyDescent="0.3">
      <c r="A5" s="1015" t="s">
        <v>153</v>
      </c>
      <c r="B5" s="1016">
        <v>45</v>
      </c>
      <c r="C5" s="1016">
        <f>B5*5</f>
        <v>225</v>
      </c>
      <c r="D5" t="s">
        <v>1020</v>
      </c>
      <c r="E5" s="872" t="s">
        <v>1342</v>
      </c>
      <c r="F5" s="872">
        <v>2</v>
      </c>
      <c r="G5" s="873">
        <v>250</v>
      </c>
      <c r="H5" s="874">
        <f>G5*F5</f>
        <v>500</v>
      </c>
      <c r="I5" s="874">
        <f>H5*3</f>
        <v>1500</v>
      </c>
      <c r="J5" t="s">
        <v>852</v>
      </c>
      <c r="K5" s="891">
        <v>1</v>
      </c>
      <c r="L5" s="896" t="s">
        <v>1044</v>
      </c>
      <c r="M5" s="897"/>
      <c r="N5" s="121">
        <v>110</v>
      </c>
      <c r="O5" s="120"/>
      <c r="P5" s="893">
        <f t="shared" si="0"/>
        <v>110</v>
      </c>
      <c r="R5" s="900" t="s">
        <v>1045</v>
      </c>
      <c r="S5" s="901">
        <v>25</v>
      </c>
    </row>
    <row r="6" spans="1:19" ht="18.75" x14ac:dyDescent="0.3">
      <c r="A6" s="1017" t="s">
        <v>1021</v>
      </c>
      <c r="B6" s="1020">
        <v>30</v>
      </c>
      <c r="C6" s="1020">
        <f>B6*2</f>
        <v>60</v>
      </c>
      <c r="D6" t="s">
        <v>1020</v>
      </c>
      <c r="E6" s="872"/>
      <c r="F6" s="872"/>
      <c r="G6" s="873"/>
      <c r="H6" s="874"/>
      <c r="I6" s="874"/>
      <c r="K6" s="891">
        <v>1</v>
      </c>
      <c r="L6" s="896" t="s">
        <v>1046</v>
      </c>
      <c r="M6" s="897"/>
      <c r="N6" s="121">
        <v>190</v>
      </c>
      <c r="O6" s="120"/>
      <c r="P6" s="893">
        <f t="shared" si="0"/>
        <v>190</v>
      </c>
      <c r="R6" s="900" t="s">
        <v>1047</v>
      </c>
      <c r="S6" s="901">
        <v>25</v>
      </c>
    </row>
    <row r="7" spans="1:19" ht="18.75" x14ac:dyDescent="0.3">
      <c r="A7" s="1017" t="s">
        <v>1022</v>
      </c>
      <c r="B7" s="1020">
        <v>50</v>
      </c>
      <c r="C7" s="1020">
        <f>B7*12</f>
        <v>600</v>
      </c>
      <c r="D7" t="s">
        <v>1020</v>
      </c>
      <c r="E7" s="1217" t="s">
        <v>1023</v>
      </c>
      <c r="F7" s="1218"/>
      <c r="G7" s="1219"/>
      <c r="H7" s="877">
        <f>SUM(H2:H6)</f>
        <v>5400</v>
      </c>
      <c r="I7" s="877">
        <f>SUM(I2:I6)</f>
        <v>60300</v>
      </c>
      <c r="K7" s="891">
        <v>1</v>
      </c>
      <c r="L7" s="896" t="s">
        <v>722</v>
      </c>
      <c r="M7" s="897"/>
      <c r="N7" s="121">
        <v>75</v>
      </c>
      <c r="O7" s="120"/>
      <c r="P7" s="893">
        <f t="shared" si="0"/>
        <v>75</v>
      </c>
      <c r="R7" s="900" t="s">
        <v>1048</v>
      </c>
      <c r="S7" s="901">
        <v>50</v>
      </c>
    </row>
    <row r="8" spans="1:19" ht="18.75" x14ac:dyDescent="0.3">
      <c r="A8" s="1015" t="s">
        <v>1024</v>
      </c>
      <c r="B8" s="1020">
        <v>10</v>
      </c>
      <c r="C8" s="1020">
        <f>B8*6</f>
        <v>60</v>
      </c>
      <c r="D8" t="s">
        <v>852</v>
      </c>
      <c r="E8" s="878"/>
      <c r="F8" s="878"/>
      <c r="G8" s="879"/>
      <c r="H8" s="880"/>
      <c r="K8" s="891">
        <v>1</v>
      </c>
      <c r="L8" s="896" t="s">
        <v>1049</v>
      </c>
      <c r="M8" s="897"/>
      <c r="N8" s="121">
        <v>75</v>
      </c>
      <c r="O8" s="120"/>
      <c r="P8" s="893">
        <f t="shared" si="0"/>
        <v>75</v>
      </c>
      <c r="R8" s="900" t="s">
        <v>1050</v>
      </c>
      <c r="S8" s="901">
        <v>100</v>
      </c>
    </row>
    <row r="9" spans="1:19" ht="15.75" x14ac:dyDescent="0.25">
      <c r="A9" s="1015" t="s">
        <v>1025</v>
      </c>
      <c r="B9" s="1020">
        <v>30</v>
      </c>
      <c r="C9" s="1020">
        <f>B9*4</f>
        <v>120</v>
      </c>
      <c r="E9" s="878"/>
      <c r="F9" s="878"/>
      <c r="G9" s="879"/>
      <c r="H9" s="880"/>
      <c r="K9" s="891">
        <v>1</v>
      </c>
      <c r="L9" s="896" t="s">
        <v>1051</v>
      </c>
      <c r="M9" s="120"/>
      <c r="N9" s="121">
        <v>68</v>
      </c>
      <c r="O9" s="120"/>
      <c r="P9" s="893">
        <f t="shared" si="0"/>
        <v>68</v>
      </c>
      <c r="R9" s="124"/>
      <c r="S9" s="120"/>
    </row>
    <row r="10" spans="1:19" ht="18.75" x14ac:dyDescent="0.3">
      <c r="A10" s="1015" t="s">
        <v>1026</v>
      </c>
      <c r="B10" s="1020">
        <v>25</v>
      </c>
      <c r="C10" s="1020">
        <f>B10*22</f>
        <v>550</v>
      </c>
      <c r="E10" s="878"/>
      <c r="F10" s="878"/>
      <c r="G10" s="879"/>
      <c r="H10" s="880"/>
      <c r="K10" s="891">
        <v>1</v>
      </c>
      <c r="L10" s="902" t="s">
        <v>722</v>
      </c>
      <c r="M10" s="897"/>
      <c r="N10" s="121">
        <v>75</v>
      </c>
      <c r="O10" s="120"/>
      <c r="P10" s="893">
        <f t="shared" si="0"/>
        <v>75</v>
      </c>
      <c r="R10" s="124" t="s">
        <v>1052</v>
      </c>
      <c r="S10" s="903">
        <v>5</v>
      </c>
    </row>
    <row r="11" spans="1:19" ht="18.75" x14ac:dyDescent="0.3">
      <c r="A11" s="1221" t="s">
        <v>35</v>
      </c>
      <c r="B11" s="1221"/>
      <c r="C11" s="882">
        <f>SUM(C2:C10)</f>
        <v>3660</v>
      </c>
      <c r="E11" s="878"/>
      <c r="F11" s="878"/>
      <c r="G11" s="879"/>
      <c r="H11" s="880"/>
      <c r="K11" s="1210" t="s">
        <v>123</v>
      </c>
      <c r="L11" s="1210"/>
      <c r="M11" s="1210"/>
      <c r="N11" s="1210"/>
      <c r="O11" s="1210"/>
      <c r="P11" s="904">
        <f>SUM(P2:P10)</f>
        <v>753</v>
      </c>
      <c r="R11" s="124" t="s">
        <v>1053</v>
      </c>
      <c r="S11" s="903">
        <v>8</v>
      </c>
    </row>
    <row r="12" spans="1:19" ht="18.75" x14ac:dyDescent="0.3">
      <c r="A12" s="1220" t="s">
        <v>604</v>
      </c>
      <c r="B12" s="1220"/>
      <c r="C12" s="1220"/>
      <c r="E12" s="878"/>
      <c r="F12" s="878"/>
      <c r="G12" s="879"/>
      <c r="H12" s="880"/>
      <c r="K12" s="1211" t="s">
        <v>1054</v>
      </c>
      <c r="L12" s="1212"/>
      <c r="M12" s="1212"/>
      <c r="N12" s="1212"/>
      <c r="O12" s="1212"/>
      <c r="P12" s="1213"/>
      <c r="R12" s="124" t="s">
        <v>1055</v>
      </c>
      <c r="S12" s="903">
        <v>6</v>
      </c>
    </row>
    <row r="13" spans="1:19" ht="18.75" x14ac:dyDescent="0.3">
      <c r="A13" s="1015" t="s">
        <v>1343</v>
      </c>
      <c r="B13" s="1016"/>
      <c r="C13" s="1016">
        <f>85*24</f>
        <v>2040</v>
      </c>
      <c r="D13" t="s">
        <v>852</v>
      </c>
      <c r="E13" s="878"/>
      <c r="F13" s="878"/>
      <c r="G13" s="879"/>
      <c r="H13" s="880"/>
      <c r="K13" s="891">
        <v>1</v>
      </c>
      <c r="L13" s="892" t="s">
        <v>1056</v>
      </c>
      <c r="M13" s="871">
        <v>68</v>
      </c>
      <c r="N13" s="871"/>
      <c r="O13" s="871">
        <v>68</v>
      </c>
      <c r="P13" s="871">
        <f t="shared" ref="P13:P18" si="1">M13+N13+O13</f>
        <v>136</v>
      </c>
      <c r="R13" s="124" t="s">
        <v>1057</v>
      </c>
      <c r="S13" s="903">
        <v>10</v>
      </c>
    </row>
    <row r="14" spans="1:19" ht="18.75" x14ac:dyDescent="0.3">
      <c r="A14" s="1015" t="s">
        <v>63</v>
      </c>
      <c r="B14" s="1016"/>
      <c r="C14" s="1016">
        <v>1000</v>
      </c>
      <c r="D14" t="s">
        <v>852</v>
      </c>
      <c r="E14" s="878"/>
      <c r="F14" s="878"/>
      <c r="G14" s="879"/>
      <c r="H14" s="880"/>
      <c r="K14" s="891">
        <v>1</v>
      </c>
      <c r="L14" s="892" t="s">
        <v>1058</v>
      </c>
      <c r="M14" s="875">
        <v>108</v>
      </c>
      <c r="N14" s="875"/>
      <c r="O14" s="875">
        <v>108</v>
      </c>
      <c r="P14" s="871">
        <f t="shared" si="1"/>
        <v>216</v>
      </c>
      <c r="R14" s="124" t="s">
        <v>1059</v>
      </c>
      <c r="S14" s="903">
        <v>8</v>
      </c>
    </row>
    <row r="15" spans="1:19" ht="18.75" x14ac:dyDescent="0.3">
      <c r="A15" s="1015" t="s">
        <v>1027</v>
      </c>
      <c r="B15" s="1016"/>
      <c r="C15" s="1016">
        <v>200</v>
      </c>
      <c r="D15" t="s">
        <v>1020</v>
      </c>
      <c r="E15" s="878"/>
      <c r="F15" s="878"/>
      <c r="G15" s="879"/>
      <c r="H15" s="880"/>
      <c r="K15" s="891">
        <v>1</v>
      </c>
      <c r="L15" s="892" t="s">
        <v>629</v>
      </c>
      <c r="M15" s="871">
        <v>262</v>
      </c>
      <c r="N15" s="871"/>
      <c r="O15" s="871">
        <v>262</v>
      </c>
      <c r="P15" s="871">
        <f t="shared" si="1"/>
        <v>524</v>
      </c>
      <c r="R15" s="124" t="s">
        <v>1060</v>
      </c>
      <c r="S15" s="903">
        <v>10</v>
      </c>
    </row>
    <row r="16" spans="1:19" ht="18.75" x14ac:dyDescent="0.3">
      <c r="A16" s="124" t="s">
        <v>49</v>
      </c>
      <c r="B16" s="871"/>
      <c r="C16" s="871">
        <v>4000</v>
      </c>
      <c r="E16" s="878"/>
      <c r="F16" s="878"/>
      <c r="G16" s="879"/>
      <c r="H16" s="880"/>
      <c r="K16" s="891">
        <v>1</v>
      </c>
      <c r="L16" s="892" t="s">
        <v>722</v>
      </c>
      <c r="M16" s="871">
        <v>75</v>
      </c>
      <c r="N16" s="871"/>
      <c r="O16" s="871">
        <v>75</v>
      </c>
      <c r="P16" s="871">
        <f t="shared" si="1"/>
        <v>150</v>
      </c>
      <c r="R16" s="120" t="s">
        <v>1061</v>
      </c>
      <c r="S16" s="903">
        <v>7.5</v>
      </c>
    </row>
    <row r="17" spans="1:19" ht="18.75" x14ac:dyDescent="0.3">
      <c r="A17" s="1015" t="s">
        <v>1028</v>
      </c>
      <c r="B17" s="1016"/>
      <c r="C17" s="1020">
        <v>1666.66</v>
      </c>
      <c r="E17" s="878"/>
      <c r="F17" s="878"/>
      <c r="G17" s="879"/>
      <c r="H17" s="880"/>
      <c r="K17" s="891">
        <v>1</v>
      </c>
      <c r="L17" s="892" t="s">
        <v>1039</v>
      </c>
      <c r="M17" s="871">
        <v>25</v>
      </c>
      <c r="N17" s="871"/>
      <c r="O17" s="871">
        <v>25</v>
      </c>
      <c r="P17" s="871">
        <f t="shared" si="1"/>
        <v>50</v>
      </c>
      <c r="R17" s="120" t="s">
        <v>1062</v>
      </c>
      <c r="S17" s="903">
        <v>7.5</v>
      </c>
    </row>
    <row r="18" spans="1:19" ht="18.75" x14ac:dyDescent="0.3">
      <c r="A18" s="124" t="s">
        <v>1029</v>
      </c>
      <c r="B18" s="871"/>
      <c r="C18" s="875">
        <v>700</v>
      </c>
      <c r="E18" s="878"/>
      <c r="F18" s="878"/>
      <c r="G18" s="879"/>
      <c r="H18" s="880"/>
      <c r="K18" s="891">
        <v>1</v>
      </c>
      <c r="L18" s="531" t="s">
        <v>1063</v>
      </c>
      <c r="M18" s="121">
        <v>75</v>
      </c>
      <c r="N18" s="121"/>
      <c r="O18" s="121">
        <v>75</v>
      </c>
      <c r="P18" s="871">
        <f t="shared" si="1"/>
        <v>150</v>
      </c>
      <c r="R18" s="120" t="s">
        <v>1064</v>
      </c>
      <c r="S18" s="903">
        <v>187</v>
      </c>
    </row>
    <row r="19" spans="1:19" ht="18.75" x14ac:dyDescent="0.3">
      <c r="A19" s="1015" t="s">
        <v>1030</v>
      </c>
      <c r="B19" s="1016"/>
      <c r="C19" s="1020">
        <v>189.75</v>
      </c>
      <c r="D19" t="s">
        <v>852</v>
      </c>
      <c r="E19" s="878"/>
      <c r="F19" s="878"/>
      <c r="G19" s="879"/>
      <c r="H19" s="880"/>
      <c r="K19" s="1210" t="s">
        <v>123</v>
      </c>
      <c r="L19" s="1210"/>
      <c r="M19" s="1210"/>
      <c r="N19" s="1210"/>
      <c r="O19" s="1210"/>
      <c r="P19" s="905">
        <f>SUM(P13:P18)</f>
        <v>1226</v>
      </c>
      <c r="R19" s="120" t="s">
        <v>1065</v>
      </c>
      <c r="S19" s="903">
        <v>20</v>
      </c>
    </row>
    <row r="20" spans="1:19" ht="18.75" x14ac:dyDescent="0.3">
      <c r="A20" s="1015" t="s">
        <v>1344</v>
      </c>
      <c r="B20" s="1016"/>
      <c r="C20" s="1020">
        <v>1800</v>
      </c>
      <c r="D20" t="s">
        <v>852</v>
      </c>
      <c r="E20" s="878"/>
      <c r="F20" s="878"/>
      <c r="G20" s="879"/>
      <c r="H20" s="880"/>
      <c r="K20" s="998"/>
      <c r="L20" s="998"/>
      <c r="M20" s="1021">
        <f>SUM(M13:M18)</f>
        <v>613</v>
      </c>
      <c r="N20" s="998"/>
      <c r="O20" s="1021">
        <f>SUM(O13:O18)</f>
        <v>613</v>
      </c>
      <c r="P20" s="905"/>
      <c r="R20" s="120"/>
      <c r="S20" s="903"/>
    </row>
    <row r="21" spans="1:19" ht="18.75" x14ac:dyDescent="0.3">
      <c r="A21" s="1015" t="s">
        <v>1345</v>
      </c>
      <c r="B21" s="1016"/>
      <c r="C21" s="1020">
        <v>180</v>
      </c>
      <c r="E21" s="878"/>
      <c r="F21" s="878"/>
      <c r="G21" s="879"/>
      <c r="H21" s="880"/>
      <c r="K21" s="998"/>
      <c r="L21" s="998"/>
      <c r="M21" s="998"/>
      <c r="N21" s="998"/>
      <c r="O21" s="998"/>
      <c r="P21" s="905"/>
      <c r="R21" s="120"/>
      <c r="S21" s="903"/>
    </row>
    <row r="22" spans="1:19" ht="18.75" x14ac:dyDescent="0.3">
      <c r="A22" s="1221" t="s">
        <v>35</v>
      </c>
      <c r="B22" s="1221"/>
      <c r="C22" s="882">
        <f>SUM(C13:C21)</f>
        <v>11776.41</v>
      </c>
      <c r="E22" s="878"/>
      <c r="F22" s="878"/>
      <c r="G22" s="879"/>
      <c r="H22" s="880"/>
      <c r="K22" s="1210" t="s">
        <v>1066</v>
      </c>
      <c r="L22" s="1210"/>
      <c r="M22" s="1210"/>
      <c r="N22" s="1210"/>
      <c r="O22" s="1210"/>
      <c r="P22" s="904">
        <f>P11+P19</f>
        <v>1979</v>
      </c>
      <c r="R22" s="120" t="s">
        <v>1067</v>
      </c>
      <c r="S22" s="903">
        <v>7</v>
      </c>
    </row>
    <row r="23" spans="1:19" ht="18.75" x14ac:dyDescent="0.3">
      <c r="A23" s="1214" t="s">
        <v>1031</v>
      </c>
      <c r="B23" s="1215"/>
      <c r="C23" s="1216"/>
      <c r="E23" s="878"/>
      <c r="F23" s="878"/>
      <c r="G23" s="879"/>
      <c r="H23" s="880"/>
      <c r="R23" s="120" t="s">
        <v>1068</v>
      </c>
      <c r="S23" s="903">
        <v>110</v>
      </c>
    </row>
    <row r="24" spans="1:19" x14ac:dyDescent="0.25">
      <c r="A24" s="1015" t="s">
        <v>1112</v>
      </c>
      <c r="B24" s="1016"/>
      <c r="C24" s="1016">
        <v>1800</v>
      </c>
      <c r="D24" t="s">
        <v>1020</v>
      </c>
      <c r="E24" s="883"/>
      <c r="F24" s="883"/>
      <c r="G24" s="884"/>
      <c r="H24" s="885"/>
    </row>
    <row r="25" spans="1:19" x14ac:dyDescent="0.25">
      <c r="A25" s="1015" t="s">
        <v>1346</v>
      </c>
      <c r="B25" s="1016"/>
      <c r="C25" s="1016">
        <v>10000</v>
      </c>
      <c r="D25" t="s">
        <v>1020</v>
      </c>
      <c r="E25" s="878"/>
      <c r="F25" s="878"/>
      <c r="G25" s="879"/>
      <c r="H25" s="880"/>
    </row>
    <row r="26" spans="1:19" x14ac:dyDescent="0.25">
      <c r="A26" s="179" t="s">
        <v>1032</v>
      </c>
      <c r="B26" s="424"/>
      <c r="C26" s="424">
        <f>600*5</f>
        <v>3000</v>
      </c>
      <c r="D26" t="s">
        <v>1347</v>
      </c>
      <c r="E26" s="878"/>
      <c r="F26" s="878"/>
      <c r="G26" s="879"/>
      <c r="H26" s="880"/>
    </row>
    <row r="27" spans="1:19" x14ac:dyDescent="0.25">
      <c r="A27" s="1015" t="s">
        <v>1033</v>
      </c>
      <c r="B27" s="1016"/>
      <c r="C27" s="1016">
        <f>1975.29*12+1975.29*3</f>
        <v>29629.35</v>
      </c>
      <c r="D27" t="s">
        <v>1348</v>
      </c>
      <c r="E27" s="878"/>
      <c r="F27" s="878"/>
      <c r="G27" s="879"/>
      <c r="H27" s="880"/>
    </row>
    <row r="28" spans="1:19" x14ac:dyDescent="0.25">
      <c r="A28" s="1015" t="s">
        <v>1349</v>
      </c>
      <c r="B28" s="1016">
        <v>157</v>
      </c>
      <c r="C28" s="1016">
        <f>B28*1</f>
        <v>157</v>
      </c>
      <c r="D28" t="s">
        <v>1020</v>
      </c>
      <c r="E28" s="878"/>
      <c r="F28" s="878"/>
      <c r="G28" s="879"/>
      <c r="H28" s="880"/>
    </row>
    <row r="29" spans="1:19" x14ac:dyDescent="0.25">
      <c r="A29" s="1015" t="s">
        <v>1034</v>
      </c>
      <c r="B29" s="1016">
        <f>646.92*2</f>
        <v>1293.8399999999999</v>
      </c>
      <c r="C29" s="1016">
        <f>B29*2</f>
        <v>2587.6799999999998</v>
      </c>
      <c r="E29" s="878"/>
      <c r="F29" s="878"/>
      <c r="G29" s="879"/>
      <c r="H29" s="880"/>
    </row>
    <row r="30" spans="1:19" x14ac:dyDescent="0.25">
      <c r="A30" s="881" t="s">
        <v>35</v>
      </c>
      <c r="B30" s="881"/>
      <c r="C30" s="882">
        <f>SUM(C24:C29)</f>
        <v>47174.03</v>
      </c>
      <c r="E30" s="878"/>
      <c r="F30" s="878"/>
      <c r="G30" s="879"/>
      <c r="H30" s="880"/>
    </row>
    <row r="31" spans="1:19" x14ac:dyDescent="0.25">
      <c r="A31" s="1220" t="s">
        <v>1035</v>
      </c>
      <c r="B31" s="1220"/>
      <c r="C31" s="1220"/>
      <c r="E31" s="878"/>
      <c r="F31" s="878"/>
      <c r="G31" s="879"/>
      <c r="H31" s="880"/>
    </row>
    <row r="32" spans="1:19" x14ac:dyDescent="0.25">
      <c r="A32" s="1015" t="s">
        <v>605</v>
      </c>
      <c r="B32" s="1016">
        <v>400</v>
      </c>
      <c r="C32" s="1016">
        <f>B32*3</f>
        <v>1200</v>
      </c>
      <c r="D32" t="s">
        <v>852</v>
      </c>
      <c r="E32" s="878"/>
      <c r="F32" s="878"/>
      <c r="G32" s="879"/>
      <c r="H32" s="880"/>
    </row>
    <row r="33" spans="1:9" x14ac:dyDescent="0.25">
      <c r="A33" s="1015" t="s">
        <v>63</v>
      </c>
      <c r="B33" s="1016">
        <v>400</v>
      </c>
      <c r="C33" s="1016">
        <f>B33*3</f>
        <v>1200</v>
      </c>
      <c r="D33" t="s">
        <v>852</v>
      </c>
      <c r="E33" s="878"/>
      <c r="F33" s="878"/>
      <c r="G33" s="879"/>
      <c r="H33" s="880"/>
    </row>
    <row r="34" spans="1:9" x14ac:dyDescent="0.25">
      <c r="A34" s="1223" t="s">
        <v>35</v>
      </c>
      <c r="B34" s="1223"/>
      <c r="C34" s="886">
        <f>SUM(C32:C33)</f>
        <v>2400</v>
      </c>
      <c r="E34" s="883"/>
      <c r="F34" s="883"/>
      <c r="G34" s="884"/>
      <c r="H34" s="885"/>
      <c r="I34" s="29"/>
    </row>
    <row r="35" spans="1:9" x14ac:dyDescent="0.25">
      <c r="A35" s="402"/>
      <c r="B35" s="402"/>
      <c r="C35" s="887"/>
    </row>
    <row r="36" spans="1:9" x14ac:dyDescent="0.25">
      <c r="B36" s="888" t="s">
        <v>606</v>
      </c>
      <c r="C36" s="888">
        <f>C11+C22+C30+C34</f>
        <v>65010.44</v>
      </c>
      <c r="D36" s="88"/>
      <c r="E36" s="88"/>
      <c r="F36" s="88"/>
      <c r="G36" s="420"/>
      <c r="H36" s="421" t="s">
        <v>606</v>
      </c>
      <c r="I36" s="422">
        <f>I7</f>
        <v>60300</v>
      </c>
    </row>
    <row r="37" spans="1:9" x14ac:dyDescent="0.25">
      <c r="A37" s="1222"/>
      <c r="B37" s="1222"/>
      <c r="C37" s="1222"/>
      <c r="E37" s="412"/>
      <c r="F37" s="412"/>
      <c r="G37" s="865"/>
    </row>
    <row r="38" spans="1:9" x14ac:dyDescent="0.25">
      <c r="B38" s="863"/>
      <c r="C38" s="863"/>
    </row>
    <row r="39" spans="1:9" x14ac:dyDescent="0.25">
      <c r="B39" s="863"/>
      <c r="C39" s="863"/>
      <c r="E39" s="1222"/>
      <c r="F39" s="1222"/>
      <c r="G39" s="1222"/>
    </row>
    <row r="40" spans="1:9" x14ac:dyDescent="0.25">
      <c r="B40" s="863"/>
      <c r="C40" s="864"/>
      <c r="E40" s="863"/>
      <c r="F40" s="863"/>
      <c r="G40" s="863"/>
    </row>
    <row r="41" spans="1:9" x14ac:dyDescent="0.25">
      <c r="A41" s="1222"/>
      <c r="B41" s="1222"/>
      <c r="C41" s="1222"/>
    </row>
    <row r="42" spans="1:9" x14ac:dyDescent="0.25">
      <c r="B42" s="863"/>
      <c r="C42" s="864"/>
    </row>
    <row r="44" spans="1:9" x14ac:dyDescent="0.25">
      <c r="B44" s="864"/>
      <c r="C44" s="864"/>
      <c r="E44" s="865"/>
      <c r="F44" s="866"/>
      <c r="G44" s="867"/>
    </row>
  </sheetData>
  <mergeCells count="15">
    <mergeCell ref="E7:G7"/>
    <mergeCell ref="A1:C1"/>
    <mergeCell ref="A11:B11"/>
    <mergeCell ref="A12:C12"/>
    <mergeCell ref="A41:C41"/>
    <mergeCell ref="A22:B22"/>
    <mergeCell ref="A31:C31"/>
    <mergeCell ref="A37:C37"/>
    <mergeCell ref="E39:G39"/>
    <mergeCell ref="A34:B34"/>
    <mergeCell ref="K11:O11"/>
    <mergeCell ref="K12:P12"/>
    <mergeCell ref="K19:O19"/>
    <mergeCell ref="K22:O22"/>
    <mergeCell ref="A23:C23"/>
  </mergeCells>
  <pageMargins left="0.511811024" right="0.511811024" top="0.78740157499999996" bottom="0.78740157499999996" header="0.31496062000000002" footer="0.31496062000000002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9F93-700D-488E-9DDD-6FC2D8BCE11E}">
  <dimension ref="A1:AL44"/>
  <sheetViews>
    <sheetView topLeftCell="A29" workbookViewId="0">
      <selection activeCell="F47" sqref="F47"/>
    </sheetView>
  </sheetViews>
  <sheetFormatPr defaultRowHeight="15" x14ac:dyDescent="0.25"/>
  <cols>
    <col min="1" max="1" width="23.28515625" customWidth="1"/>
    <col min="2" max="2" width="26.28515625" customWidth="1"/>
    <col min="3" max="3" width="29.28515625" customWidth="1"/>
    <col min="4" max="4" width="13.85546875" customWidth="1"/>
    <col min="5" max="5" width="22.7109375" customWidth="1"/>
    <col min="6" max="6" width="20.7109375" customWidth="1"/>
    <col min="7" max="7" width="24.28515625" customWidth="1"/>
    <col min="8" max="9" width="28.85546875" customWidth="1"/>
    <col min="10" max="10" width="27.85546875" customWidth="1"/>
    <col min="11" max="11" width="15" customWidth="1"/>
    <col min="12" max="12" width="15.5703125" customWidth="1"/>
  </cols>
  <sheetData>
    <row r="1" spans="1:38" ht="21.75" thickBot="1" x14ac:dyDescent="0.3">
      <c r="A1" s="1224" t="s">
        <v>412</v>
      </c>
      <c r="B1" s="1224"/>
      <c r="C1" s="1224"/>
      <c r="D1" s="1224"/>
      <c r="E1" s="1224"/>
      <c r="F1" s="511" t="s">
        <v>694</v>
      </c>
      <c r="G1" s="512" t="s">
        <v>184</v>
      </c>
      <c r="H1" s="512" t="s">
        <v>413</v>
      </c>
      <c r="I1" s="513" t="s">
        <v>414</v>
      </c>
      <c r="J1" s="514" t="s">
        <v>415</v>
      </c>
      <c r="K1" s="515" t="s">
        <v>416</v>
      </c>
      <c r="L1" s="512" t="s">
        <v>417</v>
      </c>
      <c r="M1" s="1257" t="s">
        <v>723</v>
      </c>
      <c r="N1" s="1258"/>
      <c r="O1" s="532" t="s">
        <v>724</v>
      </c>
      <c r="P1" s="532" t="s">
        <v>725</v>
      </c>
      <c r="Q1" s="532" t="s">
        <v>726</v>
      </c>
      <c r="R1" s="513" t="s">
        <v>727</v>
      </c>
      <c r="S1" s="512" t="s">
        <v>728</v>
      </c>
      <c r="T1" s="515" t="s">
        <v>729</v>
      </c>
      <c r="U1" s="515" t="s">
        <v>730</v>
      </c>
      <c r="V1" s="1257" t="s">
        <v>731</v>
      </c>
      <c r="W1" s="1259"/>
      <c r="X1" s="512" t="s">
        <v>732</v>
      </c>
      <c r="Y1" s="1257" t="s">
        <v>733</v>
      </c>
      <c r="Z1" s="1259"/>
      <c r="AA1" s="512" t="s">
        <v>734</v>
      </c>
      <c r="AB1" s="512" t="s">
        <v>735</v>
      </c>
      <c r="AC1" s="512" t="s">
        <v>181</v>
      </c>
      <c r="AD1" s="512" t="s">
        <v>736</v>
      </c>
      <c r="AE1" s="512" t="s">
        <v>737</v>
      </c>
      <c r="AF1" s="512" t="s">
        <v>738</v>
      </c>
      <c r="AG1" s="512" t="s">
        <v>739</v>
      </c>
      <c r="AH1" s="512" t="s">
        <v>740</v>
      </c>
      <c r="AI1" s="512" t="s">
        <v>741</v>
      </c>
      <c r="AJ1" s="512" t="s">
        <v>418</v>
      </c>
      <c r="AK1" s="512" t="s">
        <v>742</v>
      </c>
      <c r="AL1" s="512" t="s">
        <v>743</v>
      </c>
    </row>
    <row r="2" spans="1:38" x14ac:dyDescent="0.25">
      <c r="A2" s="1225" t="s">
        <v>419</v>
      </c>
      <c r="B2" s="1226"/>
      <c r="C2" s="1226"/>
      <c r="D2" s="1226"/>
      <c r="E2" s="1227"/>
      <c r="F2" s="627" t="s">
        <v>420</v>
      </c>
      <c r="G2" s="628" t="s">
        <v>423</v>
      </c>
      <c r="H2" s="628" t="s">
        <v>422</v>
      </c>
      <c r="I2" s="629" t="s">
        <v>422</v>
      </c>
      <c r="J2" s="628" t="s">
        <v>695</v>
      </c>
      <c r="K2" s="630">
        <v>0</v>
      </c>
      <c r="L2" s="631">
        <v>0</v>
      </c>
      <c r="M2" s="1260" t="s">
        <v>744</v>
      </c>
      <c r="N2" s="1261"/>
      <c r="O2" s="122">
        <v>0</v>
      </c>
      <c r="P2" s="520">
        <v>0</v>
      </c>
      <c r="Q2" s="520">
        <v>0</v>
      </c>
      <c r="R2" s="533">
        <v>0</v>
      </c>
      <c r="S2" s="415">
        <v>0</v>
      </c>
      <c r="T2" s="520">
        <v>0</v>
      </c>
      <c r="U2" s="534">
        <v>0</v>
      </c>
      <c r="V2" s="1260">
        <v>0</v>
      </c>
      <c r="W2" s="1262"/>
      <c r="X2" s="535">
        <v>0</v>
      </c>
      <c r="Y2" s="1260"/>
      <c r="Z2" s="1262"/>
      <c r="AA2" s="122">
        <v>0</v>
      </c>
      <c r="AB2" s="122">
        <v>0</v>
      </c>
      <c r="AC2" s="122" t="s">
        <v>745</v>
      </c>
      <c r="AD2" s="122">
        <v>0</v>
      </c>
      <c r="AE2" s="122"/>
      <c r="AF2" s="122">
        <v>0</v>
      </c>
      <c r="AG2" s="122">
        <v>0</v>
      </c>
      <c r="AH2" s="122">
        <v>0</v>
      </c>
      <c r="AI2" s="122">
        <v>0</v>
      </c>
      <c r="AJ2" s="122">
        <v>0</v>
      </c>
      <c r="AK2" s="122" t="s">
        <v>746</v>
      </c>
      <c r="AL2" s="122">
        <v>0</v>
      </c>
    </row>
    <row r="3" spans="1:38" x14ac:dyDescent="0.25">
      <c r="A3" s="1228" t="s">
        <v>696</v>
      </c>
      <c r="B3" s="1229"/>
      <c r="C3" s="1229"/>
      <c r="D3" s="1229"/>
      <c r="E3" s="1230"/>
      <c r="F3" s="628">
        <v>2700</v>
      </c>
      <c r="G3" s="628" t="s">
        <v>421</v>
      </c>
      <c r="H3" s="628" t="s">
        <v>425</v>
      </c>
      <c r="I3" s="634" t="s">
        <v>425</v>
      </c>
      <c r="J3" s="628" t="s">
        <v>697</v>
      </c>
      <c r="K3" s="635" t="s">
        <v>698</v>
      </c>
      <c r="L3" s="631">
        <v>20</v>
      </c>
      <c r="M3" s="1260" t="s">
        <v>747</v>
      </c>
      <c r="N3" s="1261"/>
      <c r="O3" s="122">
        <v>2</v>
      </c>
      <c r="P3" s="122">
        <v>2</v>
      </c>
      <c r="Q3" s="122">
        <v>1</v>
      </c>
      <c r="R3" s="533">
        <v>2</v>
      </c>
      <c r="S3" s="122" t="s">
        <v>748</v>
      </c>
      <c r="T3" s="414">
        <v>2</v>
      </c>
      <c r="U3" s="122" t="s">
        <v>749</v>
      </c>
      <c r="V3" s="1263" t="s">
        <v>750</v>
      </c>
      <c r="W3" s="1264"/>
      <c r="X3" s="122">
        <v>1</v>
      </c>
      <c r="Y3" s="1263">
        <v>5</v>
      </c>
      <c r="Z3" s="1264"/>
      <c r="AA3" s="122" t="s">
        <v>751</v>
      </c>
      <c r="AB3" s="122" t="s">
        <v>752</v>
      </c>
      <c r="AC3" s="536" t="s">
        <v>753</v>
      </c>
      <c r="AD3" s="122">
        <v>0</v>
      </c>
      <c r="AE3" s="1265">
        <v>10</v>
      </c>
      <c r="AF3" s="414" t="s">
        <v>754</v>
      </c>
      <c r="AG3" s="122">
        <v>1</v>
      </c>
      <c r="AH3" s="122">
        <v>1</v>
      </c>
      <c r="AI3" s="122">
        <v>1</v>
      </c>
      <c r="AJ3" s="122">
        <v>1</v>
      </c>
      <c r="AK3" s="122" t="s">
        <v>755</v>
      </c>
      <c r="AL3" s="122">
        <v>0</v>
      </c>
    </row>
    <row r="4" spans="1:38" x14ac:dyDescent="0.25">
      <c r="A4" s="1228" t="s">
        <v>426</v>
      </c>
      <c r="B4" s="1229"/>
      <c r="C4" s="1229"/>
      <c r="D4" s="1229"/>
      <c r="E4" s="1230"/>
      <c r="F4" s="628">
        <v>1500</v>
      </c>
      <c r="G4" s="628" t="s">
        <v>699</v>
      </c>
      <c r="H4" s="628" t="s">
        <v>424</v>
      </c>
      <c r="I4" s="634" t="s">
        <v>424</v>
      </c>
      <c r="J4" s="628" t="s">
        <v>424</v>
      </c>
      <c r="K4" s="630">
        <v>0</v>
      </c>
      <c r="L4" s="631">
        <v>0</v>
      </c>
      <c r="M4" s="1263" t="s">
        <v>756</v>
      </c>
      <c r="N4" s="1267"/>
      <c r="O4" s="122">
        <v>2</v>
      </c>
      <c r="P4" s="122">
        <v>2</v>
      </c>
      <c r="Q4" s="122">
        <v>1</v>
      </c>
      <c r="R4" s="533">
        <v>2</v>
      </c>
      <c r="S4" s="122" t="s">
        <v>757</v>
      </c>
      <c r="T4" s="414">
        <v>2</v>
      </c>
      <c r="U4" s="537" t="s">
        <v>749</v>
      </c>
      <c r="V4" s="1149" t="s">
        <v>758</v>
      </c>
      <c r="W4" s="1151"/>
      <c r="X4" s="537">
        <v>1</v>
      </c>
      <c r="Y4" s="1149">
        <v>5</v>
      </c>
      <c r="Z4" s="1151"/>
      <c r="AA4" s="537" t="s">
        <v>759</v>
      </c>
      <c r="AB4" s="537" t="s">
        <v>752</v>
      </c>
      <c r="AC4" s="537" t="s">
        <v>760</v>
      </c>
      <c r="AD4" s="537">
        <v>0</v>
      </c>
      <c r="AE4" s="1266"/>
      <c r="AF4" s="510">
        <v>0</v>
      </c>
      <c r="AG4" s="537">
        <v>1</v>
      </c>
      <c r="AH4" s="537">
        <v>1</v>
      </c>
      <c r="AI4" s="537">
        <v>1</v>
      </c>
      <c r="AJ4" s="537">
        <v>1</v>
      </c>
      <c r="AK4" s="537">
        <v>1</v>
      </c>
      <c r="AL4" s="537">
        <v>1</v>
      </c>
    </row>
    <row r="5" spans="1:38" x14ac:dyDescent="0.25">
      <c r="A5" s="1234" t="s">
        <v>700</v>
      </c>
      <c r="B5" s="1234"/>
      <c r="C5" s="1234"/>
      <c r="D5" s="1234"/>
      <c r="E5" s="1235"/>
      <c r="F5" s="636">
        <v>3482</v>
      </c>
      <c r="G5" s="632" t="s">
        <v>701</v>
      </c>
      <c r="H5" s="633" t="s">
        <v>702</v>
      </c>
      <c r="I5" s="629" t="s">
        <v>703</v>
      </c>
      <c r="J5" s="635">
        <v>8200</v>
      </c>
      <c r="K5" s="633"/>
      <c r="L5" s="629"/>
      <c r="M5" s="1150"/>
      <c r="N5" s="1150"/>
      <c r="U5" s="538" t="s">
        <v>761</v>
      </c>
      <c r="V5" s="1268" t="s">
        <v>762</v>
      </c>
      <c r="W5" s="1268"/>
      <c r="X5" s="539">
        <v>2</v>
      </c>
      <c r="Y5" s="1269">
        <v>10</v>
      </c>
      <c r="Z5" s="1270"/>
      <c r="AA5" s="539" t="s">
        <v>763</v>
      </c>
      <c r="AB5" s="541" t="s">
        <v>764</v>
      </c>
      <c r="AC5" s="542" t="s">
        <v>765</v>
      </c>
      <c r="AD5" s="543"/>
      <c r="AE5" s="539">
        <v>10</v>
      </c>
      <c r="AF5" s="544" t="s">
        <v>754</v>
      </c>
      <c r="AG5" s="539">
        <v>2</v>
      </c>
      <c r="AH5" s="539">
        <v>2</v>
      </c>
      <c r="AI5" s="539">
        <v>2</v>
      </c>
      <c r="AJ5" s="539">
        <v>2</v>
      </c>
      <c r="AK5" s="539">
        <v>1</v>
      </c>
      <c r="AL5" s="540">
        <v>1</v>
      </c>
    </row>
    <row r="6" spans="1:38" x14ac:dyDescent="0.25">
      <c r="A6" s="1271" t="s">
        <v>766</v>
      </c>
      <c r="B6" s="1272"/>
      <c r="C6" s="1272"/>
      <c r="D6" s="1272"/>
      <c r="E6" s="1272"/>
      <c r="F6" s="1272"/>
      <c r="G6" s="1272"/>
    </row>
    <row r="7" spans="1:38" x14ac:dyDescent="0.25">
      <c r="A7" s="1271" t="s">
        <v>613</v>
      </c>
      <c r="B7" s="1272"/>
      <c r="C7" s="1273"/>
      <c r="D7" s="546" t="s">
        <v>767</v>
      </c>
      <c r="E7" s="547" t="s">
        <v>768</v>
      </c>
      <c r="F7" s="548" t="s">
        <v>42</v>
      </c>
      <c r="G7" s="545" t="s">
        <v>769</v>
      </c>
    </row>
    <row r="8" spans="1:38" x14ac:dyDescent="0.25">
      <c r="A8" s="1236" t="s">
        <v>770</v>
      </c>
      <c r="B8" s="1237"/>
      <c r="C8" s="1238"/>
      <c r="D8" s="549">
        <v>5000</v>
      </c>
      <c r="E8" s="1239" t="s">
        <v>771</v>
      </c>
      <c r="F8" s="1231">
        <v>10</v>
      </c>
      <c r="G8" s="550">
        <v>300</v>
      </c>
    </row>
    <row r="9" spans="1:38" x14ac:dyDescent="0.25">
      <c r="A9" s="1236" t="s">
        <v>772</v>
      </c>
      <c r="B9" s="1237"/>
      <c r="C9" s="1238"/>
      <c r="D9" s="549">
        <v>3000</v>
      </c>
      <c r="E9" s="1240"/>
      <c r="F9" s="1232"/>
      <c r="G9" s="551">
        <v>176</v>
      </c>
    </row>
    <row r="10" spans="1:38" x14ac:dyDescent="0.25">
      <c r="A10" s="1241" t="s">
        <v>773</v>
      </c>
      <c r="B10" s="1242"/>
      <c r="C10" s="1243"/>
      <c r="D10" s="552"/>
      <c r="E10" s="551" t="s">
        <v>774</v>
      </c>
      <c r="F10" s="553">
        <v>2</v>
      </c>
      <c r="G10" s="551" t="s">
        <v>775</v>
      </c>
      <c r="H10" s="504"/>
    </row>
    <row r="11" spans="1:38" x14ac:dyDescent="0.25">
      <c r="A11" s="1244"/>
      <c r="B11" s="1244"/>
      <c r="C11" s="1244"/>
      <c r="D11" s="517"/>
      <c r="E11" s="554"/>
      <c r="F11" s="555"/>
      <c r="G11" s="556"/>
      <c r="H11" s="504"/>
    </row>
    <row r="12" spans="1:38" x14ac:dyDescent="0.25">
      <c r="A12" s="557" t="s">
        <v>776</v>
      </c>
      <c r="B12" s="558"/>
      <c r="C12" s="558"/>
      <c r="D12" s="558"/>
      <c r="E12" s="558"/>
      <c r="F12" s="504"/>
    </row>
    <row r="13" spans="1:38" x14ac:dyDescent="0.25">
      <c r="A13" s="559" t="s">
        <v>777</v>
      </c>
      <c r="B13" s="560"/>
      <c r="C13" s="560"/>
      <c r="D13" s="560"/>
      <c r="E13" s="560"/>
      <c r="F13" s="504"/>
    </row>
    <row r="16" spans="1:38" ht="15.75" x14ac:dyDescent="0.25">
      <c r="A16" s="1245" t="s">
        <v>778</v>
      </c>
      <c r="B16" s="1246"/>
      <c r="C16" s="1247"/>
    </row>
    <row r="17" spans="1:9" x14ac:dyDescent="0.25">
      <c r="A17" s="1248" t="s">
        <v>779</v>
      </c>
      <c r="B17" s="1249"/>
      <c r="C17" s="1250"/>
    </row>
    <row r="18" spans="1:9" x14ac:dyDescent="0.25">
      <c r="A18" s="1251" t="s">
        <v>780</v>
      </c>
      <c r="B18" s="1252"/>
      <c r="C18" s="561" t="s">
        <v>781</v>
      </c>
    </row>
    <row r="19" spans="1:9" x14ac:dyDescent="0.25">
      <c r="A19" s="1253" t="s">
        <v>782</v>
      </c>
      <c r="B19" s="1254"/>
      <c r="C19" s="561" t="s">
        <v>783</v>
      </c>
    </row>
    <row r="21" spans="1:9" x14ac:dyDescent="0.25">
      <c r="A21" s="1255" t="s">
        <v>784</v>
      </c>
      <c r="B21" s="1256"/>
    </row>
    <row r="22" spans="1:9" x14ac:dyDescent="0.25">
      <c r="A22" s="1233" t="s">
        <v>785</v>
      </c>
      <c r="B22" s="1233"/>
    </row>
    <row r="23" spans="1:9" x14ac:dyDescent="0.25">
      <c r="A23" s="1233" t="s">
        <v>786</v>
      </c>
      <c r="B23" s="1233"/>
      <c r="C23" s="402"/>
      <c r="D23" s="402"/>
      <c r="E23" s="517"/>
      <c r="F23" s="517"/>
    </row>
    <row r="24" spans="1:9" x14ac:dyDescent="0.25">
      <c r="A24" s="1233" t="s">
        <v>787</v>
      </c>
      <c r="B24" s="1233"/>
      <c r="C24" s="402"/>
      <c r="D24" s="402"/>
      <c r="E24" s="517"/>
      <c r="F24" s="517"/>
    </row>
    <row r="26" spans="1:9" x14ac:dyDescent="0.25">
      <c r="A26" s="1269" t="s">
        <v>788</v>
      </c>
      <c r="B26" s="1268"/>
      <c r="C26" s="1268"/>
      <c r="D26" s="1268"/>
      <c r="E26" s="1270"/>
    </row>
    <row r="27" spans="1:9" x14ac:dyDescent="0.25">
      <c r="A27" s="1274" t="s">
        <v>789</v>
      </c>
      <c r="B27" s="1275"/>
      <c r="C27" s="1275"/>
      <c r="D27" s="1275"/>
      <c r="E27" s="1276"/>
      <c r="I27" s="402"/>
    </row>
    <row r="28" spans="1:9" ht="18.75" x14ac:dyDescent="0.3">
      <c r="A28" s="1277">
        <v>13558</v>
      </c>
      <c r="B28" s="1278"/>
      <c r="C28" s="1278"/>
      <c r="D28" s="1278"/>
      <c r="E28" s="1279"/>
      <c r="F28" s="562" t="s">
        <v>199</v>
      </c>
      <c r="G28" s="516"/>
      <c r="H28" s="516"/>
      <c r="I28" s="402"/>
    </row>
    <row r="29" spans="1:9" ht="15.75" x14ac:dyDescent="0.25">
      <c r="A29" s="1280" t="s">
        <v>704</v>
      </c>
      <c r="B29" s="1281"/>
      <c r="C29" s="1281"/>
      <c r="D29" s="1281"/>
      <c r="E29" s="1282"/>
      <c r="F29" s="1283" t="s">
        <v>705</v>
      </c>
      <c r="G29" s="1284"/>
      <c r="H29" s="563">
        <f>(A28-2500)</f>
        <v>11058</v>
      </c>
      <c r="I29" s="402"/>
    </row>
    <row r="30" spans="1:9" x14ac:dyDescent="0.25">
      <c r="A30" s="326"/>
      <c r="B30" s="326"/>
      <c r="C30" s="402"/>
      <c r="D30" s="402"/>
      <c r="E30" s="517"/>
      <c r="F30" s="517"/>
      <c r="G30" s="402"/>
      <c r="H30" s="412"/>
      <c r="I30" s="402"/>
    </row>
    <row r="31" spans="1:9" x14ac:dyDescent="0.25">
      <c r="A31" s="1285" t="s">
        <v>706</v>
      </c>
      <c r="B31" s="1286"/>
      <c r="C31" s="1286"/>
      <c r="D31" s="1286"/>
      <c r="E31" s="1287"/>
      <c r="F31" s="517"/>
      <c r="G31" s="402"/>
      <c r="H31" s="412"/>
      <c r="I31" s="402"/>
    </row>
    <row r="32" spans="1:9" x14ac:dyDescent="0.25">
      <c r="A32" s="1288" t="s">
        <v>707</v>
      </c>
      <c r="B32" s="1289"/>
      <c r="C32" s="1289"/>
      <c r="D32" s="496">
        <v>15</v>
      </c>
      <c r="E32" s="676"/>
      <c r="F32" s="517"/>
      <c r="G32" s="402"/>
      <c r="H32" s="412"/>
      <c r="I32" s="402"/>
    </row>
    <row r="33" spans="1:9" x14ac:dyDescent="0.25">
      <c r="A33" s="1288" t="s">
        <v>708</v>
      </c>
      <c r="B33" s="1289"/>
      <c r="C33" s="1289"/>
      <c r="D33" s="677">
        <v>86</v>
      </c>
      <c r="E33" s="676"/>
      <c r="F33" s="517"/>
      <c r="G33" s="402"/>
      <c r="H33" s="412"/>
      <c r="I33" s="402"/>
    </row>
    <row r="34" spans="1:9" x14ac:dyDescent="0.25">
      <c r="A34" s="1290" t="s">
        <v>199</v>
      </c>
      <c r="B34" s="1291"/>
      <c r="C34" s="1291"/>
      <c r="D34" s="678">
        <f>(D33*D32)</f>
        <v>1290</v>
      </c>
      <c r="E34" s="679"/>
      <c r="F34" s="517"/>
      <c r="G34" s="402"/>
      <c r="H34" s="412"/>
      <c r="I34" s="402"/>
    </row>
    <row r="35" spans="1:9" x14ac:dyDescent="0.25">
      <c r="F35" s="517"/>
      <c r="G35" s="402"/>
      <c r="H35" s="412"/>
      <c r="I35" s="402"/>
    </row>
    <row r="36" spans="1:9" x14ac:dyDescent="0.25">
      <c r="A36" s="1274" t="s">
        <v>709</v>
      </c>
      <c r="B36" s="1275"/>
      <c r="C36" s="1275"/>
      <c r="D36" s="1275"/>
      <c r="E36" s="1276"/>
      <c r="F36" s="517"/>
      <c r="G36" s="402"/>
      <c r="H36" s="412"/>
      <c r="I36" s="402"/>
    </row>
    <row r="37" spans="1:9" x14ac:dyDescent="0.25">
      <c r="A37" s="1292" t="s">
        <v>707</v>
      </c>
      <c r="B37" s="1132"/>
      <c r="C37" s="1132"/>
      <c r="D37" s="1">
        <v>2</v>
      </c>
      <c r="F37" s="523" t="s">
        <v>710</v>
      </c>
      <c r="G37" s="402"/>
      <c r="H37" s="412"/>
      <c r="I37" s="402"/>
    </row>
    <row r="38" spans="1:9" x14ac:dyDescent="0.25">
      <c r="A38" s="1292" t="s">
        <v>708</v>
      </c>
      <c r="B38" s="1132"/>
      <c r="C38" s="1132"/>
      <c r="D38" s="519">
        <v>700</v>
      </c>
      <c r="E38" s="518"/>
      <c r="F38" s="517"/>
      <c r="G38" s="402"/>
      <c r="H38" s="412"/>
      <c r="I38" s="402"/>
    </row>
    <row r="39" spans="1:9" x14ac:dyDescent="0.25">
      <c r="A39" s="1293" t="s">
        <v>199</v>
      </c>
      <c r="B39" s="1294"/>
      <c r="C39" s="1294"/>
      <c r="D39" s="521">
        <f>(D38*D37)</f>
        <v>1400</v>
      </c>
      <c r="E39" s="522"/>
      <c r="F39" s="517"/>
      <c r="G39" s="402"/>
      <c r="H39" s="412"/>
      <c r="I39" s="402"/>
    </row>
    <row r="40" spans="1:9" x14ac:dyDescent="0.25">
      <c r="A40" s="326"/>
      <c r="B40" s="326"/>
      <c r="C40" s="402"/>
      <c r="D40" s="402"/>
      <c r="E40" s="517"/>
      <c r="F40" s="517"/>
      <c r="G40" s="402"/>
      <c r="H40" s="412"/>
      <c r="I40" s="402"/>
    </row>
    <row r="41" spans="1:9" x14ac:dyDescent="0.25">
      <c r="A41" s="1295" t="s">
        <v>711</v>
      </c>
      <c r="B41" s="1296"/>
      <c r="C41" s="1297"/>
      <c r="D41" s="524" t="s">
        <v>712</v>
      </c>
      <c r="E41" s="525">
        <v>27.5</v>
      </c>
      <c r="F41" s="120">
        <v>384</v>
      </c>
      <c r="G41" s="564">
        <f>F41*E41</f>
        <v>10560</v>
      </c>
      <c r="H41" s="565"/>
    </row>
    <row r="42" spans="1:9" x14ac:dyDescent="0.25">
      <c r="A42" s="1298"/>
      <c r="B42" s="1299"/>
      <c r="C42" s="1300"/>
      <c r="D42" s="526" t="s">
        <v>713</v>
      </c>
      <c r="E42" s="527">
        <v>16</v>
      </c>
      <c r="F42" s="120">
        <v>768</v>
      </c>
      <c r="G42" s="564">
        <f>F42*E42</f>
        <v>12288</v>
      </c>
      <c r="H42" s="566"/>
      <c r="I42" s="567"/>
    </row>
    <row r="43" spans="1:9" x14ac:dyDescent="0.25">
      <c r="A43" s="504"/>
      <c r="B43" s="504"/>
      <c r="C43" s="517"/>
      <c r="D43" s="517"/>
      <c r="E43" s="517"/>
      <c r="F43" s="568"/>
      <c r="G43" s="517"/>
      <c r="H43" s="517"/>
      <c r="I43" s="504"/>
    </row>
    <row r="44" spans="1:9" x14ac:dyDescent="0.25">
      <c r="A44" s="1292" t="s">
        <v>790</v>
      </c>
      <c r="B44" s="1132"/>
      <c r="C44" s="1132"/>
      <c r="D44" s="4">
        <v>130</v>
      </c>
    </row>
  </sheetData>
  <mergeCells count="52">
    <mergeCell ref="A44:C44"/>
    <mergeCell ref="A36:E36"/>
    <mergeCell ref="A37:C37"/>
    <mergeCell ref="A38:C38"/>
    <mergeCell ref="A39:C39"/>
    <mergeCell ref="A41:C42"/>
    <mergeCell ref="F29:G29"/>
    <mergeCell ref="A31:E31"/>
    <mergeCell ref="A32:C32"/>
    <mergeCell ref="A33:C33"/>
    <mergeCell ref="A34:C34"/>
    <mergeCell ref="A24:B24"/>
    <mergeCell ref="A26:E26"/>
    <mergeCell ref="A27:E27"/>
    <mergeCell ref="A28:E28"/>
    <mergeCell ref="A29:E29"/>
    <mergeCell ref="M5:N5"/>
    <mergeCell ref="V5:W5"/>
    <mergeCell ref="Y5:Z5"/>
    <mergeCell ref="A6:G6"/>
    <mergeCell ref="A7:C7"/>
    <mergeCell ref="M3:N3"/>
    <mergeCell ref="V3:W3"/>
    <mergeCell ref="Y3:Z3"/>
    <mergeCell ref="AE3:AE4"/>
    <mergeCell ref="M4:N4"/>
    <mergeCell ref="V4:W4"/>
    <mergeCell ref="Y4:Z4"/>
    <mergeCell ref="M1:N1"/>
    <mergeCell ref="V1:W1"/>
    <mergeCell ref="Y1:Z1"/>
    <mergeCell ref="M2:N2"/>
    <mergeCell ref="V2:W2"/>
    <mergeCell ref="Y2:Z2"/>
    <mergeCell ref="A22:B22"/>
    <mergeCell ref="A23:B23"/>
    <mergeCell ref="A5:E5"/>
    <mergeCell ref="A8:C8"/>
    <mergeCell ref="E8:E9"/>
    <mergeCell ref="A9:C9"/>
    <mergeCell ref="A10:C10"/>
    <mergeCell ref="A11:C11"/>
    <mergeCell ref="A16:C16"/>
    <mergeCell ref="A17:C17"/>
    <mergeCell ref="A18:B18"/>
    <mergeCell ref="A19:B19"/>
    <mergeCell ref="A21:B21"/>
    <mergeCell ref="A1:E1"/>
    <mergeCell ref="A2:E2"/>
    <mergeCell ref="A3:E3"/>
    <mergeCell ref="A4:E4"/>
    <mergeCell ref="F8:F9"/>
  </mergeCells>
  <pageMargins left="0.511811024" right="0.511811024" top="0.78740157499999996" bottom="0.78740157499999996" header="0.31496062000000002" footer="0.31496062000000002"/>
  <pageSetup paperSize="9" orientation="portrait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25C7-FE9C-43C5-A6FC-D76ADDBEE3E7}">
  <dimension ref="B1:C95"/>
  <sheetViews>
    <sheetView topLeftCell="A87" workbookViewId="0">
      <selection activeCell="D101" sqref="D101"/>
    </sheetView>
  </sheetViews>
  <sheetFormatPr defaultRowHeight="15" x14ac:dyDescent="0.25"/>
  <cols>
    <col min="3" max="3" width="67.85546875" bestFit="1" customWidth="1"/>
  </cols>
  <sheetData>
    <row r="1" spans="2:3" ht="23.25" x14ac:dyDescent="0.35">
      <c r="B1" s="1301" t="s">
        <v>1247</v>
      </c>
      <c r="C1" s="1301"/>
    </row>
    <row r="2" spans="2:3" x14ac:dyDescent="0.25">
      <c r="B2" s="120" t="s">
        <v>409</v>
      </c>
      <c r="C2" s="120" t="s">
        <v>611</v>
      </c>
    </row>
    <row r="3" spans="2:3" x14ac:dyDescent="0.25">
      <c r="B3" s="120">
        <v>143.41</v>
      </c>
      <c r="C3" s="120" t="s">
        <v>1161</v>
      </c>
    </row>
    <row r="4" spans="2:3" x14ac:dyDescent="0.25">
      <c r="B4" s="120">
        <v>145.80000000000001</v>
      </c>
      <c r="C4" s="120" t="s">
        <v>1162</v>
      </c>
    </row>
    <row r="5" spans="2:3" x14ac:dyDescent="0.25">
      <c r="B5" s="120">
        <v>2800</v>
      </c>
      <c r="C5" s="120" t="s">
        <v>1163</v>
      </c>
    </row>
    <row r="6" spans="2:3" x14ac:dyDescent="0.25">
      <c r="B6" s="120">
        <v>231.53</v>
      </c>
      <c r="C6" s="120" t="s">
        <v>1164</v>
      </c>
    </row>
    <row r="7" spans="2:3" x14ac:dyDescent="0.25">
      <c r="B7" s="120">
        <v>50.46</v>
      </c>
      <c r="C7" s="120" t="s">
        <v>1165</v>
      </c>
    </row>
    <row r="8" spans="2:3" x14ac:dyDescent="0.25">
      <c r="B8" s="120">
        <v>770</v>
      </c>
      <c r="C8" s="120" t="s">
        <v>1166</v>
      </c>
    </row>
    <row r="9" spans="2:3" x14ac:dyDescent="0.25">
      <c r="B9" s="120">
        <v>165</v>
      </c>
      <c r="C9" s="120" t="s">
        <v>1167</v>
      </c>
    </row>
    <row r="10" spans="2:3" x14ac:dyDescent="0.25">
      <c r="B10" s="120">
        <v>129.41999999999999</v>
      </c>
      <c r="C10" s="120" t="s">
        <v>1168</v>
      </c>
    </row>
    <row r="11" spans="2:3" x14ac:dyDescent="0.25">
      <c r="B11" s="120">
        <v>211.85</v>
      </c>
      <c r="C11" s="120" t="s">
        <v>1169</v>
      </c>
    </row>
    <row r="12" spans="2:3" x14ac:dyDescent="0.25">
      <c r="B12" s="120">
        <v>38.799999999999997</v>
      </c>
      <c r="C12" s="120" t="s">
        <v>1170</v>
      </c>
    </row>
    <row r="13" spans="2:3" x14ac:dyDescent="0.25">
      <c r="B13" s="120">
        <v>353</v>
      </c>
      <c r="C13" s="120" t="s">
        <v>1171</v>
      </c>
    </row>
    <row r="14" spans="2:3" x14ac:dyDescent="0.25">
      <c r="B14" s="120">
        <v>344.92</v>
      </c>
      <c r="C14" s="120" t="s">
        <v>1172</v>
      </c>
    </row>
    <row r="15" spans="2:3" x14ac:dyDescent="0.25">
      <c r="B15" s="120">
        <v>209.34</v>
      </c>
      <c r="C15" s="120" t="s">
        <v>1173</v>
      </c>
    </row>
    <row r="16" spans="2:3" x14ac:dyDescent="0.25">
      <c r="B16" s="120">
        <v>309</v>
      </c>
      <c r="C16" s="120" t="s">
        <v>1174</v>
      </c>
    </row>
    <row r="17" spans="2:3" x14ac:dyDescent="0.25">
      <c r="B17" s="120">
        <v>475</v>
      </c>
      <c r="C17" s="120" t="s">
        <v>1175</v>
      </c>
    </row>
    <row r="18" spans="2:3" x14ac:dyDescent="0.25">
      <c r="B18" s="120">
        <v>51.12</v>
      </c>
      <c r="C18" s="120" t="s">
        <v>1176</v>
      </c>
    </row>
    <row r="19" spans="2:3" x14ac:dyDescent="0.25">
      <c r="B19" s="120">
        <v>177.93</v>
      </c>
      <c r="C19" s="120" t="s">
        <v>1177</v>
      </c>
    </row>
    <row r="20" spans="2:3" x14ac:dyDescent="0.25">
      <c r="B20" s="120">
        <v>9.7799999999999994</v>
      </c>
      <c r="C20" s="120" t="s">
        <v>1178</v>
      </c>
    </row>
    <row r="21" spans="2:3" x14ac:dyDescent="0.25">
      <c r="B21" s="120">
        <v>126.9</v>
      </c>
      <c r="C21" s="120" t="s">
        <v>1179</v>
      </c>
    </row>
    <row r="22" spans="2:3" x14ac:dyDescent="0.25">
      <c r="B22" s="120">
        <v>442.8</v>
      </c>
      <c r="C22" s="120" t="s">
        <v>1180</v>
      </c>
    </row>
    <row r="23" spans="2:3" x14ac:dyDescent="0.25">
      <c r="B23" s="120">
        <v>77.53</v>
      </c>
      <c r="C23" s="120" t="s">
        <v>1181</v>
      </c>
    </row>
    <row r="24" spans="2:3" x14ac:dyDescent="0.25">
      <c r="B24" s="120">
        <v>48.75</v>
      </c>
      <c r="C24" s="120" t="s">
        <v>1182</v>
      </c>
    </row>
    <row r="25" spans="2:3" x14ac:dyDescent="0.25">
      <c r="B25" s="120">
        <v>306.57</v>
      </c>
      <c r="C25" s="120" t="s">
        <v>1183</v>
      </c>
    </row>
    <row r="26" spans="2:3" x14ac:dyDescent="0.25">
      <c r="B26" s="120">
        <v>56.61</v>
      </c>
      <c r="C26" s="120" t="s">
        <v>1184</v>
      </c>
    </row>
    <row r="27" spans="2:3" x14ac:dyDescent="0.25">
      <c r="B27" s="120">
        <v>255</v>
      </c>
      <c r="C27" s="120" t="s">
        <v>1174</v>
      </c>
    </row>
    <row r="28" spans="2:3" x14ac:dyDescent="0.25">
      <c r="B28" s="120">
        <v>55.4</v>
      </c>
      <c r="C28" s="120" t="s">
        <v>1185</v>
      </c>
    </row>
    <row r="29" spans="2:3" x14ac:dyDescent="0.25">
      <c r="B29" s="120">
        <v>1533.17</v>
      </c>
      <c r="C29" s="120" t="s">
        <v>1186</v>
      </c>
    </row>
    <row r="30" spans="2:3" x14ac:dyDescent="0.25">
      <c r="B30" s="120">
        <v>99.63</v>
      </c>
      <c r="C30" s="120" t="s">
        <v>1187</v>
      </c>
    </row>
    <row r="31" spans="2:3" x14ac:dyDescent="0.25">
      <c r="B31" s="120">
        <v>330</v>
      </c>
      <c r="C31" s="120" t="s">
        <v>1188</v>
      </c>
    </row>
    <row r="32" spans="2:3" x14ac:dyDescent="0.25">
      <c r="B32" s="120">
        <v>190</v>
      </c>
      <c r="C32" s="120" t="s">
        <v>1189</v>
      </c>
    </row>
    <row r="33" spans="2:3" x14ac:dyDescent="0.25">
      <c r="B33" s="120">
        <v>570.49</v>
      </c>
      <c r="C33" s="120" t="s">
        <v>1190</v>
      </c>
    </row>
    <row r="34" spans="2:3" x14ac:dyDescent="0.25">
      <c r="B34" s="120">
        <v>179.7</v>
      </c>
      <c r="C34" s="120" t="s">
        <v>1191</v>
      </c>
    </row>
    <row r="35" spans="2:3" x14ac:dyDescent="0.25">
      <c r="B35" s="120">
        <v>85.77</v>
      </c>
      <c r="C35" s="120" t="s">
        <v>1192</v>
      </c>
    </row>
    <row r="36" spans="2:3" x14ac:dyDescent="0.25">
      <c r="B36" s="120">
        <v>1021.85</v>
      </c>
      <c r="C36" s="120" t="s">
        <v>1193</v>
      </c>
    </row>
    <row r="37" spans="2:3" x14ac:dyDescent="0.25">
      <c r="B37" s="120">
        <v>40.04</v>
      </c>
      <c r="C37" s="120" t="s">
        <v>1194</v>
      </c>
    </row>
    <row r="38" spans="2:3" x14ac:dyDescent="0.25">
      <c r="B38" s="120">
        <v>59.85</v>
      </c>
      <c r="C38" s="120" t="s">
        <v>1194</v>
      </c>
    </row>
    <row r="39" spans="2:3" x14ac:dyDescent="0.25">
      <c r="B39" s="120">
        <v>208.62</v>
      </c>
      <c r="C39" s="120" t="s">
        <v>1195</v>
      </c>
    </row>
    <row r="40" spans="2:3" x14ac:dyDescent="0.25">
      <c r="B40" s="120">
        <v>50.4</v>
      </c>
      <c r="C40" s="120" t="s">
        <v>1196</v>
      </c>
    </row>
    <row r="41" spans="2:3" x14ac:dyDescent="0.25">
      <c r="B41" s="120">
        <v>1113.68</v>
      </c>
      <c r="C41" s="120" t="s">
        <v>1197</v>
      </c>
    </row>
    <row r="42" spans="2:3" x14ac:dyDescent="0.25">
      <c r="B42" s="120">
        <v>153</v>
      </c>
      <c r="C42" s="120" t="s">
        <v>1198</v>
      </c>
    </row>
    <row r="43" spans="2:3" x14ac:dyDescent="0.25">
      <c r="B43" s="120">
        <v>108</v>
      </c>
      <c r="C43" s="120" t="s">
        <v>1199</v>
      </c>
    </row>
    <row r="44" spans="2:3" x14ac:dyDescent="0.25">
      <c r="B44" s="120">
        <v>636.57000000000005</v>
      </c>
      <c r="C44" s="120" t="s">
        <v>1200</v>
      </c>
    </row>
    <row r="45" spans="2:3" x14ac:dyDescent="0.25">
      <c r="B45" s="120">
        <v>83.88</v>
      </c>
      <c r="C45" s="120" t="s">
        <v>1201</v>
      </c>
    </row>
    <row r="46" spans="2:3" x14ac:dyDescent="0.25">
      <c r="B46" s="120">
        <v>44.99</v>
      </c>
      <c r="C46" s="120" t="s">
        <v>1202</v>
      </c>
    </row>
    <row r="47" spans="2:3" x14ac:dyDescent="0.25">
      <c r="B47" s="120">
        <v>66.44</v>
      </c>
      <c r="C47" s="120" t="s">
        <v>1203</v>
      </c>
    </row>
    <row r="48" spans="2:3" x14ac:dyDescent="0.25">
      <c r="B48" s="120">
        <v>23.17</v>
      </c>
      <c r="C48" s="120" t="s">
        <v>1204</v>
      </c>
    </row>
    <row r="49" spans="2:3" x14ac:dyDescent="0.25">
      <c r="B49" s="120">
        <v>342.95</v>
      </c>
      <c r="C49" s="120" t="s">
        <v>1205</v>
      </c>
    </row>
    <row r="50" spans="2:3" x14ac:dyDescent="0.25">
      <c r="B50" s="120">
        <v>38.72</v>
      </c>
      <c r="C50" s="120" t="s">
        <v>1206</v>
      </c>
    </row>
    <row r="51" spans="2:3" x14ac:dyDescent="0.25">
      <c r="B51" s="120">
        <v>30.9</v>
      </c>
      <c r="C51" s="120" t="s">
        <v>1207</v>
      </c>
    </row>
    <row r="52" spans="2:3" x14ac:dyDescent="0.25">
      <c r="B52" s="120">
        <v>27</v>
      </c>
      <c r="C52" s="120" t="s">
        <v>1208</v>
      </c>
    </row>
    <row r="53" spans="2:3" x14ac:dyDescent="0.25">
      <c r="B53" s="120">
        <v>152.5</v>
      </c>
      <c r="C53" s="120" t="s">
        <v>1209</v>
      </c>
    </row>
    <row r="54" spans="2:3" x14ac:dyDescent="0.25">
      <c r="B54" s="120">
        <v>140.5</v>
      </c>
      <c r="C54" s="120" t="s">
        <v>1210</v>
      </c>
    </row>
    <row r="55" spans="2:3" x14ac:dyDescent="0.25">
      <c r="B55" s="120">
        <v>150</v>
      </c>
      <c r="C55" s="120" t="s">
        <v>1211</v>
      </c>
    </row>
    <row r="56" spans="2:3" x14ac:dyDescent="0.25">
      <c r="B56" s="120">
        <v>2160.9</v>
      </c>
      <c r="C56" s="120" t="s">
        <v>1212</v>
      </c>
    </row>
    <row r="57" spans="2:3" x14ac:dyDescent="0.25">
      <c r="B57" s="120">
        <v>164.8</v>
      </c>
      <c r="C57" s="120" t="s">
        <v>1213</v>
      </c>
    </row>
    <row r="58" spans="2:3" x14ac:dyDescent="0.25">
      <c r="B58" s="120">
        <v>37.5</v>
      </c>
      <c r="C58" s="120" t="s">
        <v>1214</v>
      </c>
    </row>
    <row r="59" spans="2:3" x14ac:dyDescent="0.25">
      <c r="B59" s="120">
        <v>250</v>
      </c>
      <c r="C59" s="120" t="s">
        <v>1215</v>
      </c>
    </row>
    <row r="60" spans="2:3" x14ac:dyDescent="0.25">
      <c r="B60" s="120">
        <v>30.6</v>
      </c>
      <c r="C60" s="120" t="s">
        <v>1216</v>
      </c>
    </row>
    <row r="61" spans="2:3" x14ac:dyDescent="0.25">
      <c r="B61" s="120">
        <v>102.02</v>
      </c>
      <c r="C61" s="120" t="s">
        <v>1217</v>
      </c>
    </row>
    <row r="62" spans="2:3" x14ac:dyDescent="0.25">
      <c r="B62" s="120">
        <v>800</v>
      </c>
      <c r="C62" s="120" t="s">
        <v>1166</v>
      </c>
    </row>
    <row r="63" spans="2:3" x14ac:dyDescent="0.25">
      <c r="B63" s="120">
        <v>135</v>
      </c>
      <c r="C63" s="120" t="s">
        <v>1218</v>
      </c>
    </row>
    <row r="64" spans="2:3" x14ac:dyDescent="0.25">
      <c r="B64" s="120">
        <v>690</v>
      </c>
      <c r="C64" s="120" t="s">
        <v>1219</v>
      </c>
    </row>
    <row r="65" spans="2:3" x14ac:dyDescent="0.25">
      <c r="B65" s="120">
        <v>94.8</v>
      </c>
      <c r="C65" s="120" t="s">
        <v>1220</v>
      </c>
    </row>
    <row r="66" spans="2:3" x14ac:dyDescent="0.25">
      <c r="B66" s="120">
        <v>228.6</v>
      </c>
      <c r="C66" s="120" t="s">
        <v>1221</v>
      </c>
    </row>
    <row r="67" spans="2:3" x14ac:dyDescent="0.25">
      <c r="B67" s="120">
        <v>47.57</v>
      </c>
      <c r="C67" s="120" t="s">
        <v>1222</v>
      </c>
    </row>
    <row r="68" spans="2:3" x14ac:dyDescent="0.25">
      <c r="B68" s="120">
        <v>29.9</v>
      </c>
      <c r="C68" s="120" t="s">
        <v>1223</v>
      </c>
    </row>
    <row r="69" spans="2:3" x14ac:dyDescent="0.25">
      <c r="B69" s="120">
        <v>66.400000000000006</v>
      </c>
      <c r="C69" s="120" t="s">
        <v>1224</v>
      </c>
    </row>
    <row r="70" spans="2:3" x14ac:dyDescent="0.25">
      <c r="B70" s="120">
        <v>94.4</v>
      </c>
      <c r="C70" s="120" t="s">
        <v>1225</v>
      </c>
    </row>
    <row r="71" spans="2:3" x14ac:dyDescent="0.25">
      <c r="B71" s="120">
        <v>226.7</v>
      </c>
      <c r="C71" s="120" t="s">
        <v>1226</v>
      </c>
    </row>
    <row r="72" spans="2:3" x14ac:dyDescent="0.25">
      <c r="B72" s="120">
        <v>177.9</v>
      </c>
      <c r="C72" s="120" t="s">
        <v>1227</v>
      </c>
    </row>
    <row r="73" spans="2:3" x14ac:dyDescent="0.25">
      <c r="B73" s="120">
        <v>100</v>
      </c>
      <c r="C73" s="120" t="s">
        <v>1228</v>
      </c>
    </row>
    <row r="74" spans="2:3" x14ac:dyDescent="0.25">
      <c r="B74" s="120">
        <v>112</v>
      </c>
      <c r="C74" s="120" t="s">
        <v>1229</v>
      </c>
    </row>
    <row r="75" spans="2:3" x14ac:dyDescent="0.25">
      <c r="B75" s="120">
        <v>17.55</v>
      </c>
      <c r="C75" s="120" t="s">
        <v>1216</v>
      </c>
    </row>
    <row r="76" spans="2:3" x14ac:dyDescent="0.25">
      <c r="B76" s="120">
        <v>131.86000000000001</v>
      </c>
      <c r="C76" s="120" t="s">
        <v>1230</v>
      </c>
    </row>
    <row r="77" spans="2:3" x14ac:dyDescent="0.25">
      <c r="B77" s="120">
        <v>290.91000000000003</v>
      </c>
      <c r="C77" s="120" t="s">
        <v>1231</v>
      </c>
    </row>
    <row r="78" spans="2:3" x14ac:dyDescent="0.25">
      <c r="B78" s="120">
        <v>450</v>
      </c>
      <c r="C78" s="120" t="s">
        <v>1232</v>
      </c>
    </row>
    <row r="79" spans="2:3" x14ac:dyDescent="0.25">
      <c r="B79" s="120">
        <v>12.6</v>
      </c>
      <c r="C79" s="120" t="s">
        <v>1233</v>
      </c>
    </row>
    <row r="80" spans="2:3" x14ac:dyDescent="0.25">
      <c r="B80" s="120">
        <v>3999</v>
      </c>
      <c r="C80" s="120" t="s">
        <v>1234</v>
      </c>
    </row>
    <row r="81" spans="2:3" x14ac:dyDescent="0.25">
      <c r="B81" s="120">
        <v>200</v>
      </c>
      <c r="C81" s="120" t="s">
        <v>1235</v>
      </c>
    </row>
    <row r="82" spans="2:3" x14ac:dyDescent="0.25">
      <c r="B82" s="120">
        <v>237.46</v>
      </c>
      <c r="C82" s="120" t="s">
        <v>1236</v>
      </c>
    </row>
    <row r="83" spans="2:3" x14ac:dyDescent="0.25">
      <c r="B83" s="120">
        <v>253.45</v>
      </c>
      <c r="C83" s="120" t="s">
        <v>1237</v>
      </c>
    </row>
    <row r="84" spans="2:3" x14ac:dyDescent="0.25">
      <c r="B84" s="120">
        <v>359.46</v>
      </c>
      <c r="C84" s="120" t="s">
        <v>1238</v>
      </c>
    </row>
    <row r="85" spans="2:3" x14ac:dyDescent="0.25">
      <c r="B85" s="120">
        <v>112</v>
      </c>
      <c r="C85" s="120" t="s">
        <v>1198</v>
      </c>
    </row>
    <row r="86" spans="2:3" x14ac:dyDescent="0.25">
      <c r="B86" s="120">
        <v>156.6</v>
      </c>
      <c r="C86" s="120" t="s">
        <v>1213</v>
      </c>
    </row>
    <row r="87" spans="2:3" x14ac:dyDescent="0.25">
      <c r="B87" s="120">
        <v>295</v>
      </c>
      <c r="C87" s="120" t="s">
        <v>1239</v>
      </c>
    </row>
    <row r="88" spans="2:3" x14ac:dyDescent="0.25">
      <c r="B88" s="120">
        <v>1716.9</v>
      </c>
      <c r="C88" s="120" t="s">
        <v>1240</v>
      </c>
    </row>
    <row r="89" spans="2:3" x14ac:dyDescent="0.25">
      <c r="B89" s="120">
        <v>400</v>
      </c>
      <c r="C89" s="120" t="s">
        <v>1241</v>
      </c>
    </row>
    <row r="90" spans="2:3" x14ac:dyDescent="0.25">
      <c r="B90" s="120">
        <v>278.5</v>
      </c>
      <c r="C90" s="120" t="s">
        <v>1242</v>
      </c>
    </row>
    <row r="91" spans="2:3" x14ac:dyDescent="0.25">
      <c r="B91" s="120">
        <v>155</v>
      </c>
      <c r="C91" s="120" t="s">
        <v>1243</v>
      </c>
    </row>
    <row r="92" spans="2:3" x14ac:dyDescent="0.25">
      <c r="B92" s="120">
        <v>91</v>
      </c>
      <c r="C92" s="120" t="s">
        <v>1244</v>
      </c>
    </row>
    <row r="93" spans="2:3" x14ac:dyDescent="0.25">
      <c r="B93" s="120">
        <v>220.25</v>
      </c>
      <c r="C93" s="120" t="s">
        <v>1245</v>
      </c>
    </row>
    <row r="94" spans="2:3" x14ac:dyDescent="0.25">
      <c r="B94" s="120">
        <v>830.36</v>
      </c>
      <c r="C94" s="120" t="s">
        <v>1246</v>
      </c>
    </row>
    <row r="95" spans="2:3" x14ac:dyDescent="0.25">
      <c r="B95" s="120">
        <v>1870</v>
      </c>
      <c r="C95" s="120" t="s">
        <v>1246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915D-7FCE-427A-9EAA-F9B7673B211E}">
  <dimension ref="A1:J106"/>
  <sheetViews>
    <sheetView workbookViewId="0">
      <selection activeCell="G8" sqref="G8"/>
    </sheetView>
  </sheetViews>
  <sheetFormatPr defaultColWidth="8.85546875" defaultRowHeight="12.75" x14ac:dyDescent="0.2"/>
  <cols>
    <col min="1" max="1" width="45.42578125" style="410" customWidth="1"/>
    <col min="2" max="2" width="11.42578125" style="410" customWidth="1"/>
    <col min="3" max="3" width="18.7109375" style="410" customWidth="1"/>
    <col min="4" max="4" width="17.5703125" style="410" customWidth="1"/>
    <col min="5" max="7" width="8.85546875" style="410"/>
    <col min="8" max="8" width="12.42578125" style="410" bestFit="1" customWidth="1"/>
    <col min="9" max="16384" width="8.85546875" style="410"/>
  </cols>
  <sheetData>
    <row r="1" spans="1:8" ht="15" x14ac:dyDescent="0.25">
      <c r="A1" s="1308" t="s">
        <v>791</v>
      </c>
      <c r="B1" s="1308"/>
      <c r="C1" s="1308"/>
      <c r="D1" s="1308"/>
      <c r="E1"/>
      <c r="F1"/>
      <c r="G1"/>
      <c r="H1"/>
    </row>
    <row r="2" spans="1:8" ht="15" x14ac:dyDescent="0.25">
      <c r="A2" s="1309"/>
      <c r="B2" s="1309"/>
      <c r="C2" s="1309"/>
      <c r="D2" s="1309"/>
      <c r="E2"/>
      <c r="F2"/>
      <c r="G2"/>
      <c r="H2"/>
    </row>
    <row r="3" spans="1:8" ht="15" x14ac:dyDescent="0.25">
      <c r="A3" s="625" t="s">
        <v>407</v>
      </c>
      <c r="B3" s="625" t="s">
        <v>4</v>
      </c>
      <c r="C3" s="625" t="s">
        <v>409</v>
      </c>
      <c r="D3" s="637" t="s">
        <v>427</v>
      </c>
      <c r="E3"/>
      <c r="F3"/>
      <c r="G3"/>
      <c r="H3"/>
    </row>
    <row r="4" spans="1:8" ht="15" x14ac:dyDescent="0.25">
      <c r="A4" s="820" t="s">
        <v>75</v>
      </c>
      <c r="B4" s="820">
        <v>1</v>
      </c>
      <c r="C4" s="826">
        <v>35</v>
      </c>
      <c r="D4" s="819">
        <f t="shared" ref="D4:D12" si="0">B4*C4</f>
        <v>35</v>
      </c>
      <c r="E4" s="569"/>
      <c r="F4"/>
      <c r="G4"/>
      <c r="H4"/>
    </row>
    <row r="5" spans="1:8" ht="15" x14ac:dyDescent="0.25">
      <c r="A5" s="820" t="s">
        <v>78</v>
      </c>
      <c r="B5" s="820">
        <v>12</v>
      </c>
      <c r="C5" s="826">
        <v>150</v>
      </c>
      <c r="D5" s="819">
        <f t="shared" si="0"/>
        <v>1800</v>
      </c>
      <c r="E5" s="569"/>
      <c r="F5"/>
      <c r="G5"/>
      <c r="H5"/>
    </row>
    <row r="6" spans="1:8" ht="15" x14ac:dyDescent="0.25">
      <c r="A6" s="425" t="s">
        <v>108</v>
      </c>
      <c r="B6" s="425">
        <v>1</v>
      </c>
      <c r="C6" s="570">
        <v>250</v>
      </c>
      <c r="D6" s="819">
        <f t="shared" si="0"/>
        <v>250</v>
      </c>
      <c r="E6" s="569"/>
      <c r="F6"/>
      <c r="G6"/>
      <c r="H6"/>
    </row>
    <row r="7" spans="1:8" ht="15" x14ac:dyDescent="0.25">
      <c r="A7" s="120" t="s">
        <v>428</v>
      </c>
      <c r="B7" s="120">
        <v>1</v>
      </c>
      <c r="C7" s="121">
        <v>650</v>
      </c>
      <c r="D7" s="819">
        <f t="shared" si="0"/>
        <v>650</v>
      </c>
      <c r="E7" s="569"/>
      <c r="F7"/>
      <c r="G7"/>
      <c r="H7"/>
    </row>
    <row r="8" spans="1:8" ht="15" x14ac:dyDescent="0.25">
      <c r="A8" s="820" t="s">
        <v>82</v>
      </c>
      <c r="B8" s="820">
        <v>1</v>
      </c>
      <c r="C8" s="826">
        <v>46</v>
      </c>
      <c r="D8" s="819">
        <f t="shared" si="0"/>
        <v>46</v>
      </c>
      <c r="E8" s="569"/>
      <c r="F8"/>
      <c r="G8"/>
      <c r="H8"/>
    </row>
    <row r="9" spans="1:8" ht="15" x14ac:dyDescent="0.25">
      <c r="A9" s="822" t="s">
        <v>84</v>
      </c>
      <c r="B9" s="822">
        <v>1</v>
      </c>
      <c r="C9" s="827">
        <v>25</v>
      </c>
      <c r="D9" s="819">
        <f t="shared" si="0"/>
        <v>25</v>
      </c>
      <c r="E9" s="569"/>
      <c r="F9"/>
      <c r="G9"/>
      <c r="H9"/>
    </row>
    <row r="10" spans="1:8" ht="15" x14ac:dyDescent="0.25">
      <c r="A10" s="822" t="s">
        <v>429</v>
      </c>
      <c r="B10" s="822">
        <v>1</v>
      </c>
      <c r="C10" s="827">
        <v>17.5</v>
      </c>
      <c r="D10" s="819">
        <f t="shared" si="0"/>
        <v>17.5</v>
      </c>
      <c r="E10" s="569"/>
      <c r="F10"/>
      <c r="G10"/>
      <c r="H10"/>
    </row>
    <row r="11" spans="1:8" ht="15" x14ac:dyDescent="0.25">
      <c r="A11" s="822" t="s">
        <v>430</v>
      </c>
      <c r="B11" s="822">
        <v>2</v>
      </c>
      <c r="C11" s="827">
        <v>33</v>
      </c>
      <c r="D11" s="819">
        <f t="shared" si="0"/>
        <v>66</v>
      </c>
      <c r="E11" s="569"/>
      <c r="F11"/>
      <c r="G11"/>
      <c r="H11"/>
    </row>
    <row r="12" spans="1:8" ht="15" x14ac:dyDescent="0.25">
      <c r="A12" s="822" t="s">
        <v>87</v>
      </c>
      <c r="B12" s="822">
        <v>1</v>
      </c>
      <c r="C12" s="827">
        <v>60</v>
      </c>
      <c r="D12" s="819">
        <f t="shared" si="0"/>
        <v>60</v>
      </c>
      <c r="E12" s="569"/>
      <c r="F12"/>
      <c r="G12"/>
      <c r="H12"/>
    </row>
    <row r="13" spans="1:8" ht="15" x14ac:dyDescent="0.25">
      <c r="A13" s="820" t="s">
        <v>431</v>
      </c>
      <c r="B13" s="820">
        <v>2</v>
      </c>
      <c r="C13" s="826">
        <v>37</v>
      </c>
      <c r="D13" s="819">
        <f>B13*C13</f>
        <v>74</v>
      </c>
      <c r="E13" s="569"/>
      <c r="F13"/>
      <c r="G13"/>
      <c r="H13"/>
    </row>
    <row r="14" spans="1:8" ht="15" x14ac:dyDescent="0.25">
      <c r="A14" s="822" t="s">
        <v>432</v>
      </c>
      <c r="B14" s="822">
        <v>0</v>
      </c>
      <c r="C14" s="827">
        <v>270</v>
      </c>
      <c r="D14" s="819">
        <f t="shared" ref="D14:D20" si="1">B14*C14</f>
        <v>0</v>
      </c>
      <c r="E14" s="569"/>
      <c r="F14"/>
      <c r="G14"/>
      <c r="H14"/>
    </row>
    <row r="15" spans="1:8" ht="15" x14ac:dyDescent="0.25">
      <c r="A15" s="820" t="s">
        <v>91</v>
      </c>
      <c r="B15" s="820">
        <v>6</v>
      </c>
      <c r="C15" s="826">
        <v>8</v>
      </c>
      <c r="D15" s="819">
        <f t="shared" si="1"/>
        <v>48</v>
      </c>
      <c r="E15" s="569"/>
      <c r="F15"/>
      <c r="G15"/>
      <c r="H15"/>
    </row>
    <row r="16" spans="1:8" ht="15" x14ac:dyDescent="0.25">
      <c r="A16" s="120" t="s">
        <v>104</v>
      </c>
      <c r="B16" s="120">
        <v>2</v>
      </c>
      <c r="C16" s="121">
        <v>5</v>
      </c>
      <c r="D16" s="819">
        <f t="shared" si="1"/>
        <v>10</v>
      </c>
      <c r="E16"/>
      <c r="F16"/>
      <c r="G16" s="88" t="s">
        <v>35</v>
      </c>
      <c r="H16" s="571">
        <f>D21+D29</f>
        <v>4077.5</v>
      </c>
    </row>
    <row r="17" spans="1:9" ht="15" x14ac:dyDescent="0.25">
      <c r="A17" s="820" t="s">
        <v>80</v>
      </c>
      <c r="B17" s="820">
        <v>2</v>
      </c>
      <c r="C17" s="826">
        <v>200</v>
      </c>
      <c r="D17" s="819">
        <f t="shared" si="1"/>
        <v>400</v>
      </c>
      <c r="E17" s="569"/>
      <c r="F17"/>
      <c r="G17"/>
      <c r="H17"/>
    </row>
    <row r="18" spans="1:9" ht="15" x14ac:dyDescent="0.25">
      <c r="A18" s="120" t="s">
        <v>101</v>
      </c>
      <c r="B18" s="120">
        <v>2</v>
      </c>
      <c r="C18" s="121">
        <v>13</v>
      </c>
      <c r="D18" s="819">
        <f t="shared" si="1"/>
        <v>26</v>
      </c>
      <c r="E18"/>
      <c r="F18"/>
      <c r="G18"/>
      <c r="H18"/>
    </row>
    <row r="19" spans="1:9" ht="15" x14ac:dyDescent="0.25">
      <c r="A19" s="120" t="s">
        <v>95</v>
      </c>
      <c r="B19" s="120">
        <v>8</v>
      </c>
      <c r="C19" s="828">
        <v>40</v>
      </c>
      <c r="D19" s="819">
        <f t="shared" si="1"/>
        <v>320</v>
      </c>
      <c r="E19" s="572"/>
      <c r="F19" s="572"/>
      <c r="G19" s="572"/>
      <c r="H19" s="572"/>
    </row>
    <row r="20" spans="1:9" ht="15" x14ac:dyDescent="0.25">
      <c r="A20" s="120" t="s">
        <v>985</v>
      </c>
      <c r="B20" s="120">
        <v>1</v>
      </c>
      <c r="C20" s="121">
        <v>250</v>
      </c>
      <c r="D20" s="819">
        <f t="shared" si="1"/>
        <v>250</v>
      </c>
      <c r="E20"/>
      <c r="F20"/>
      <c r="G20"/>
      <c r="H20"/>
    </row>
    <row r="21" spans="1:9" ht="15" x14ac:dyDescent="0.25">
      <c r="A21" s="626"/>
      <c r="B21" s="626"/>
      <c r="C21" s="638" t="s">
        <v>1</v>
      </c>
      <c r="D21" s="639">
        <f>SUM(D4:D20)</f>
        <v>4077.5</v>
      </c>
      <c r="E21"/>
      <c r="F21"/>
      <c r="G21"/>
      <c r="H21"/>
    </row>
    <row r="22" spans="1:9" ht="15" x14ac:dyDescent="0.25">
      <c r="A22"/>
      <c r="B22"/>
      <c r="C22" s="69"/>
      <c r="D22"/>
      <c r="E22"/>
      <c r="F22"/>
      <c r="G22"/>
      <c r="H22"/>
    </row>
    <row r="23" spans="1:9" ht="15" x14ac:dyDescent="0.25">
      <c r="A23"/>
      <c r="B23"/>
      <c r="C23" s="69"/>
      <c r="D23"/>
      <c r="E23"/>
      <c r="F23"/>
      <c r="G23"/>
      <c r="H23"/>
    </row>
    <row r="24" spans="1:9" ht="15" x14ac:dyDescent="0.25">
      <c r="A24" s="119" t="s">
        <v>433</v>
      </c>
      <c r="B24" s="423" t="s">
        <v>792</v>
      </c>
      <c r="C24" s="423" t="s">
        <v>4</v>
      </c>
      <c r="D24" s="423" t="s">
        <v>427</v>
      </c>
      <c r="E24"/>
      <c r="F24"/>
      <c r="G24"/>
      <c r="H24"/>
    </row>
    <row r="25" spans="1:9" ht="15" x14ac:dyDescent="0.25">
      <c r="A25" s="1310" t="s">
        <v>793</v>
      </c>
      <c r="B25" s="573" t="s">
        <v>186</v>
      </c>
      <c r="C25" s="574">
        <v>90</v>
      </c>
      <c r="D25" s="124"/>
      <c r="E25" s="29"/>
      <c r="F25"/>
      <c r="G25"/>
      <c r="H25"/>
    </row>
    <row r="26" spans="1:9" ht="15" x14ac:dyDescent="0.25">
      <c r="A26" s="1311"/>
      <c r="B26" s="573" t="s">
        <v>187</v>
      </c>
      <c r="C26" s="574">
        <v>60</v>
      </c>
      <c r="D26" s="124"/>
      <c r="E26" s="29" t="s">
        <v>794</v>
      </c>
      <c r="F26"/>
      <c r="G26"/>
      <c r="H26"/>
    </row>
    <row r="27" spans="1:9" ht="15" x14ac:dyDescent="0.25">
      <c r="A27" s="575"/>
      <c r="B27" s="576"/>
      <c r="C27" s="577"/>
      <c r="D27" s="29"/>
      <c r="E27" s="29"/>
      <c r="F27"/>
      <c r="G27"/>
      <c r="H27"/>
    </row>
    <row r="28" spans="1:9" ht="15" x14ac:dyDescent="0.25">
      <c r="A28" s="1310" t="s">
        <v>795</v>
      </c>
      <c r="B28" s="573" t="s">
        <v>186</v>
      </c>
      <c r="C28" s="574"/>
      <c r="D28" s="124"/>
      <c r="E28"/>
      <c r="F28"/>
      <c r="G28"/>
      <c r="H28"/>
    </row>
    <row r="29" spans="1:9" ht="15" x14ac:dyDescent="0.25">
      <c r="A29" s="1311"/>
      <c r="B29" s="573" t="s">
        <v>187</v>
      </c>
      <c r="C29" s="574"/>
      <c r="D29" s="124"/>
      <c r="E29"/>
      <c r="F29"/>
      <c r="G29"/>
      <c r="H29"/>
    </row>
    <row r="30" spans="1:9" ht="15" x14ac:dyDescent="0.25">
      <c r="A30"/>
      <c r="B30"/>
      <c r="C30"/>
      <c r="D30"/>
      <c r="E30"/>
      <c r="F30"/>
      <c r="G30"/>
      <c r="H30"/>
    </row>
    <row r="31" spans="1:9" ht="15" x14ac:dyDescent="0.25">
      <c r="A31"/>
      <c r="B31"/>
      <c r="C31"/>
      <c r="D31"/>
      <c r="E31"/>
      <c r="F31"/>
      <c r="G31"/>
      <c r="H31"/>
    </row>
    <row r="32" spans="1:9" ht="15.75" x14ac:dyDescent="0.25">
      <c r="A32" s="1312" t="s">
        <v>434</v>
      </c>
      <c r="B32" s="1305"/>
      <c r="C32" s="1305"/>
      <c r="D32" s="1305"/>
      <c r="E32"/>
      <c r="F32"/>
      <c r="G32"/>
      <c r="H32"/>
      <c r="I32"/>
    </row>
    <row r="33" spans="1:10" ht="15" x14ac:dyDescent="0.25">
      <c r="A33" s="578" t="s">
        <v>435</v>
      </c>
      <c r="B33" s="578" t="s">
        <v>436</v>
      </c>
      <c r="C33" s="578" t="s">
        <v>437</v>
      </c>
      <c r="D33" s="578" t="s">
        <v>180</v>
      </c>
      <c r="E33"/>
      <c r="F33"/>
      <c r="G33"/>
      <c r="H33"/>
      <c r="I33"/>
    </row>
    <row r="34" spans="1:10" ht="15" x14ac:dyDescent="0.25">
      <c r="A34" s="120" t="s">
        <v>438</v>
      </c>
      <c r="B34" s="120" t="s">
        <v>1011</v>
      </c>
      <c r="C34" s="121">
        <v>2000</v>
      </c>
      <c r="D34" s="579">
        <f>C34*12</f>
        <v>24000</v>
      </c>
      <c r="E34"/>
      <c r="F34"/>
      <c r="G34" s="88" t="s">
        <v>35</v>
      </c>
      <c r="H34" s="571">
        <f>D37+D56+D74+D81+D92+D104</f>
        <v>55649.75</v>
      </c>
      <c r="I34"/>
      <c r="J34" s="682"/>
    </row>
    <row r="35" spans="1:10" ht="15" x14ac:dyDescent="0.25">
      <c r="A35" s="120" t="s">
        <v>796</v>
      </c>
      <c r="B35" s="120" t="s">
        <v>1011</v>
      </c>
      <c r="C35" s="121">
        <v>0</v>
      </c>
      <c r="D35" s="579">
        <f>C35*1</f>
        <v>0</v>
      </c>
      <c r="E35" t="s">
        <v>797</v>
      </c>
      <c r="F35"/>
      <c r="G35"/>
      <c r="H35"/>
      <c r="I35"/>
      <c r="J35" s="682"/>
    </row>
    <row r="36" spans="1:10" ht="15" x14ac:dyDescent="0.25">
      <c r="A36" s="120" t="s">
        <v>984</v>
      </c>
      <c r="B36" s="120" t="s">
        <v>1011</v>
      </c>
      <c r="C36" s="121">
        <v>0</v>
      </c>
      <c r="D36" s="579"/>
      <c r="E36"/>
      <c r="F36"/>
      <c r="G36"/>
      <c r="H36"/>
      <c r="I36"/>
      <c r="J36" s="682"/>
    </row>
    <row r="37" spans="1:10" ht="15" x14ac:dyDescent="0.25">
      <c r="A37" s="673"/>
      <c r="B37" s="674"/>
      <c r="C37" s="680" t="s">
        <v>1</v>
      </c>
      <c r="D37" s="675">
        <f>SUM(D34:D36)</f>
        <v>24000</v>
      </c>
      <c r="E37" s="673"/>
      <c r="F37" s="673"/>
      <c r="G37" s="673"/>
      <c r="H37" s="673"/>
      <c r="I37" s="673"/>
      <c r="J37" s="682"/>
    </row>
    <row r="38" spans="1:10" ht="15" x14ac:dyDescent="0.25">
      <c r="A38" s="673"/>
      <c r="B38" s="673"/>
      <c r="C38" s="673"/>
      <c r="D38" s="673"/>
      <c r="E38" s="673"/>
      <c r="F38" s="673"/>
      <c r="G38" s="673"/>
      <c r="H38" s="673"/>
      <c r="I38" s="673"/>
      <c r="J38" s="682"/>
    </row>
    <row r="39" spans="1:10" ht="15" x14ac:dyDescent="0.25">
      <c r="A39"/>
      <c r="B39"/>
      <c r="C39"/>
      <c r="D39"/>
      <c r="E39"/>
      <c r="F39"/>
      <c r="G39"/>
      <c r="H39"/>
      <c r="I39"/>
    </row>
    <row r="40" spans="1:10" ht="18.75" x14ac:dyDescent="0.25">
      <c r="A40" s="1313" t="s">
        <v>441</v>
      </c>
      <c r="B40" s="1314"/>
      <c r="C40" s="1314"/>
      <c r="D40" s="1314"/>
      <c r="E40"/>
      <c r="F40"/>
      <c r="G40"/>
      <c r="H40"/>
      <c r="I40"/>
    </row>
    <row r="41" spans="1:10" ht="15" x14ac:dyDescent="0.25">
      <c r="A41" s="641" t="s">
        <v>442</v>
      </c>
      <c r="B41" s="642" t="s">
        <v>4</v>
      </c>
      <c r="C41" s="642" t="s">
        <v>443</v>
      </c>
      <c r="D41" s="642" t="s">
        <v>444</v>
      </c>
      <c r="E41"/>
      <c r="F41"/>
      <c r="G41"/>
      <c r="H41"/>
      <c r="I41"/>
    </row>
    <row r="42" spans="1:10" ht="15" x14ac:dyDescent="0.25">
      <c r="A42" s="816" t="s">
        <v>156</v>
      </c>
      <c r="B42" s="535">
        <v>6</v>
      </c>
      <c r="C42" s="817">
        <v>40</v>
      </c>
      <c r="D42" s="818">
        <f t="shared" ref="D42:D55" si="2">B42*C42</f>
        <v>240</v>
      </c>
      <c r="E42"/>
      <c r="F42"/>
      <c r="G42"/>
      <c r="H42"/>
      <c r="I42"/>
    </row>
    <row r="43" spans="1:10" ht="15" x14ac:dyDescent="0.25">
      <c r="A43" s="816" t="s">
        <v>445</v>
      </c>
      <c r="B43" s="535">
        <v>1</v>
      </c>
      <c r="C43" s="817">
        <v>140</v>
      </c>
      <c r="D43" s="819">
        <f t="shared" si="2"/>
        <v>140</v>
      </c>
      <c r="E43"/>
      <c r="F43"/>
      <c r="G43"/>
      <c r="H43"/>
      <c r="I43"/>
    </row>
    <row r="44" spans="1:10" ht="15" x14ac:dyDescent="0.25">
      <c r="A44" s="820" t="s">
        <v>157</v>
      </c>
      <c r="B44" s="536">
        <v>2</v>
      </c>
      <c r="C44" s="821">
        <v>60</v>
      </c>
      <c r="D44" s="819">
        <f t="shared" si="2"/>
        <v>120</v>
      </c>
      <c r="E44"/>
      <c r="F44"/>
      <c r="G44"/>
      <c r="H44"/>
      <c r="I44"/>
    </row>
    <row r="45" spans="1:10" ht="15" x14ac:dyDescent="0.25">
      <c r="A45" s="820" t="s">
        <v>158</v>
      </c>
      <c r="B45" s="536">
        <v>7</v>
      </c>
      <c r="C45" s="821">
        <v>80</v>
      </c>
      <c r="D45" s="819">
        <f t="shared" si="2"/>
        <v>560</v>
      </c>
      <c r="E45"/>
      <c r="F45"/>
      <c r="G45"/>
      <c r="H45"/>
      <c r="I45"/>
    </row>
    <row r="46" spans="1:10" ht="15" x14ac:dyDescent="0.25">
      <c r="A46" s="820" t="s">
        <v>446</v>
      </c>
      <c r="B46" s="536">
        <v>1</v>
      </c>
      <c r="C46" s="821">
        <v>85</v>
      </c>
      <c r="D46" s="819">
        <f t="shared" si="2"/>
        <v>85</v>
      </c>
      <c r="E46"/>
      <c r="F46"/>
      <c r="G46"/>
      <c r="H46"/>
      <c r="I46"/>
    </row>
    <row r="47" spans="1:10" ht="15" x14ac:dyDescent="0.25">
      <c r="A47" s="820" t="s">
        <v>159</v>
      </c>
      <c r="B47" s="536">
        <v>6</v>
      </c>
      <c r="C47" s="821">
        <v>100</v>
      </c>
      <c r="D47" s="819">
        <f t="shared" si="2"/>
        <v>600</v>
      </c>
      <c r="E47"/>
      <c r="F47"/>
      <c r="G47"/>
      <c r="H47"/>
      <c r="I47"/>
    </row>
    <row r="48" spans="1:10" ht="15" x14ac:dyDescent="0.25">
      <c r="A48" s="820" t="s">
        <v>160</v>
      </c>
      <c r="B48" s="536">
        <v>1</v>
      </c>
      <c r="C48" s="821">
        <v>145</v>
      </c>
      <c r="D48" s="819">
        <f t="shared" si="2"/>
        <v>145</v>
      </c>
      <c r="E48"/>
      <c r="F48"/>
      <c r="G48"/>
      <c r="H48"/>
      <c r="I48"/>
    </row>
    <row r="49" spans="1:9" ht="15" x14ac:dyDescent="0.25">
      <c r="A49" s="820" t="s">
        <v>447</v>
      </c>
      <c r="B49" s="536">
        <v>1</v>
      </c>
      <c r="C49" s="821">
        <v>95</v>
      </c>
      <c r="D49" s="819">
        <f t="shared" si="2"/>
        <v>95</v>
      </c>
      <c r="E49"/>
      <c r="F49"/>
      <c r="G49"/>
      <c r="H49"/>
      <c r="I49"/>
    </row>
    <row r="50" spans="1:9" ht="15" x14ac:dyDescent="0.25">
      <c r="A50" s="820" t="s">
        <v>448</v>
      </c>
      <c r="B50" s="536">
        <v>4</v>
      </c>
      <c r="C50" s="821">
        <v>3.5</v>
      </c>
      <c r="D50" s="819">
        <f t="shared" si="2"/>
        <v>14</v>
      </c>
      <c r="E50"/>
      <c r="F50"/>
      <c r="G50"/>
      <c r="H50"/>
      <c r="I50"/>
    </row>
    <row r="51" spans="1:9" ht="15" x14ac:dyDescent="0.25">
      <c r="A51" s="820" t="s">
        <v>161</v>
      </c>
      <c r="B51" s="536">
        <v>5</v>
      </c>
      <c r="C51" s="821">
        <v>20</v>
      </c>
      <c r="D51" s="819">
        <f t="shared" si="2"/>
        <v>100</v>
      </c>
      <c r="E51"/>
      <c r="F51"/>
      <c r="G51"/>
      <c r="H51"/>
      <c r="I51"/>
    </row>
    <row r="52" spans="1:9" ht="15" x14ac:dyDescent="0.25">
      <c r="A52" s="820" t="s">
        <v>162</v>
      </c>
      <c r="B52" s="536">
        <v>1</v>
      </c>
      <c r="C52" s="821">
        <v>17</v>
      </c>
      <c r="D52" s="819">
        <f t="shared" si="2"/>
        <v>17</v>
      </c>
      <c r="E52"/>
      <c r="F52"/>
      <c r="G52"/>
      <c r="H52"/>
      <c r="I52"/>
    </row>
    <row r="53" spans="1:9" ht="15" x14ac:dyDescent="0.25">
      <c r="A53" s="820" t="s">
        <v>163</v>
      </c>
      <c r="B53" s="536">
        <v>1</v>
      </c>
      <c r="C53" s="821">
        <v>20</v>
      </c>
      <c r="D53" s="819">
        <f t="shared" si="2"/>
        <v>20</v>
      </c>
      <c r="E53"/>
      <c r="F53"/>
      <c r="G53"/>
      <c r="H53"/>
      <c r="I53"/>
    </row>
    <row r="54" spans="1:9" ht="15" x14ac:dyDescent="0.25">
      <c r="A54" s="820" t="s">
        <v>449</v>
      </c>
      <c r="B54" s="536">
        <v>1</v>
      </c>
      <c r="C54" s="821">
        <v>28</v>
      </c>
      <c r="D54" s="819">
        <f t="shared" si="2"/>
        <v>28</v>
      </c>
      <c r="E54"/>
      <c r="F54"/>
      <c r="G54"/>
      <c r="H54"/>
      <c r="I54"/>
    </row>
    <row r="55" spans="1:9" ht="15" x14ac:dyDescent="0.25">
      <c r="A55" s="820" t="s">
        <v>164</v>
      </c>
      <c r="B55" s="536">
        <v>4</v>
      </c>
      <c r="C55" s="821">
        <v>10</v>
      </c>
      <c r="D55" s="819">
        <f t="shared" si="2"/>
        <v>40</v>
      </c>
      <c r="E55"/>
      <c r="F55"/>
      <c r="G55"/>
      <c r="H55"/>
      <c r="I55"/>
    </row>
    <row r="56" spans="1:9" ht="15" x14ac:dyDescent="0.25">
      <c r="A56" s="626"/>
      <c r="B56" s="626"/>
      <c r="C56" s="643" t="s">
        <v>1</v>
      </c>
      <c r="D56" s="644">
        <f>SUM(D42:D55)</f>
        <v>2204</v>
      </c>
      <c r="E56"/>
      <c r="F56"/>
      <c r="G56"/>
      <c r="H56"/>
      <c r="I56"/>
    </row>
    <row r="57" spans="1:9" ht="15" x14ac:dyDescent="0.25">
      <c r="A57"/>
      <c r="B57"/>
      <c r="C57"/>
      <c r="D57"/>
      <c r="E57"/>
      <c r="F57"/>
      <c r="G57"/>
      <c r="H57"/>
      <c r="I57"/>
    </row>
    <row r="58" spans="1:9" ht="15" x14ac:dyDescent="0.25">
      <c r="A58"/>
      <c r="B58"/>
      <c r="C58"/>
      <c r="D58"/>
      <c r="E58"/>
      <c r="F58"/>
      <c r="G58"/>
      <c r="H58"/>
      <c r="I58"/>
    </row>
    <row r="59" spans="1:9" ht="18.75" x14ac:dyDescent="0.3">
      <c r="A59" s="1302" t="s">
        <v>450</v>
      </c>
      <c r="B59" s="1303"/>
      <c r="C59" s="1303"/>
      <c r="D59" s="1303"/>
      <c r="E59"/>
      <c r="F59"/>
      <c r="G59"/>
      <c r="H59"/>
      <c r="I59"/>
    </row>
    <row r="60" spans="1:9" ht="15" x14ac:dyDescent="0.25">
      <c r="A60" s="642" t="s">
        <v>442</v>
      </c>
      <c r="B60" s="642" t="s">
        <v>4</v>
      </c>
      <c r="C60" s="642" t="s">
        <v>443</v>
      </c>
      <c r="D60" s="642" t="s">
        <v>427</v>
      </c>
      <c r="E60"/>
      <c r="F60"/>
      <c r="G60"/>
      <c r="H60"/>
      <c r="I60"/>
    </row>
    <row r="61" spans="1:9" ht="15" x14ac:dyDescent="0.25">
      <c r="A61" s="822" t="s">
        <v>167</v>
      </c>
      <c r="B61" s="823">
        <v>5</v>
      </c>
      <c r="C61" s="824">
        <v>5</v>
      </c>
      <c r="D61" s="821">
        <f>B61*C61</f>
        <v>25</v>
      </c>
      <c r="E61"/>
      <c r="F61"/>
      <c r="G61"/>
      <c r="H61"/>
      <c r="I61"/>
    </row>
    <row r="62" spans="1:9" ht="15" x14ac:dyDescent="0.25">
      <c r="A62" s="822" t="s">
        <v>168</v>
      </c>
      <c r="B62" s="823">
        <v>13</v>
      </c>
      <c r="C62" s="824">
        <v>5</v>
      </c>
      <c r="D62" s="821">
        <f t="shared" ref="D62:D73" si="3">B62*C62</f>
        <v>65</v>
      </c>
      <c r="E62"/>
      <c r="F62"/>
      <c r="G62"/>
      <c r="H62"/>
      <c r="I62"/>
    </row>
    <row r="63" spans="1:9" ht="15" x14ac:dyDescent="0.25">
      <c r="A63" s="822" t="s">
        <v>169</v>
      </c>
      <c r="B63" s="823">
        <v>25</v>
      </c>
      <c r="C63" s="824">
        <v>2.25</v>
      </c>
      <c r="D63" s="821">
        <f t="shared" si="3"/>
        <v>56.25</v>
      </c>
      <c r="E63"/>
      <c r="F63"/>
      <c r="G63"/>
      <c r="H63"/>
      <c r="I63"/>
    </row>
    <row r="64" spans="1:9" ht="15" x14ac:dyDescent="0.25">
      <c r="A64" s="822" t="s">
        <v>170</v>
      </c>
      <c r="B64" s="823">
        <v>7</v>
      </c>
      <c r="C64" s="824">
        <v>3.9</v>
      </c>
      <c r="D64" s="821">
        <f t="shared" si="3"/>
        <v>27.3</v>
      </c>
      <c r="E64"/>
      <c r="F64"/>
      <c r="G64"/>
      <c r="H64"/>
      <c r="I64"/>
    </row>
    <row r="65" spans="1:9" ht="15" x14ac:dyDescent="0.25">
      <c r="A65" s="822" t="s">
        <v>171</v>
      </c>
      <c r="B65" s="823">
        <v>7</v>
      </c>
      <c r="C65" s="824">
        <v>8</v>
      </c>
      <c r="D65" s="821">
        <f t="shared" si="3"/>
        <v>56</v>
      </c>
      <c r="E65"/>
      <c r="F65"/>
      <c r="G65"/>
      <c r="H65"/>
      <c r="I65"/>
    </row>
    <row r="66" spans="1:9" ht="15" x14ac:dyDescent="0.25">
      <c r="A66" s="822" t="s">
        <v>172</v>
      </c>
      <c r="B66" s="823">
        <v>7</v>
      </c>
      <c r="C66" s="824">
        <v>15</v>
      </c>
      <c r="D66" s="821">
        <f t="shared" si="3"/>
        <v>105</v>
      </c>
      <c r="E66"/>
      <c r="F66"/>
      <c r="G66"/>
      <c r="H66"/>
      <c r="I66"/>
    </row>
    <row r="67" spans="1:9" ht="15" x14ac:dyDescent="0.25">
      <c r="A67" s="822" t="s">
        <v>173</v>
      </c>
      <c r="B67" s="823">
        <v>5</v>
      </c>
      <c r="C67" s="824">
        <v>25</v>
      </c>
      <c r="D67" s="821">
        <f t="shared" si="3"/>
        <v>125</v>
      </c>
      <c r="E67"/>
      <c r="F67"/>
      <c r="G67"/>
      <c r="H67"/>
      <c r="I67"/>
    </row>
    <row r="68" spans="1:9" ht="15" x14ac:dyDescent="0.25">
      <c r="A68" s="822" t="s">
        <v>174</v>
      </c>
      <c r="B68" s="823">
        <v>1</v>
      </c>
      <c r="C68" s="824">
        <v>22</v>
      </c>
      <c r="D68" s="821">
        <f t="shared" si="3"/>
        <v>22</v>
      </c>
      <c r="E68"/>
      <c r="F68"/>
      <c r="G68"/>
      <c r="H68"/>
      <c r="I68"/>
    </row>
    <row r="69" spans="1:9" ht="15" x14ac:dyDescent="0.25">
      <c r="A69" s="822" t="s">
        <v>175</v>
      </c>
      <c r="B69" s="823">
        <v>7</v>
      </c>
      <c r="C69" s="824">
        <v>13.84</v>
      </c>
      <c r="D69" s="821">
        <f t="shared" si="3"/>
        <v>96.88</v>
      </c>
      <c r="E69"/>
      <c r="F69"/>
      <c r="G69"/>
      <c r="H69"/>
      <c r="I69"/>
    </row>
    <row r="70" spans="1:9" ht="15" x14ac:dyDescent="0.25">
      <c r="A70" s="822" t="s">
        <v>176</v>
      </c>
      <c r="B70" s="823">
        <v>7</v>
      </c>
      <c r="C70" s="824">
        <v>17.760000000000002</v>
      </c>
      <c r="D70" s="821">
        <f t="shared" si="3"/>
        <v>124.32000000000001</v>
      </c>
      <c r="E70"/>
      <c r="F70"/>
      <c r="G70"/>
      <c r="H70"/>
      <c r="I70"/>
    </row>
    <row r="71" spans="1:9" ht="15" x14ac:dyDescent="0.25">
      <c r="A71" s="822" t="s">
        <v>177</v>
      </c>
      <c r="B71" s="823">
        <v>5</v>
      </c>
      <c r="C71" s="824">
        <v>4</v>
      </c>
      <c r="D71" s="821">
        <f t="shared" si="3"/>
        <v>20</v>
      </c>
      <c r="E71"/>
      <c r="F71"/>
      <c r="G71"/>
      <c r="H71"/>
      <c r="I71"/>
    </row>
    <row r="72" spans="1:9" ht="15" x14ac:dyDescent="0.25">
      <c r="A72" s="822" t="s">
        <v>178</v>
      </c>
      <c r="B72" s="823">
        <v>4</v>
      </c>
      <c r="C72" s="824">
        <v>7</v>
      </c>
      <c r="D72" s="821">
        <f t="shared" si="3"/>
        <v>28</v>
      </c>
      <c r="E72"/>
      <c r="F72"/>
      <c r="G72"/>
      <c r="H72"/>
      <c r="I72"/>
    </row>
    <row r="73" spans="1:9" ht="15" x14ac:dyDescent="0.25">
      <c r="A73" s="822" t="s">
        <v>179</v>
      </c>
      <c r="B73" s="823">
        <v>1</v>
      </c>
      <c r="C73" s="824">
        <v>55</v>
      </c>
      <c r="D73" s="821">
        <f t="shared" si="3"/>
        <v>55</v>
      </c>
      <c r="E73"/>
      <c r="F73"/>
      <c r="G73"/>
      <c r="H73"/>
      <c r="I73"/>
    </row>
    <row r="74" spans="1:9" ht="15" x14ac:dyDescent="0.25">
      <c r="A74" s="626"/>
      <c r="B74" s="626"/>
      <c r="C74" s="643" t="s">
        <v>1</v>
      </c>
      <c r="D74" s="646">
        <f>SUM(D61:D73)</f>
        <v>805.75000000000011</v>
      </c>
      <c r="E74"/>
      <c r="F74"/>
      <c r="G74"/>
      <c r="H74"/>
      <c r="I74"/>
    </row>
    <row r="75" spans="1:9" ht="15" x14ac:dyDescent="0.25">
      <c r="A75"/>
      <c r="B75"/>
      <c r="C75"/>
      <c r="D75"/>
      <c r="E75"/>
      <c r="F75"/>
      <c r="G75"/>
      <c r="H75"/>
      <c r="I75"/>
    </row>
    <row r="76" spans="1:9" ht="15.75" x14ac:dyDescent="0.25">
      <c r="A76" s="1304" t="s">
        <v>451</v>
      </c>
      <c r="B76" s="1304"/>
      <c r="C76" s="1304"/>
      <c r="D76" s="1304"/>
      <c r="E76"/>
      <c r="F76"/>
      <c r="G76"/>
      <c r="H76"/>
      <c r="I76"/>
    </row>
    <row r="77" spans="1:9" ht="15" x14ac:dyDescent="0.25">
      <c r="A77" s="642" t="s">
        <v>442</v>
      </c>
      <c r="B77" s="642" t="s">
        <v>4</v>
      </c>
      <c r="C77" s="642" t="s">
        <v>443</v>
      </c>
      <c r="D77" s="642" t="s">
        <v>427</v>
      </c>
      <c r="E77"/>
      <c r="F77"/>
      <c r="G77"/>
      <c r="H77"/>
      <c r="I77"/>
    </row>
    <row r="78" spans="1:9" ht="15" x14ac:dyDescent="0.25">
      <c r="A78" s="120" t="s">
        <v>452</v>
      </c>
      <c r="B78" s="122">
        <v>1</v>
      </c>
      <c r="C78" s="121">
        <v>1200</v>
      </c>
      <c r="D78" s="121">
        <v>1200</v>
      </c>
      <c r="E78"/>
      <c r="F78"/>
      <c r="G78"/>
      <c r="H78"/>
      <c r="I78"/>
    </row>
    <row r="79" spans="1:9" ht="15" x14ac:dyDescent="0.25">
      <c r="A79" s="816" t="s">
        <v>70</v>
      </c>
      <c r="B79" s="535">
        <v>2</v>
      </c>
      <c r="C79" s="825">
        <v>120</v>
      </c>
      <c r="D79" s="819">
        <f>B79*C79</f>
        <v>240</v>
      </c>
      <c r="E79"/>
      <c r="F79"/>
      <c r="G79"/>
      <c r="H79"/>
      <c r="I79"/>
    </row>
    <row r="80" spans="1:9" ht="15" x14ac:dyDescent="0.25">
      <c r="A80" s="816" t="s">
        <v>71</v>
      </c>
      <c r="B80" s="535">
        <v>2</v>
      </c>
      <c r="C80" s="825">
        <v>80</v>
      </c>
      <c r="D80" s="819">
        <f>B80*C80</f>
        <v>160</v>
      </c>
      <c r="E80"/>
      <c r="F80"/>
      <c r="G80"/>
      <c r="H80"/>
      <c r="I80"/>
    </row>
    <row r="81" spans="1:9" ht="15" x14ac:dyDescent="0.25">
      <c r="A81" s="626"/>
      <c r="B81" s="626"/>
      <c r="C81" s="643" t="s">
        <v>1</v>
      </c>
      <c r="D81" s="646">
        <f>SUM(D78:D80)</f>
        <v>1600</v>
      </c>
      <c r="E81"/>
      <c r="F81"/>
      <c r="G81"/>
      <c r="H81"/>
      <c r="I81"/>
    </row>
    <row r="82" spans="1:9" ht="15" x14ac:dyDescent="0.25">
      <c r="A82"/>
      <c r="B82"/>
      <c r="C82"/>
      <c r="D82"/>
      <c r="E82"/>
      <c r="F82"/>
      <c r="G82"/>
      <c r="H82"/>
      <c r="I82"/>
    </row>
    <row r="83" spans="1:9" ht="15.75" x14ac:dyDescent="0.25">
      <c r="A83" s="1305" t="s">
        <v>453</v>
      </c>
      <c r="B83" s="1305"/>
      <c r="C83" s="1305"/>
      <c r="D83" s="1305"/>
      <c r="E83"/>
      <c r="F83"/>
      <c r="G83"/>
      <c r="H83"/>
      <c r="I83"/>
    </row>
    <row r="84" spans="1:9" ht="15" x14ac:dyDescent="0.25">
      <c r="A84" s="581" t="s">
        <v>442</v>
      </c>
      <c r="B84" s="581" t="s">
        <v>4</v>
      </c>
      <c r="C84" s="581" t="s">
        <v>443</v>
      </c>
      <c r="D84" s="581" t="s">
        <v>427</v>
      </c>
      <c r="E84"/>
      <c r="F84"/>
      <c r="G84"/>
      <c r="H84"/>
      <c r="I84"/>
    </row>
    <row r="85" spans="1:9" ht="15" x14ac:dyDescent="0.25">
      <c r="A85" s="120" t="s">
        <v>454</v>
      </c>
      <c r="B85" s="122">
        <v>1</v>
      </c>
      <c r="C85" s="121">
        <v>7875</v>
      </c>
      <c r="D85" s="579">
        <f t="shared" ref="D85:D91" si="4">B85*C85</f>
        <v>7875</v>
      </c>
      <c r="E85"/>
      <c r="F85"/>
      <c r="G85"/>
      <c r="H85"/>
      <c r="I85"/>
    </row>
    <row r="86" spans="1:9" ht="15" x14ac:dyDescent="0.25">
      <c r="A86" s="120" t="s">
        <v>455</v>
      </c>
      <c r="B86" s="122">
        <v>1</v>
      </c>
      <c r="C86" s="121">
        <v>7000</v>
      </c>
      <c r="D86" s="579">
        <f t="shared" si="4"/>
        <v>7000</v>
      </c>
      <c r="E86"/>
      <c r="F86"/>
      <c r="G86"/>
      <c r="H86"/>
      <c r="I86"/>
    </row>
    <row r="87" spans="1:9" ht="15" x14ac:dyDescent="0.25">
      <c r="A87" s="120" t="s">
        <v>456</v>
      </c>
      <c r="B87" s="122">
        <v>2</v>
      </c>
      <c r="C87" s="121">
        <v>700</v>
      </c>
      <c r="D87" s="579">
        <f t="shared" si="4"/>
        <v>1400</v>
      </c>
      <c r="E87"/>
      <c r="F87"/>
      <c r="G87"/>
      <c r="H87"/>
      <c r="I87"/>
    </row>
    <row r="88" spans="1:9" ht="15" x14ac:dyDescent="0.25">
      <c r="A88" s="120" t="s">
        <v>457</v>
      </c>
      <c r="B88" s="122">
        <v>2</v>
      </c>
      <c r="C88" s="121">
        <v>950</v>
      </c>
      <c r="D88" s="579">
        <f t="shared" si="4"/>
        <v>1900</v>
      </c>
      <c r="E88"/>
      <c r="F88"/>
      <c r="G88"/>
      <c r="H88"/>
      <c r="I88"/>
    </row>
    <row r="89" spans="1:9" ht="15" x14ac:dyDescent="0.25">
      <c r="A89" s="120" t="s">
        <v>458</v>
      </c>
      <c r="B89" s="122">
        <v>1</v>
      </c>
      <c r="C89" s="121">
        <v>2500</v>
      </c>
      <c r="D89" s="579">
        <f t="shared" si="4"/>
        <v>2500</v>
      </c>
      <c r="E89"/>
      <c r="F89"/>
      <c r="G89"/>
      <c r="H89"/>
      <c r="I89"/>
    </row>
    <row r="90" spans="1:9" ht="15" x14ac:dyDescent="0.25">
      <c r="A90" s="120" t="s">
        <v>459</v>
      </c>
      <c r="B90" s="122">
        <v>1</v>
      </c>
      <c r="C90" s="121">
        <v>3500</v>
      </c>
      <c r="D90" s="579">
        <f t="shared" si="4"/>
        <v>3500</v>
      </c>
      <c r="E90"/>
      <c r="F90"/>
      <c r="G90"/>
      <c r="H90"/>
      <c r="I90"/>
    </row>
    <row r="91" spans="1:9" ht="15" x14ac:dyDescent="0.25">
      <c r="A91" s="120" t="s">
        <v>460</v>
      </c>
      <c r="B91" s="122">
        <v>4</v>
      </c>
      <c r="C91" s="121">
        <v>225</v>
      </c>
      <c r="D91" s="579">
        <f t="shared" si="4"/>
        <v>900</v>
      </c>
      <c r="E91"/>
      <c r="F91"/>
      <c r="G91"/>
      <c r="H91"/>
      <c r="I91"/>
    </row>
    <row r="92" spans="1:9" ht="15" x14ac:dyDescent="0.25">
      <c r="A92"/>
      <c r="B92"/>
      <c r="C92" s="582" t="s">
        <v>1</v>
      </c>
      <c r="D92" s="580">
        <f>SUM(D85:D91)</f>
        <v>25075</v>
      </c>
      <c r="E92"/>
      <c r="F92"/>
      <c r="G92"/>
      <c r="H92"/>
      <c r="I92"/>
    </row>
    <row r="93" spans="1:9" ht="15" x14ac:dyDescent="0.25">
      <c r="A93"/>
      <c r="B93"/>
      <c r="C93"/>
      <c r="D93"/>
      <c r="E93"/>
      <c r="F93"/>
      <c r="G93"/>
      <c r="H93"/>
      <c r="I93"/>
    </row>
    <row r="94" spans="1:9" ht="15" x14ac:dyDescent="0.25">
      <c r="A94"/>
      <c r="B94"/>
      <c r="C94"/>
      <c r="D94"/>
      <c r="E94"/>
      <c r="F94"/>
      <c r="G94"/>
      <c r="H94"/>
      <c r="I94"/>
    </row>
    <row r="95" spans="1:9" ht="15.75" x14ac:dyDescent="0.25">
      <c r="A95" s="1306" t="s">
        <v>461</v>
      </c>
      <c r="B95" s="1307"/>
      <c r="C95" s="1307"/>
      <c r="D95" s="1307"/>
      <c r="E95" s="569"/>
      <c r="F95" s="569"/>
      <c r="G95" s="569"/>
      <c r="H95" s="569"/>
      <c r="I95" s="569"/>
    </row>
    <row r="96" spans="1:9" ht="15.75" x14ac:dyDescent="0.25">
      <c r="A96" s="671" t="s">
        <v>442</v>
      </c>
      <c r="B96" s="671" t="s">
        <v>4</v>
      </c>
      <c r="C96" s="671" t="s">
        <v>443</v>
      </c>
      <c r="D96" s="672" t="s">
        <v>462</v>
      </c>
      <c r="E96" s="569"/>
      <c r="F96" s="569"/>
      <c r="G96" s="569"/>
      <c r="H96" s="569"/>
      <c r="I96" s="569"/>
    </row>
    <row r="97" spans="1:9" ht="15" x14ac:dyDescent="0.25">
      <c r="A97" s="816" t="s">
        <v>74</v>
      </c>
      <c r="B97" s="535">
        <v>5</v>
      </c>
      <c r="C97" s="817">
        <v>15</v>
      </c>
      <c r="D97" s="819">
        <f>B97*C97</f>
        <v>75</v>
      </c>
      <c r="E97" s="569"/>
      <c r="F97" s="569"/>
      <c r="G97" s="569"/>
      <c r="H97" s="569"/>
      <c r="I97" s="569"/>
    </row>
    <row r="98" spans="1:9" ht="15" x14ac:dyDescent="0.25">
      <c r="A98" s="820" t="s">
        <v>76</v>
      </c>
      <c r="B98" s="536">
        <v>20</v>
      </c>
      <c r="C98" s="817">
        <v>4.5</v>
      </c>
      <c r="D98" s="819">
        <f t="shared" ref="D98:D103" si="5">B98*C98</f>
        <v>90</v>
      </c>
      <c r="E98" s="569"/>
      <c r="F98" s="569"/>
      <c r="G98" s="569"/>
      <c r="H98" s="569"/>
      <c r="I98" s="569"/>
    </row>
    <row r="99" spans="1:9" ht="15" x14ac:dyDescent="0.25">
      <c r="A99" s="820" t="s">
        <v>77</v>
      </c>
      <c r="B99" s="536">
        <v>80</v>
      </c>
      <c r="C99" s="817">
        <v>4.5</v>
      </c>
      <c r="D99" s="819">
        <f t="shared" si="5"/>
        <v>360</v>
      </c>
      <c r="E99" s="569"/>
      <c r="F99" s="569"/>
      <c r="G99" s="569"/>
      <c r="H99" s="569"/>
      <c r="I99" s="569"/>
    </row>
    <row r="100" spans="1:9" ht="15" x14ac:dyDescent="0.25">
      <c r="A100" s="820" t="s">
        <v>79</v>
      </c>
      <c r="B100" s="536">
        <v>80</v>
      </c>
      <c r="C100" s="817">
        <v>4.5</v>
      </c>
      <c r="D100" s="819">
        <f t="shared" si="5"/>
        <v>360</v>
      </c>
      <c r="E100" s="569"/>
      <c r="F100" s="569"/>
      <c r="G100" s="569"/>
      <c r="H100" s="569"/>
      <c r="I100" s="569"/>
    </row>
    <row r="101" spans="1:9" ht="15" x14ac:dyDescent="0.25">
      <c r="A101" s="820" t="s">
        <v>81</v>
      </c>
      <c r="B101" s="536">
        <v>90</v>
      </c>
      <c r="C101" s="817">
        <v>4.5</v>
      </c>
      <c r="D101" s="819">
        <f t="shared" si="5"/>
        <v>405</v>
      </c>
      <c r="E101" s="569"/>
      <c r="F101" s="569"/>
      <c r="G101" s="569"/>
      <c r="H101" s="569"/>
      <c r="I101" s="569"/>
    </row>
    <row r="102" spans="1:9" ht="15" x14ac:dyDescent="0.25">
      <c r="A102" s="820" t="s">
        <v>83</v>
      </c>
      <c r="B102" s="536">
        <v>60</v>
      </c>
      <c r="C102" s="817">
        <v>4.5</v>
      </c>
      <c r="D102" s="819">
        <f t="shared" si="5"/>
        <v>270</v>
      </c>
      <c r="E102" s="569"/>
      <c r="F102" s="569"/>
      <c r="G102" s="569"/>
      <c r="H102" s="569"/>
      <c r="I102" s="569"/>
    </row>
    <row r="103" spans="1:9" ht="15" x14ac:dyDescent="0.25">
      <c r="A103" s="820" t="s">
        <v>85</v>
      </c>
      <c r="B103" s="536">
        <v>90</v>
      </c>
      <c r="C103" s="817">
        <v>4.5</v>
      </c>
      <c r="D103" s="819">
        <f t="shared" si="5"/>
        <v>405</v>
      </c>
      <c r="E103" s="583"/>
      <c r="F103" s="569"/>
      <c r="G103" s="569"/>
      <c r="H103" s="569"/>
      <c r="I103" s="569"/>
    </row>
    <row r="104" spans="1:9" ht="15" x14ac:dyDescent="0.25">
      <c r="A104" s="673"/>
      <c r="B104" s="673"/>
      <c r="C104" s="674" t="s">
        <v>1</v>
      </c>
      <c r="D104" s="675">
        <f>SUM(D97:D103)</f>
        <v>1965</v>
      </c>
      <c r="E104"/>
      <c r="F104"/>
      <c r="G104"/>
      <c r="H104"/>
      <c r="I104"/>
    </row>
    <row r="105" spans="1:9" ht="15" x14ac:dyDescent="0.25">
      <c r="A105"/>
      <c r="B105"/>
      <c r="C105"/>
      <c r="D105"/>
      <c r="E105"/>
      <c r="F105"/>
      <c r="G105"/>
      <c r="H105"/>
      <c r="I105"/>
    </row>
    <row r="106" spans="1:9" ht="15" x14ac:dyDescent="0.25">
      <c r="A106"/>
      <c r="B106"/>
      <c r="C106"/>
      <c r="D106"/>
      <c r="E106"/>
      <c r="F106"/>
      <c r="G106"/>
      <c r="H106"/>
      <c r="I106"/>
    </row>
  </sheetData>
  <mergeCells count="9">
    <mergeCell ref="A59:D59"/>
    <mergeCell ref="A76:D76"/>
    <mergeCell ref="A83:D83"/>
    <mergeCell ref="A95:D95"/>
    <mergeCell ref="A1:D2"/>
    <mergeCell ref="A25:A26"/>
    <mergeCell ref="A28:A29"/>
    <mergeCell ref="A32:D32"/>
    <mergeCell ref="A40:D40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Orçam-Realiza</vt:lpstr>
      <vt:lpstr>Orçamento Resumo</vt:lpstr>
      <vt:lpstr>Combust. Lubrif</vt:lpstr>
      <vt:lpstr>peças </vt:lpstr>
      <vt:lpstr>Alimentação </vt:lpstr>
      <vt:lpstr>Utilidades e Veiculos</vt:lpstr>
      <vt:lpstr>Supriment-Ser Profiss</vt:lpstr>
      <vt:lpstr>Folha pagamento </vt:lpstr>
      <vt:lpstr>Quimi. Fert. Semente</vt:lpstr>
      <vt:lpstr>Contratação serviç.</vt:lpstr>
      <vt:lpstr>Avião</vt:lpstr>
      <vt:lpstr>Deprecisação </vt:lpstr>
      <vt:lpstr>Compras </vt:lpstr>
      <vt:lpstr>Pedro</vt:lpstr>
      <vt:lpstr>RH</vt:lpstr>
      <vt:lpstr>Tecnico</vt:lpstr>
      <vt:lpstr>Oficina</vt:lpstr>
      <vt:lpstr>Angelo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Schuh</dc:creator>
  <cp:lastModifiedBy>Romerio Cotrim</cp:lastModifiedBy>
  <dcterms:created xsi:type="dcterms:W3CDTF">2020-10-24T11:04:45Z</dcterms:created>
  <dcterms:modified xsi:type="dcterms:W3CDTF">2025-10-25T16:38:53Z</dcterms:modified>
</cp:coreProperties>
</file>